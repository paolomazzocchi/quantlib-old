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70" windowHeight="8220" activeTab="2"/>
  </bookViews>
  <sheets>
    <sheet name="General Settings" sheetId="6" r:id="rId1"/>
    <sheet name="RateHelpers" sheetId="4" r:id="rId2"/>
    <sheet name="Selected" sheetId="5" r:id="rId3"/>
    <sheet name="Synthetic Deposits" sheetId="7" r:id="rId4"/>
    <sheet name="SwapsFromBasis" sheetId="15" r:id="rId5"/>
    <sheet name="Monitor" sheetId="12" r:id="rId6"/>
  </sheets>
  <externalReferences>
    <externalReference r:id="rId7"/>
  </externalReferences>
  <definedNames>
    <definedName name="_xlnm._FilterDatabase" localSheetId="5" hidden="1">Monitor!$B$11:$F$3553</definedName>
    <definedName name="_xlnm._FilterDatabase" localSheetId="1" hidden="1">RateHelpers!$A$1:$L$40</definedName>
    <definedName name="Accuracy">'General Settings'!$D$20</definedName>
    <definedName name="BondBasisDayCounter">'General Settings'!$K$13</definedName>
    <definedName name="Calendar">'General Settings'!$D$18</definedName>
    <definedName name="Check">Monitor!$J$49</definedName>
    <definedName name="Conventions" localSheetId="4">SwapsFromBasis!$P$5:$R$6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Monitor!$Q$16</definedName>
    <definedName name="IborType">'General Settings'!$D$7</definedName>
    <definedName name="IndexTenor">'General Settings'!$D$6</definedName>
    <definedName name="InterpolatorID">'General Settings'!$D$22</definedName>
    <definedName name="MinDistance">RateHelpers!$H$2:$H$28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RateHelpers!$B$2:$B$28</definedName>
    <definedName name="RateHelpersIncluded">RateHelpers!$F$2:$F$28</definedName>
    <definedName name="RateHelpersPriority">RateHelpers!$G$2:$G$28</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L26" i="15" l="1"/>
  <c r="L18" i="15"/>
  <c r="L10" i="15"/>
  <c r="L25" i="15"/>
  <c r="L17" i="15"/>
  <c r="L9" i="15"/>
  <c r="L24" i="15"/>
  <c r="L16" i="15"/>
  <c r="L8" i="15"/>
  <c r="L23" i="15"/>
  <c r="L15" i="15"/>
  <c r="L7" i="15"/>
  <c r="L22" i="15"/>
  <c r="L14" i="15"/>
  <c r="L6" i="15"/>
  <c r="L21" i="15"/>
  <c r="L13" i="15"/>
  <c r="L20" i="15"/>
  <c r="L12" i="15"/>
  <c r="L19" i="15"/>
  <c r="L11" i="15"/>
  <c r="L5" i="15"/>
  <c r="K6" i="15" l="1"/>
  <c r="K7" i="15"/>
  <c r="K8" i="15"/>
  <c r="K9" i="15"/>
  <c r="K10" i="15"/>
  <c r="K11" i="15"/>
  <c r="K12" i="15"/>
  <c r="K13" i="15"/>
  <c r="K14" i="15"/>
  <c r="K15" i="15"/>
  <c r="K16" i="15"/>
  <c r="K17" i="15"/>
  <c r="K18" i="15"/>
  <c r="K19" i="15"/>
  <c r="K20" i="15"/>
  <c r="K21" i="15"/>
  <c r="K22" i="15"/>
  <c r="K23" i="15"/>
  <c r="K24" i="15"/>
  <c r="K25" i="15"/>
  <c r="K26" i="15"/>
  <c r="K5" i="15"/>
  <c r="J6" i="15"/>
  <c r="J7" i="15"/>
  <c r="J8" i="15"/>
  <c r="J9" i="15"/>
  <c r="J10" i="15"/>
  <c r="J11" i="15"/>
  <c r="J12" i="15"/>
  <c r="J13" i="15"/>
  <c r="J14" i="15"/>
  <c r="J15" i="15"/>
  <c r="J16" i="15"/>
  <c r="J17" i="15"/>
  <c r="J18" i="15"/>
  <c r="J19" i="15"/>
  <c r="J20" i="15"/>
  <c r="J21" i="15"/>
  <c r="J22" i="15"/>
  <c r="J23" i="15"/>
  <c r="J24" i="15"/>
  <c r="J25" i="15"/>
  <c r="J26" i="15"/>
  <c r="J5" i="15"/>
  <c r="C27" i="6"/>
  <c r="L3" i="15"/>
  <c r="O19" i="12"/>
  <c r="L2" i="15" l="1"/>
  <c r="M2" i="15"/>
  <c r="I7" i="7"/>
  <c r="I5" i="7"/>
  <c r="I4" i="7"/>
  <c r="I6" i="7"/>
  <c r="I3" i="7"/>
  <c r="F14" i="12" l="1"/>
  <c r="F16" i="12"/>
  <c r="F15" i="12"/>
  <c r="F13" i="12"/>
  <c r="F12" i="12"/>
  <c r="F11" i="12"/>
  <c r="F10" i="12"/>
  <c r="F9" i="12"/>
  <c r="F8" i="12"/>
  <c r="F7" i="12"/>
  <c r="F6" i="12"/>
  <c r="F5" i="12"/>
  <c r="F4" i="12"/>
  <c r="F3" i="12"/>
  <c r="C4" i="12"/>
  <c r="C5" i="12"/>
  <c r="C3" i="12"/>
  <c r="C12" i="12" l="1"/>
  <c r="C11" i="12"/>
  <c r="C10" i="12"/>
  <c r="B14" i="12"/>
  <c r="B15" i="12"/>
  <c r="B4" i="12"/>
  <c r="B7" i="12"/>
  <c r="B8" i="12"/>
  <c r="B13" i="12"/>
  <c r="B3" i="12"/>
  <c r="B16" i="12"/>
  <c r="B9" i="12"/>
  <c r="B5" i="12"/>
  <c r="B10" i="12"/>
  <c r="B11" i="12"/>
  <c r="B12" i="12"/>
  <c r="B6" i="12"/>
  <c r="N20" i="12" l="1"/>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8" i="12" s="1"/>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C6" i="12" l="1"/>
  <c r="K15" i="6"/>
  <c r="C13" i="12" l="1"/>
  <c r="C7" i="12"/>
  <c r="C14" i="12" l="1"/>
  <c r="C8" i="12"/>
  <c r="C9" i="12" l="1"/>
  <c r="C16" i="12" s="1"/>
  <c r="C15" i="12"/>
  <c r="K2" i="7"/>
  <c r="O20" i="12"/>
  <c r="P19" i="12"/>
  <c r="E4" i="12" l="1"/>
  <c r="E12" i="12"/>
  <c r="E5" i="12"/>
  <c r="E13" i="12"/>
  <c r="E6" i="12"/>
  <c r="E14" i="12"/>
  <c r="E7" i="12"/>
  <c r="E15" i="12"/>
  <c r="E8" i="12"/>
  <c r="E16" i="12"/>
  <c r="E9" i="12"/>
  <c r="E3" i="12"/>
  <c r="E10" i="12"/>
  <c r="E11" i="12"/>
  <c r="D7" i="6"/>
  <c r="D20" i="6"/>
  <c r="D6" i="6"/>
  <c r="M3" i="15"/>
  <c r="B8" i="4" l="1"/>
  <c r="B12" i="4"/>
  <c r="B16" i="4"/>
  <c r="B20" i="4"/>
  <c r="B23" i="4"/>
  <c r="B27" i="4"/>
  <c r="B15" i="4"/>
  <c r="B26" i="4"/>
  <c r="B9" i="4"/>
  <c r="B13" i="4"/>
  <c r="B17" i="4"/>
  <c r="B21" i="4"/>
  <c r="B24" i="4"/>
  <c r="B28" i="4"/>
  <c r="B10" i="4"/>
  <c r="B14" i="4"/>
  <c r="B18" i="4"/>
  <c r="B22" i="4"/>
  <c r="B25" i="4"/>
  <c r="B11" i="4"/>
  <c r="B19" i="4"/>
  <c r="B7" i="4"/>
  <c r="D9" i="6"/>
  <c r="I1" i="7"/>
  <c r="J1" i="15"/>
  <c r="K1" i="15" s="1"/>
  <c r="L1" i="15" s="1"/>
  <c r="D16" i="6"/>
  <c r="M16" i="15"/>
  <c r="M20" i="15"/>
  <c r="M12" i="15"/>
  <c r="M23" i="15"/>
  <c r="M10" i="15"/>
  <c r="M5" i="15"/>
  <c r="M17" i="15"/>
  <c r="M13" i="15"/>
  <c r="M19" i="15"/>
  <c r="M14" i="15"/>
  <c r="M9" i="15"/>
  <c r="M11" i="15"/>
  <c r="M21" i="15"/>
  <c r="M18" i="15"/>
  <c r="M15" i="15"/>
  <c r="M22" i="15"/>
  <c r="J7" i="7" l="1"/>
  <c r="J6" i="7"/>
  <c r="J3" i="7"/>
  <c r="J5" i="7"/>
  <c r="J1" i="7"/>
  <c r="K1" i="7" s="1"/>
  <c r="J4" i="7"/>
  <c r="J24" i="4"/>
  <c r="J9" i="4"/>
  <c r="B1" i="6"/>
  <c r="I15" i="4"/>
  <c r="D9" i="4"/>
  <c r="J17" i="4"/>
  <c r="J7" i="4"/>
  <c r="C8" i="4"/>
  <c r="E13" i="4"/>
  <c r="E21" i="4"/>
  <c r="I9" i="4"/>
  <c r="D18" i="4"/>
  <c r="C25" i="4"/>
  <c r="D20" i="4"/>
  <c r="J8" i="4"/>
  <c r="I19" i="4"/>
  <c r="D13" i="4"/>
  <c r="E26" i="4"/>
  <c r="E8" i="4"/>
  <c r="P20" i="12"/>
  <c r="J20" i="4"/>
  <c r="D14" i="4"/>
  <c r="D15" i="4"/>
  <c r="C24" i="4"/>
  <c r="D7" i="4"/>
  <c r="I18" i="4"/>
  <c r="C23" i="4"/>
  <c r="E27" i="4"/>
  <c r="E12" i="4"/>
  <c r="J11" i="4"/>
  <c r="C28" i="4"/>
  <c r="K7" i="7"/>
  <c r="I25" i="4"/>
  <c r="D23" i="4"/>
  <c r="J12" i="4"/>
  <c r="D8" i="4"/>
  <c r="I26" i="4"/>
  <c r="E10" i="4"/>
  <c r="E23" i="4"/>
  <c r="E24" i="4"/>
  <c r="I21" i="4"/>
  <c r="J22" i="4"/>
  <c r="J16" i="4"/>
  <c r="C9" i="4"/>
  <c r="D16" i="4"/>
  <c r="C15" i="4"/>
  <c r="D12" i="4"/>
  <c r="C27" i="4"/>
  <c r="J19" i="4"/>
  <c r="I14" i="4"/>
  <c r="E15" i="4"/>
  <c r="D26" i="4"/>
  <c r="E22" i="4"/>
  <c r="K3" i="7"/>
  <c r="L3" i="7" s="1"/>
  <c r="K5" i="7"/>
  <c r="J15" i="4"/>
  <c r="J23" i="4"/>
  <c r="L5" i="7"/>
  <c r="J27" i="4"/>
  <c r="I20" i="4"/>
  <c r="C18" i="4"/>
  <c r="C16" i="4"/>
  <c r="D28" i="4"/>
  <c r="I12" i="4"/>
  <c r="I10" i="4"/>
  <c r="C22" i="4"/>
  <c r="J18" i="4"/>
  <c r="I22" i="4"/>
  <c r="D21" i="4"/>
  <c r="J10" i="4"/>
  <c r="D19" i="4"/>
  <c r="C10" i="4"/>
  <c r="E11" i="4"/>
  <c r="C21" i="4"/>
  <c r="C7" i="4"/>
  <c r="I17" i="4"/>
  <c r="K6" i="7"/>
  <c r="J25" i="4"/>
  <c r="E16" i="4"/>
  <c r="I24" i="4"/>
  <c r="E25" i="4"/>
  <c r="J26" i="4"/>
  <c r="I13" i="4"/>
  <c r="I27" i="4"/>
  <c r="D11" i="4"/>
  <c r="J28" i="4"/>
  <c r="E18" i="4"/>
  <c r="I7" i="4"/>
  <c r="C20" i="4"/>
  <c r="I23" i="4"/>
  <c r="L2" i="7"/>
  <c r="E28" i="4"/>
  <c r="C17" i="4"/>
  <c r="E17" i="4"/>
  <c r="C14" i="4"/>
  <c r="D27" i="4"/>
  <c r="I16" i="4"/>
  <c r="J14" i="4"/>
  <c r="E9" i="4"/>
  <c r="E19" i="4"/>
  <c r="C11" i="4"/>
  <c r="I28" i="4"/>
  <c r="J21" i="4"/>
  <c r="E20" i="4"/>
  <c r="D17" i="4"/>
  <c r="C26" i="4"/>
  <c r="K4" i="7"/>
  <c r="L4" i="7" s="1"/>
  <c r="J13" i="4"/>
  <c r="C12" i="4"/>
  <c r="C13" i="4"/>
  <c r="I11" i="4"/>
  <c r="D22" i="4"/>
  <c r="D24" i="4"/>
  <c r="D25" i="4"/>
  <c r="E14" i="4"/>
  <c r="C19" i="4"/>
  <c r="D10" i="4"/>
  <c r="L6" i="7"/>
  <c r="O21" i="12"/>
  <c r="I8" i="4"/>
  <c r="L7" i="7"/>
  <c r="P21" i="12"/>
  <c r="O22" i="12"/>
  <c r="O23" i="12" s="1"/>
  <c r="P23" i="12" s="1"/>
  <c r="F9" i="4" l="1"/>
  <c r="F18" i="4"/>
  <c r="F11" i="4"/>
  <c r="F12" i="4"/>
  <c r="F27" i="4"/>
  <c r="B3" i="4"/>
  <c r="B4" i="4"/>
  <c r="F24" i="4"/>
  <c r="B2" i="4"/>
  <c r="F23" i="4"/>
  <c r="F21" i="4"/>
  <c r="F22" i="4"/>
  <c r="F10" i="4"/>
  <c r="F13" i="4"/>
  <c r="F20" i="4"/>
  <c r="F17" i="4"/>
  <c r="F25" i="4"/>
  <c r="F15" i="4"/>
  <c r="F28" i="4"/>
  <c r="F16" i="4"/>
  <c r="F8" i="4"/>
  <c r="B5" i="4"/>
  <c r="B6" i="4"/>
  <c r="F26" i="4"/>
  <c r="F19" i="4"/>
  <c r="F14" i="4"/>
  <c r="I6" i="4"/>
  <c r="D2" i="4"/>
  <c r="C5" i="4"/>
  <c r="D6" i="4"/>
  <c r="C3" i="4"/>
  <c r="O24" i="12"/>
  <c r="O25" i="12" s="1"/>
  <c r="J6" i="4"/>
  <c r="J3" i="4"/>
  <c r="P24" i="12"/>
  <c r="D4" i="4"/>
  <c r="P22" i="12"/>
  <c r="I3" i="4"/>
  <c r="P25" i="12"/>
  <c r="I4" i="4"/>
  <c r="D2" i="5" a="1"/>
  <c r="D3" i="4"/>
  <c r="O26" i="12"/>
  <c r="C4" i="4"/>
  <c r="I2" i="4"/>
  <c r="J5" i="4"/>
  <c r="O27" i="12"/>
  <c r="O28" i="12" s="1"/>
  <c r="J2" i="4"/>
  <c r="I5" i="4"/>
  <c r="D5" i="4"/>
  <c r="P26" i="12"/>
  <c r="P27" i="12"/>
  <c r="J4" i="4"/>
  <c r="C6" i="4"/>
  <c r="C2" i="4"/>
  <c r="I88" i="5"/>
  <c r="I35" i="5"/>
  <c r="I103" i="5"/>
  <c r="I22" i="5"/>
  <c r="I65" i="5"/>
  <c r="I96" i="5"/>
  <c r="I92" i="5"/>
  <c r="I50" i="5"/>
  <c r="I74" i="5"/>
  <c r="I102" i="5"/>
  <c r="I124" i="5"/>
  <c r="I91" i="5"/>
  <c r="I26" i="5"/>
  <c r="I33" i="5"/>
  <c r="I5" i="5"/>
  <c r="I117" i="5"/>
  <c r="I56" i="5"/>
  <c r="I52" i="5"/>
  <c r="I29" i="5"/>
  <c r="I41" i="5"/>
  <c r="I99" i="5"/>
  <c r="I39" i="5"/>
  <c r="I106" i="5"/>
  <c r="I109" i="5"/>
  <c r="I69" i="5"/>
  <c r="I57" i="5"/>
  <c r="I20" i="5"/>
  <c r="I101" i="5"/>
  <c r="I54" i="5"/>
  <c r="I4" i="5"/>
  <c r="I32" i="5"/>
  <c r="I17" i="5"/>
  <c r="I70" i="5"/>
  <c r="I113" i="5"/>
  <c r="I6" i="5"/>
  <c r="I12" i="5"/>
  <c r="I86" i="5"/>
  <c r="I115" i="5"/>
  <c r="I55" i="5"/>
  <c r="I79" i="5"/>
  <c r="I71" i="5"/>
  <c r="I28" i="5"/>
  <c r="I2" i="5"/>
  <c r="I30" i="5"/>
  <c r="I24" i="5"/>
  <c r="I36" i="5"/>
  <c r="I8" i="5"/>
  <c r="I49" i="5"/>
  <c r="I23" i="5"/>
  <c r="I59" i="5"/>
  <c r="I100" i="5"/>
  <c r="I90" i="5"/>
  <c r="I76" i="5"/>
  <c r="I43" i="5"/>
  <c r="I94" i="5"/>
  <c r="I25" i="5"/>
  <c r="I108" i="5"/>
  <c r="I116" i="5"/>
  <c r="I7" i="5"/>
  <c r="I73" i="5"/>
  <c r="I34" i="5"/>
  <c r="I82" i="5"/>
  <c r="I72" i="5"/>
  <c r="I42" i="5"/>
  <c r="I111" i="5"/>
  <c r="I81" i="5"/>
  <c r="I51" i="5"/>
  <c r="I19" i="5"/>
  <c r="I126" i="5"/>
  <c r="I110" i="5"/>
  <c r="I60" i="5"/>
  <c r="I104" i="5"/>
  <c r="I80" i="5"/>
  <c r="I16" i="5"/>
  <c r="I66" i="5"/>
  <c r="I85" i="5"/>
  <c r="I125" i="5"/>
  <c r="I48" i="5"/>
  <c r="I31" i="5"/>
  <c r="I119" i="5"/>
  <c r="I3" i="5"/>
  <c r="I87" i="5"/>
  <c r="I15" i="5"/>
  <c r="I121" i="5"/>
  <c r="I122" i="5"/>
  <c r="I27" i="5"/>
  <c r="I18" i="5"/>
  <c r="I10" i="5"/>
  <c r="I64" i="5"/>
  <c r="I105" i="5"/>
  <c r="I98" i="5"/>
  <c r="I97" i="5"/>
  <c r="I62" i="5"/>
  <c r="I9" i="5"/>
  <c r="I53" i="5"/>
  <c r="I14" i="5"/>
  <c r="I118" i="5"/>
  <c r="I95" i="5"/>
  <c r="I45" i="5"/>
  <c r="I83" i="5"/>
  <c r="I11" i="5"/>
  <c r="I93" i="5"/>
  <c r="I77" i="5"/>
  <c r="I37" i="5"/>
  <c r="I21" i="5"/>
  <c r="I68" i="5"/>
  <c r="I114" i="5"/>
  <c r="I13" i="5"/>
  <c r="I107" i="5"/>
  <c r="I47" i="5"/>
  <c r="I123" i="5"/>
  <c r="I61" i="5"/>
  <c r="I84" i="5"/>
  <c r="I78" i="5"/>
  <c r="I75" i="5"/>
  <c r="I89" i="5"/>
  <c r="I40" i="5"/>
  <c r="I120" i="5"/>
  <c r="I38" i="5"/>
  <c r="I63" i="5"/>
  <c r="I67" i="5"/>
  <c r="I58" i="5"/>
  <c r="I112" i="5"/>
  <c r="I46" i="5"/>
  <c r="I44" i="5"/>
  <c r="C25" i="6"/>
  <c r="P28" i="12"/>
  <c r="O29" i="12"/>
  <c r="O30" i="12"/>
  <c r="P29" i="12"/>
  <c r="O31" i="12"/>
  <c r="P30" i="12"/>
  <c r="P31" i="12"/>
  <c r="O32" i="12"/>
  <c r="O33" i="12"/>
  <c r="P32" i="12"/>
  <c r="O34" i="12"/>
  <c r="P33" i="12"/>
  <c r="P34" i="12"/>
  <c r="O35" i="12"/>
  <c r="O36" i="12"/>
  <c r="P35" i="12"/>
  <c r="P36" i="12"/>
  <c r="O37" i="12"/>
  <c r="P37" i="12"/>
  <c r="O38" i="12"/>
  <c r="P38" i="12"/>
  <c r="O39" i="12"/>
  <c r="P39" i="12"/>
  <c r="O40" i="12"/>
  <c r="P40" i="12"/>
  <c r="O41" i="12"/>
  <c r="O42" i="12"/>
  <c r="P41" i="12"/>
  <c r="O43" i="12"/>
  <c r="P42" i="12"/>
  <c r="P43" i="12"/>
  <c r="O44" i="12"/>
  <c r="P44" i="12"/>
  <c r="O45" i="12"/>
  <c r="O46" i="12"/>
  <c r="P45" i="12"/>
  <c r="P46" i="12"/>
  <c r="O47" i="12"/>
  <c r="O48" i="12"/>
  <c r="P47" i="12"/>
  <c r="O49" i="12"/>
  <c r="P48" i="12"/>
  <c r="O50" i="12"/>
  <c r="P49" i="12"/>
  <c r="P50" i="12"/>
  <c r="O51" i="12"/>
  <c r="P51" i="12"/>
  <c r="O52" i="12"/>
  <c r="P52" i="12"/>
  <c r="O53" i="12"/>
  <c r="P53" i="12"/>
  <c r="O54" i="12"/>
  <c r="P54" i="12"/>
  <c r="O55" i="12"/>
  <c r="P55" i="12"/>
  <c r="O56" i="12"/>
  <c r="P56" i="12"/>
  <c r="O57" i="12"/>
  <c r="P57" i="12"/>
  <c r="O58" i="12"/>
  <c r="O59" i="12"/>
  <c r="P58" i="12"/>
  <c r="P59" i="12"/>
  <c r="O60" i="12"/>
  <c r="P60" i="12"/>
  <c r="O61" i="12"/>
  <c r="O62" i="12"/>
  <c r="P61" i="12"/>
  <c r="P62" i="12"/>
  <c r="O63" i="12"/>
  <c r="O64" i="12"/>
  <c r="P63" i="12"/>
  <c r="P64" i="12"/>
  <c r="O65" i="12"/>
  <c r="P65" i="12"/>
  <c r="O66" i="12"/>
  <c r="O67" i="12"/>
  <c r="P66" i="12"/>
  <c r="P67" i="12"/>
  <c r="O68" i="12"/>
  <c r="O69" i="12"/>
  <c r="P68" i="12"/>
  <c r="P69" i="12"/>
  <c r="O70" i="12"/>
  <c r="O71" i="12"/>
  <c r="P70" i="12"/>
  <c r="P71" i="12"/>
  <c r="O72" i="12"/>
  <c r="P72" i="12"/>
  <c r="O73" i="12"/>
  <c r="P73" i="12"/>
  <c r="O74" i="12"/>
  <c r="P74" i="12"/>
  <c r="O75" i="12"/>
  <c r="O76" i="12"/>
  <c r="P75" i="12"/>
  <c r="P76" i="12"/>
  <c r="O77" i="12"/>
  <c r="O78" i="12"/>
  <c r="P77" i="12"/>
  <c r="O79" i="12"/>
  <c r="P78" i="12"/>
  <c r="P79" i="12"/>
  <c r="O80" i="12"/>
  <c r="P80" i="12"/>
  <c r="O81" i="12"/>
  <c r="P81" i="12"/>
  <c r="O82" i="12"/>
  <c r="P82" i="12"/>
  <c r="O83" i="12"/>
  <c r="P83" i="12"/>
  <c r="O84" i="12"/>
  <c r="P84" i="12"/>
  <c r="O85" i="12"/>
  <c r="P85" i="12"/>
  <c r="O86" i="12"/>
  <c r="O87" i="12"/>
  <c r="P86" i="12"/>
  <c r="O88" i="12"/>
  <c r="P87" i="12"/>
  <c r="O89" i="12"/>
  <c r="P88" i="12"/>
  <c r="P89" i="12"/>
  <c r="O90" i="12"/>
  <c r="O91" i="12"/>
  <c r="P90" i="12"/>
  <c r="P91" i="12"/>
  <c r="O92" i="12"/>
  <c r="P92" i="12"/>
  <c r="O93" i="12"/>
  <c r="P93" i="12"/>
  <c r="O94" i="12"/>
  <c r="P94" i="12"/>
  <c r="O95" i="12"/>
  <c r="P95" i="12"/>
  <c r="O96" i="12"/>
  <c r="P96" i="12"/>
  <c r="O97" i="12"/>
  <c r="P97" i="12"/>
  <c r="O98" i="12"/>
  <c r="O99" i="12"/>
  <c r="P98" i="12"/>
  <c r="P99" i="12"/>
  <c r="O100" i="12"/>
  <c r="O101" i="12"/>
  <c r="P100" i="12"/>
  <c r="P101" i="12"/>
  <c r="O102" i="12"/>
  <c r="P102" i="12"/>
  <c r="O103" i="12"/>
  <c r="O104" i="12"/>
  <c r="P103" i="12"/>
  <c r="P104" i="12"/>
  <c r="O105" i="12"/>
  <c r="O106" i="12"/>
  <c r="P105" i="12"/>
  <c r="O107" i="12"/>
  <c r="P106" i="12"/>
  <c r="O108" i="12"/>
  <c r="P107" i="12"/>
  <c r="P108" i="12"/>
  <c r="O109" i="12"/>
  <c r="O110" i="12"/>
  <c r="P109" i="12"/>
  <c r="P110" i="12"/>
  <c r="O111" i="12"/>
  <c r="P111" i="12"/>
  <c r="O112" i="12"/>
  <c r="P112" i="12"/>
  <c r="O113" i="12"/>
  <c r="P113" i="12"/>
  <c r="O114" i="12"/>
  <c r="O115" i="12"/>
  <c r="P114" i="12"/>
  <c r="O116" i="12"/>
  <c r="P115" i="12"/>
  <c r="O117" i="12"/>
  <c r="P116" i="12"/>
  <c r="O118" i="12"/>
  <c r="P117" i="12"/>
  <c r="P118" i="12"/>
  <c r="O119" i="12"/>
  <c r="O120" i="12"/>
  <c r="P119" i="12"/>
  <c r="O121" i="12"/>
  <c r="P120" i="12"/>
  <c r="O122" i="12"/>
  <c r="P121" i="12"/>
  <c r="P122" i="12"/>
  <c r="O123" i="12"/>
  <c r="P123" i="12"/>
  <c r="O124" i="12"/>
  <c r="O125" i="12"/>
  <c r="P124" i="12"/>
  <c r="P125" i="12"/>
  <c r="O126" i="12"/>
  <c r="O127" i="12"/>
  <c r="P126" i="12"/>
  <c r="P127" i="12"/>
  <c r="O128" i="12"/>
  <c r="O129" i="12"/>
  <c r="P128" i="12"/>
  <c r="P129" i="12"/>
  <c r="O130" i="12"/>
  <c r="P130" i="12"/>
  <c r="O131" i="12"/>
  <c r="P131" i="12"/>
  <c r="O132" i="12"/>
  <c r="P132" i="12"/>
  <c r="O133" i="12"/>
  <c r="P133" i="12"/>
  <c r="O134" i="12"/>
  <c r="O135" i="12"/>
  <c r="P134" i="12"/>
  <c r="O136" i="12"/>
  <c r="P135" i="12"/>
  <c r="O137" i="12"/>
  <c r="P136" i="12"/>
  <c r="O138" i="12"/>
  <c r="P137" i="12"/>
  <c r="O139" i="12"/>
  <c r="P138" i="12"/>
  <c r="P139" i="12"/>
  <c r="O140" i="12"/>
  <c r="O141" i="12"/>
  <c r="P140" i="12"/>
  <c r="P141" i="12"/>
  <c r="O142" i="12"/>
  <c r="P142" i="12"/>
  <c r="O143" i="12"/>
  <c r="O144" i="12"/>
  <c r="P143" i="12"/>
  <c r="P144" i="12"/>
  <c r="O145" i="12"/>
  <c r="O146" i="12"/>
  <c r="P145" i="12"/>
  <c r="O147" i="12"/>
  <c r="P146" i="12"/>
  <c r="O148" i="12"/>
  <c r="P147" i="12"/>
  <c r="P148" i="12"/>
  <c r="O149" i="12"/>
  <c r="P149" i="12"/>
  <c r="O150" i="12"/>
  <c r="P150" i="12"/>
  <c r="O151" i="12"/>
  <c r="P151" i="12"/>
  <c r="O152" i="12"/>
  <c r="P152" i="12"/>
  <c r="O153" i="12"/>
  <c r="P153" i="12"/>
  <c r="O154" i="12"/>
  <c r="P154" i="12"/>
  <c r="O155" i="12"/>
  <c r="P155" i="12"/>
  <c r="O156" i="12"/>
  <c r="O157" i="12"/>
  <c r="P156" i="12"/>
  <c r="P157" i="12"/>
  <c r="O158" i="12"/>
  <c r="O159" i="12"/>
  <c r="P158" i="12"/>
  <c r="O160" i="12"/>
  <c r="P159" i="12"/>
  <c r="O161" i="12"/>
  <c r="P160" i="12"/>
  <c r="P161" i="12"/>
  <c r="O162" i="12"/>
  <c r="P162" i="12"/>
  <c r="O163" i="12"/>
  <c r="O164" i="12"/>
  <c r="P163" i="12"/>
  <c r="P164" i="12"/>
  <c r="O165" i="12"/>
  <c r="P165" i="12"/>
  <c r="O166" i="12"/>
  <c r="O167" i="12"/>
  <c r="P166" i="12"/>
  <c r="P167" i="12"/>
  <c r="O168" i="12"/>
  <c r="P168" i="12"/>
  <c r="O169" i="12"/>
  <c r="O170" i="12"/>
  <c r="P169" i="12"/>
  <c r="O171" i="12"/>
  <c r="P170" i="12"/>
  <c r="O172" i="12"/>
  <c r="P171" i="12"/>
  <c r="P172" i="12"/>
  <c r="O173" i="12"/>
  <c r="O174" i="12"/>
  <c r="P173" i="12"/>
  <c r="P174" i="12"/>
  <c r="O175" i="12"/>
  <c r="P175" i="12"/>
  <c r="O176" i="12"/>
  <c r="P176" i="12"/>
  <c r="O177" i="12"/>
  <c r="P177" i="12"/>
  <c r="O178" i="12"/>
  <c r="P178" i="12"/>
  <c r="O179" i="12"/>
  <c r="O180" i="12"/>
  <c r="P179" i="12"/>
  <c r="O181" i="12"/>
  <c r="P180" i="12"/>
  <c r="O182" i="12"/>
  <c r="P181" i="12"/>
  <c r="P182" i="12"/>
  <c r="O183" i="12"/>
  <c r="P183" i="12"/>
  <c r="O184" i="12"/>
  <c r="P184" i="12"/>
  <c r="O185" i="12"/>
  <c r="P185" i="12"/>
  <c r="O186" i="12"/>
  <c r="P186" i="12"/>
  <c r="O187" i="12"/>
  <c r="O188" i="12"/>
  <c r="P187" i="12"/>
  <c r="P188" i="12"/>
  <c r="O189" i="12"/>
  <c r="P189" i="12"/>
  <c r="O190" i="12"/>
  <c r="O191" i="12"/>
  <c r="P190" i="12"/>
  <c r="O192" i="12"/>
  <c r="P191" i="12"/>
  <c r="O193" i="12"/>
  <c r="P192" i="12"/>
  <c r="O194" i="12"/>
  <c r="P193" i="12"/>
  <c r="O195" i="12"/>
  <c r="P194" i="12"/>
  <c r="P195" i="12"/>
  <c r="O196" i="12"/>
  <c r="O197" i="12"/>
  <c r="P196" i="12"/>
  <c r="O198" i="12"/>
  <c r="P197" i="12"/>
  <c r="O199" i="12"/>
  <c r="P198" i="12"/>
  <c r="P199" i="12"/>
  <c r="O200" i="12"/>
  <c r="O201" i="12"/>
  <c r="P200" i="12"/>
  <c r="P201" i="12"/>
  <c r="O202" i="12"/>
  <c r="O203" i="12"/>
  <c r="P202" i="12"/>
  <c r="P203" i="12"/>
  <c r="O204" i="12"/>
  <c r="P204" i="12"/>
  <c r="O205" i="12"/>
  <c r="O206" i="12"/>
  <c r="P205" i="12"/>
  <c r="O207" i="12"/>
  <c r="P206" i="12"/>
  <c r="P207" i="12"/>
  <c r="O208" i="12"/>
  <c r="P208" i="12"/>
  <c r="O209" i="12"/>
  <c r="P209" i="12"/>
  <c r="O210" i="12"/>
  <c r="P210" i="12"/>
  <c r="O211" i="12"/>
  <c r="P211" i="12"/>
  <c r="O212" i="12"/>
  <c r="P212" i="12"/>
  <c r="O213" i="12"/>
  <c r="P213" i="12"/>
  <c r="O214" i="12"/>
  <c r="O215" i="12"/>
  <c r="P214" i="12"/>
  <c r="P215" i="12"/>
  <c r="O216" i="12"/>
  <c r="P216" i="12"/>
  <c r="O217" i="12"/>
  <c r="O218" i="12"/>
  <c r="P217" i="12"/>
  <c r="O219" i="12"/>
  <c r="P218" i="12"/>
  <c r="O220" i="12"/>
  <c r="P219" i="12"/>
  <c r="P220" i="12"/>
  <c r="O221" i="12"/>
  <c r="O222" i="12"/>
  <c r="P221" i="12"/>
  <c r="P222" i="12"/>
  <c r="O223" i="12"/>
  <c r="P223" i="12"/>
  <c r="O224" i="12"/>
  <c r="P224" i="12"/>
  <c r="O225" i="12"/>
  <c r="P225" i="12"/>
  <c r="O226" i="12"/>
  <c r="P226" i="12"/>
  <c r="O227" i="12"/>
  <c r="P227" i="12"/>
  <c r="O228" i="12"/>
  <c r="O229" i="12"/>
  <c r="P228" i="12"/>
  <c r="P229" i="12"/>
  <c r="O230" i="12"/>
  <c r="O231" i="12"/>
  <c r="P230" i="12"/>
  <c r="O232" i="12"/>
  <c r="P231" i="12"/>
  <c r="O233" i="12"/>
  <c r="P232" i="12"/>
  <c r="P233" i="12"/>
  <c r="O234" i="12"/>
  <c r="P234" i="12"/>
  <c r="O235" i="12"/>
  <c r="O236" i="12"/>
  <c r="P235" i="12"/>
  <c r="O237" i="12"/>
  <c r="P236" i="12"/>
  <c r="O238" i="12"/>
  <c r="P237" i="12"/>
  <c r="P238" i="12"/>
  <c r="O239" i="12"/>
  <c r="O240" i="12"/>
  <c r="P239" i="12"/>
  <c r="P240" i="12"/>
  <c r="O241" i="12"/>
  <c r="O242" i="12"/>
  <c r="P241" i="12"/>
  <c r="O243" i="12"/>
  <c r="P242" i="12"/>
  <c r="P243" i="12"/>
  <c r="O244" i="12"/>
  <c r="P244" i="12"/>
  <c r="O245" i="12"/>
  <c r="O246" i="12"/>
  <c r="P245" i="12"/>
  <c r="P246" i="12"/>
  <c r="O247" i="12"/>
  <c r="O248" i="12"/>
  <c r="P247" i="12"/>
  <c r="O249" i="12"/>
  <c r="P248" i="12"/>
  <c r="O250" i="12"/>
  <c r="P249" i="12"/>
  <c r="O251" i="12"/>
  <c r="P250" i="12"/>
  <c r="P251" i="12"/>
  <c r="O252" i="12"/>
  <c r="P252" i="12"/>
  <c r="O253" i="12"/>
  <c r="P253" i="12"/>
  <c r="O254" i="12"/>
  <c r="O255" i="12"/>
  <c r="P254" i="12"/>
  <c r="P255" i="12"/>
  <c r="O256" i="12"/>
  <c r="P256" i="12"/>
  <c r="O257" i="12"/>
  <c r="P257" i="12"/>
  <c r="O258" i="12"/>
  <c r="O259" i="12"/>
  <c r="P258" i="12"/>
  <c r="O260" i="12"/>
  <c r="P259" i="12"/>
  <c r="P260" i="12"/>
  <c r="O261" i="12"/>
  <c r="P261" i="12"/>
  <c r="O262" i="12"/>
  <c r="O263" i="12"/>
  <c r="P262" i="12"/>
  <c r="O264" i="12"/>
  <c r="P263" i="12"/>
  <c r="P264" i="12"/>
  <c r="O265" i="12"/>
  <c r="P265" i="12"/>
  <c r="O266" i="12"/>
  <c r="O267" i="12"/>
  <c r="P266" i="12"/>
  <c r="O268" i="12"/>
  <c r="P267" i="12"/>
  <c r="P268" i="12"/>
  <c r="O269" i="12"/>
  <c r="O270" i="12"/>
  <c r="P269" i="12"/>
  <c r="O271" i="12"/>
  <c r="P270" i="12"/>
  <c r="P271" i="12"/>
  <c r="O272" i="12"/>
  <c r="P272" i="12"/>
  <c r="O273" i="12"/>
  <c r="P273" i="12"/>
  <c r="O274" i="12"/>
  <c r="P274" i="12"/>
  <c r="O275" i="12"/>
  <c r="O276" i="12"/>
  <c r="P275" i="12"/>
  <c r="P276" i="12"/>
  <c r="O277" i="12"/>
  <c r="P277" i="12"/>
  <c r="O278" i="12"/>
  <c r="P278" i="12"/>
  <c r="O279" i="12"/>
  <c r="O280" i="12"/>
  <c r="P279" i="12"/>
  <c r="P280" i="12"/>
  <c r="O281" i="12"/>
  <c r="P281" i="12"/>
  <c r="O282" i="12"/>
  <c r="P282" i="12"/>
  <c r="O283" i="12"/>
  <c r="O284" i="12"/>
  <c r="P283" i="12"/>
  <c r="P284" i="12"/>
  <c r="O285" i="12"/>
  <c r="P285" i="12"/>
  <c r="O286" i="12"/>
  <c r="P286" i="12"/>
  <c r="O287" i="12"/>
  <c r="O288" i="12"/>
  <c r="P287" i="12"/>
  <c r="P288" i="12"/>
  <c r="O289" i="12"/>
  <c r="P289" i="12"/>
  <c r="O290" i="12"/>
  <c r="P290" i="12"/>
  <c r="O291" i="12"/>
  <c r="O292" i="12"/>
  <c r="P291" i="12"/>
  <c r="O293" i="12"/>
  <c r="P292" i="12"/>
  <c r="P293" i="12"/>
  <c r="O294" i="12"/>
  <c r="O295" i="12"/>
  <c r="P294" i="12"/>
  <c r="P295" i="12"/>
  <c r="O296" i="12"/>
  <c r="P296" i="12"/>
  <c r="O297" i="12"/>
  <c r="P297" i="12"/>
  <c r="O298" i="12"/>
  <c r="P298" i="12"/>
  <c r="O299" i="12"/>
  <c r="P299" i="12"/>
  <c r="O300" i="12"/>
  <c r="P300" i="12"/>
  <c r="O301" i="12"/>
  <c r="P301" i="12"/>
  <c r="O302" i="12"/>
  <c r="O303" i="12"/>
  <c r="P302" i="12"/>
  <c r="O304" i="12"/>
  <c r="P303" i="12"/>
  <c r="P304" i="12"/>
  <c r="O305" i="12"/>
  <c r="P305" i="12"/>
  <c r="O306" i="12"/>
  <c r="P306" i="12"/>
  <c r="O307" i="12"/>
  <c r="O308" i="12"/>
  <c r="P307" i="12"/>
  <c r="P308" i="12"/>
  <c r="O309" i="12"/>
  <c r="O310" i="12"/>
  <c r="P309" i="12"/>
  <c r="O311" i="12"/>
  <c r="P310" i="12"/>
  <c r="P311" i="12"/>
  <c r="O312" i="12"/>
  <c r="O313" i="12"/>
  <c r="P312" i="12"/>
  <c r="O314" i="12"/>
  <c r="P313" i="12"/>
  <c r="O315" i="12"/>
  <c r="P314" i="12"/>
  <c r="P315" i="12"/>
  <c r="O316" i="12"/>
  <c r="O317" i="12"/>
  <c r="P316" i="12"/>
  <c r="P317" i="12"/>
  <c r="O318" i="12"/>
  <c r="P318" i="12"/>
  <c r="O319" i="12"/>
  <c r="O320" i="12"/>
  <c r="P319" i="12"/>
  <c r="O321" i="12"/>
  <c r="P320" i="12"/>
  <c r="O322" i="12"/>
  <c r="P321" i="12"/>
  <c r="O323" i="12"/>
  <c r="P322" i="12"/>
  <c r="P323" i="12"/>
  <c r="O324" i="12"/>
  <c r="O325" i="12"/>
  <c r="P324" i="12"/>
  <c r="P325" i="12"/>
  <c r="O326" i="12"/>
  <c r="P326" i="12"/>
  <c r="O327" i="12"/>
  <c r="P327" i="12"/>
  <c r="O328" i="12"/>
  <c r="P328" i="12"/>
  <c r="O329" i="12"/>
  <c r="P329" i="12"/>
  <c r="O330" i="12"/>
  <c r="O331" i="12"/>
  <c r="P330" i="12"/>
  <c r="P331" i="12"/>
  <c r="O332" i="12"/>
  <c r="O333" i="12"/>
  <c r="P332" i="12"/>
  <c r="O334" i="12"/>
  <c r="P333" i="12"/>
  <c r="O335" i="12"/>
  <c r="P334" i="12"/>
  <c r="P335" i="12"/>
  <c r="O336" i="12"/>
  <c r="O337" i="12"/>
  <c r="P336" i="12"/>
  <c r="O338" i="12"/>
  <c r="P337" i="12"/>
  <c r="P338" i="12"/>
  <c r="O339" i="12"/>
  <c r="O340" i="12"/>
  <c r="P339" i="12"/>
  <c r="P340" i="12"/>
  <c r="O341" i="12"/>
  <c r="P341" i="12"/>
  <c r="O342" i="12"/>
  <c r="O343" i="12"/>
  <c r="P342" i="12"/>
  <c r="O344" i="12"/>
  <c r="P343" i="12"/>
  <c r="P344" i="12"/>
  <c r="O345" i="12"/>
  <c r="P345" i="12"/>
  <c r="O346" i="12"/>
  <c r="O347" i="12"/>
  <c r="P346" i="12"/>
  <c r="P347" i="12"/>
  <c r="O348" i="12"/>
  <c r="P348" i="12"/>
  <c r="O349" i="12"/>
  <c r="P349" i="12"/>
  <c r="O350" i="12"/>
  <c r="O351" i="12"/>
  <c r="P350" i="12"/>
  <c r="P351" i="12"/>
  <c r="O352" i="12"/>
  <c r="O353" i="12"/>
  <c r="P352" i="12"/>
  <c r="O354" i="12"/>
  <c r="P353" i="12"/>
  <c r="P354" i="12"/>
  <c r="O355" i="12"/>
  <c r="O356" i="12"/>
  <c r="P355" i="12"/>
  <c r="O357" i="12"/>
  <c r="P356" i="12"/>
  <c r="P357" i="12"/>
  <c r="O358" i="12"/>
  <c r="P358" i="12"/>
  <c r="O359" i="12"/>
  <c r="P359" i="12"/>
  <c r="O360" i="12"/>
  <c r="P360" i="12"/>
  <c r="O361" i="12"/>
  <c r="P361" i="12"/>
  <c r="O362" i="12"/>
  <c r="P362" i="12"/>
  <c r="O363" i="12"/>
  <c r="O364" i="12"/>
  <c r="P363" i="12"/>
  <c r="O365" i="12"/>
  <c r="P364" i="12"/>
  <c r="O366" i="12"/>
  <c r="P365" i="12"/>
  <c r="O367" i="12"/>
  <c r="P366" i="12"/>
  <c r="O368" i="12"/>
  <c r="P367" i="12"/>
  <c r="O369" i="12"/>
  <c r="P368" i="12"/>
  <c r="O370" i="12"/>
  <c r="P369" i="12"/>
  <c r="P370" i="12"/>
  <c r="O371" i="12"/>
  <c r="P371" i="12"/>
  <c r="O372" i="12"/>
  <c r="P372" i="12"/>
  <c r="O373" i="12"/>
  <c r="O374" i="12"/>
  <c r="P373" i="12"/>
  <c r="O375" i="12"/>
  <c r="P374" i="12"/>
  <c r="P375" i="12"/>
  <c r="O376" i="12"/>
  <c r="P376" i="12"/>
  <c r="O377" i="12"/>
  <c r="O378" i="12"/>
  <c r="P377" i="12"/>
  <c r="P378" i="12"/>
  <c r="O379" i="12"/>
  <c r="P379" i="12"/>
  <c r="O380" i="12"/>
  <c r="P380" i="12"/>
  <c r="O381" i="12"/>
  <c r="P381" i="12"/>
  <c r="O382" i="12"/>
  <c r="O383" i="12"/>
  <c r="P382" i="12"/>
  <c r="O384" i="12"/>
  <c r="P383" i="12"/>
  <c r="P384" i="12"/>
  <c r="O385" i="12"/>
  <c r="O386" i="12"/>
  <c r="P385" i="12"/>
  <c r="P386" i="12"/>
  <c r="O387" i="12"/>
  <c r="P387" i="12"/>
  <c r="O388" i="12"/>
  <c r="O389" i="12"/>
  <c r="P388" i="12"/>
  <c r="O390" i="12"/>
  <c r="P389" i="12"/>
  <c r="O391" i="12"/>
  <c r="P390" i="12"/>
  <c r="P391" i="12"/>
  <c r="O392" i="12"/>
  <c r="O393" i="12"/>
  <c r="P392" i="12"/>
  <c r="P393" i="12"/>
  <c r="O394" i="12"/>
  <c r="O395" i="12"/>
  <c r="P394" i="12"/>
  <c r="P395" i="12"/>
  <c r="O396" i="12"/>
  <c r="P396" i="12"/>
  <c r="O397" i="12"/>
  <c r="O398" i="12"/>
  <c r="P397" i="12"/>
  <c r="O399" i="12"/>
  <c r="P398" i="12"/>
  <c r="P399" i="12"/>
  <c r="O400" i="12"/>
  <c r="O401" i="12"/>
  <c r="P400" i="12"/>
  <c r="O402" i="12"/>
  <c r="P401" i="12"/>
  <c r="P402" i="12"/>
  <c r="O403" i="12"/>
  <c r="O404" i="12"/>
  <c r="P403" i="12"/>
  <c r="O405" i="12"/>
  <c r="P404" i="12"/>
  <c r="P405" i="12"/>
  <c r="O406" i="12"/>
  <c r="O407" i="12"/>
  <c r="P406" i="12"/>
  <c r="O408" i="12"/>
  <c r="P407" i="12"/>
  <c r="P408" i="12"/>
  <c r="O409" i="12"/>
  <c r="P409" i="12"/>
  <c r="O410" i="12"/>
  <c r="P410" i="12"/>
  <c r="O411" i="12"/>
  <c r="O412" i="12"/>
  <c r="P411" i="12"/>
  <c r="P412" i="12"/>
  <c r="O413" i="12"/>
  <c r="O414" i="12"/>
  <c r="P413" i="12"/>
  <c r="O415" i="12"/>
  <c r="P414" i="12"/>
  <c r="O416" i="12"/>
  <c r="P415" i="12"/>
  <c r="P416" i="12"/>
  <c r="O417" i="12"/>
  <c r="O418" i="12"/>
  <c r="P417" i="12"/>
  <c r="O419" i="12"/>
  <c r="P418" i="12"/>
  <c r="P419" i="12"/>
  <c r="O420" i="12"/>
  <c r="O421" i="12"/>
  <c r="P420" i="12"/>
  <c r="P421" i="12"/>
  <c r="O422" i="12"/>
  <c r="O423" i="12"/>
  <c r="P422" i="12"/>
  <c r="O424" i="12"/>
  <c r="P423" i="12"/>
  <c r="P424" i="12"/>
  <c r="O425" i="12"/>
  <c r="O426" i="12"/>
  <c r="P425" i="12"/>
  <c r="O427" i="12"/>
  <c r="P426" i="12"/>
  <c r="O428" i="12"/>
  <c r="P427" i="12"/>
  <c r="P428" i="12"/>
  <c r="O429" i="12"/>
  <c r="O430" i="12"/>
  <c r="P429" i="12"/>
  <c r="P430" i="12"/>
  <c r="O431" i="12"/>
  <c r="P431" i="12"/>
  <c r="O432" i="12"/>
  <c r="P432" i="12"/>
  <c r="O433" i="12"/>
  <c r="P433" i="12"/>
  <c r="O434" i="12"/>
  <c r="O435" i="12"/>
  <c r="P434" i="12"/>
  <c r="P435" i="12"/>
  <c r="O436" i="12"/>
  <c r="P436" i="12"/>
  <c r="O437" i="12"/>
  <c r="O438" i="12"/>
  <c r="P437" i="12"/>
  <c r="O439" i="12"/>
  <c r="P438" i="12"/>
  <c r="P439" i="12"/>
  <c r="O440" i="12"/>
  <c r="P440" i="12"/>
  <c r="O441" i="12"/>
  <c r="P441" i="12"/>
  <c r="O442" i="12"/>
  <c r="P442" i="12"/>
  <c r="O443" i="12"/>
  <c r="O444" i="12"/>
  <c r="P443" i="12"/>
  <c r="P444" i="12"/>
  <c r="O445" i="12"/>
  <c r="O446" i="12"/>
  <c r="P445" i="12"/>
  <c r="P446" i="12"/>
  <c r="O447" i="12"/>
  <c r="O448" i="12"/>
  <c r="P447" i="12"/>
  <c r="O449" i="12"/>
  <c r="P448" i="12"/>
  <c r="O450" i="12"/>
  <c r="P449" i="12"/>
  <c r="P450" i="12"/>
  <c r="O451" i="12"/>
  <c r="O452" i="12"/>
  <c r="P451" i="12"/>
  <c r="P452" i="12"/>
  <c r="O453" i="12"/>
  <c r="P453" i="12"/>
  <c r="O454" i="12"/>
  <c r="O455" i="12"/>
  <c r="P454" i="12"/>
  <c r="P455" i="12"/>
  <c r="O456" i="12"/>
  <c r="O457" i="12"/>
  <c r="P456" i="12"/>
  <c r="O458" i="12"/>
  <c r="P457" i="12"/>
  <c r="P458" i="12"/>
  <c r="O459" i="12"/>
  <c r="O460" i="12"/>
  <c r="P459" i="12"/>
  <c r="P460" i="12"/>
  <c r="O461" i="12"/>
  <c r="P461" i="12"/>
  <c r="O462" i="12"/>
  <c r="O463" i="12"/>
  <c r="P462" i="12"/>
  <c r="P463" i="12"/>
  <c r="O464" i="12"/>
  <c r="P464" i="12"/>
  <c r="O465" i="12"/>
  <c r="P465" i="12"/>
  <c r="O466" i="12"/>
  <c r="P466" i="12"/>
  <c r="O467" i="12"/>
  <c r="O468" i="12"/>
  <c r="P467" i="12"/>
  <c r="O469" i="12"/>
  <c r="P468" i="12"/>
  <c r="O470" i="12"/>
  <c r="P469" i="12"/>
  <c r="O471" i="12"/>
  <c r="P470" i="12"/>
  <c r="O472" i="12"/>
  <c r="P471" i="12"/>
  <c r="P472" i="12"/>
  <c r="O473" i="12"/>
  <c r="P473" i="12"/>
  <c r="O474" i="12"/>
  <c r="P474" i="12"/>
  <c r="O475" i="12"/>
  <c r="P475" i="12"/>
  <c r="O476" i="12"/>
  <c r="O477" i="12"/>
  <c r="P476" i="12"/>
  <c r="O478" i="12"/>
  <c r="P477" i="12"/>
  <c r="O479" i="12"/>
  <c r="P478" i="12"/>
  <c r="O480" i="12"/>
  <c r="P479" i="12"/>
  <c r="O481" i="12"/>
  <c r="P480" i="12"/>
  <c r="P481" i="12"/>
  <c r="O482" i="12"/>
  <c r="O483" i="12"/>
  <c r="P482" i="12"/>
  <c r="O484" i="12"/>
  <c r="P483" i="12"/>
  <c r="P484" i="12"/>
  <c r="O485" i="12"/>
  <c r="P485" i="12"/>
  <c r="O486" i="12"/>
  <c r="O487" i="12"/>
  <c r="P486" i="12"/>
  <c r="O488" i="12"/>
  <c r="P487" i="12"/>
  <c r="O489" i="12"/>
  <c r="P488" i="12"/>
  <c r="P489" i="12"/>
  <c r="O490" i="12"/>
  <c r="O491" i="12"/>
  <c r="P490" i="12"/>
  <c r="O492" i="12"/>
  <c r="P491" i="12"/>
  <c r="O493" i="12"/>
  <c r="P492" i="12"/>
  <c r="P493" i="12"/>
  <c r="O494" i="12"/>
  <c r="P494" i="12"/>
  <c r="O495" i="12"/>
  <c r="P495" i="12"/>
  <c r="O496" i="12"/>
  <c r="O497" i="12"/>
  <c r="P496" i="12"/>
  <c r="O498" i="12"/>
  <c r="P497" i="12"/>
  <c r="O499" i="12"/>
  <c r="P498" i="12"/>
  <c r="O500" i="12"/>
  <c r="P499" i="12"/>
  <c r="O501" i="12"/>
  <c r="P500" i="12"/>
  <c r="P501" i="12"/>
  <c r="O502" i="12"/>
  <c r="O503" i="12"/>
  <c r="P502" i="12"/>
  <c r="O504" i="12"/>
  <c r="P503" i="12"/>
  <c r="P504" i="12"/>
  <c r="O505" i="12"/>
  <c r="P505" i="12"/>
  <c r="O506" i="12"/>
  <c r="O507" i="12"/>
  <c r="P506" i="12"/>
  <c r="P507" i="12"/>
  <c r="O508" i="12"/>
  <c r="P508" i="12"/>
  <c r="O509" i="12"/>
  <c r="P509" i="12"/>
  <c r="O510" i="12"/>
  <c r="P510" i="12"/>
  <c r="O511" i="12"/>
  <c r="P511" i="12"/>
  <c r="O512" i="12"/>
  <c r="O513" i="12"/>
  <c r="P512" i="12"/>
  <c r="P513" i="12"/>
  <c r="O514" i="12"/>
  <c r="P514" i="12"/>
  <c r="O515" i="12"/>
  <c r="O516" i="12"/>
  <c r="P515" i="12"/>
  <c r="P516" i="12"/>
  <c r="O517" i="12"/>
  <c r="P517" i="12"/>
  <c r="O518" i="12"/>
  <c r="O519" i="12"/>
  <c r="P518" i="12"/>
  <c r="O520" i="12"/>
  <c r="P519" i="12"/>
  <c r="O521" i="12"/>
  <c r="P520" i="12"/>
  <c r="O522" i="12"/>
  <c r="P521" i="12"/>
  <c r="O523" i="12"/>
  <c r="P522" i="12"/>
  <c r="P523" i="12"/>
  <c r="O524" i="12"/>
  <c r="P524" i="12"/>
  <c r="O525" i="12"/>
  <c r="O526" i="12"/>
  <c r="P525" i="12"/>
  <c r="P526" i="12"/>
  <c r="O527" i="12"/>
  <c r="O528" i="12"/>
  <c r="P527" i="12"/>
  <c r="P528" i="12"/>
  <c r="O529" i="12"/>
  <c r="P529" i="12"/>
  <c r="O530" i="12"/>
  <c r="P530" i="12"/>
  <c r="O531" i="12"/>
  <c r="O532" i="12"/>
  <c r="P531" i="12"/>
  <c r="P532" i="12"/>
  <c r="O533" i="12"/>
  <c r="O534" i="12"/>
  <c r="P533" i="12"/>
  <c r="P534" i="12"/>
  <c r="O535" i="12"/>
  <c r="P535" i="12"/>
  <c r="O536" i="12"/>
  <c r="P536" i="12"/>
  <c r="O537" i="12"/>
  <c r="O538" i="12"/>
  <c r="P537" i="12"/>
  <c r="O539" i="12"/>
  <c r="P538" i="12"/>
  <c r="P539" i="12"/>
  <c r="O540" i="12"/>
  <c r="O541" i="12"/>
  <c r="P540" i="12"/>
  <c r="O542" i="12"/>
  <c r="P541" i="12"/>
  <c r="O543" i="12"/>
  <c r="P542" i="12"/>
  <c r="P543" i="12"/>
  <c r="O544" i="12"/>
  <c r="P544" i="12"/>
  <c r="O545" i="12"/>
  <c r="O546" i="12"/>
  <c r="P545" i="12"/>
  <c r="O547" i="12"/>
  <c r="P546" i="12"/>
  <c r="P547" i="12"/>
  <c r="O548" i="12"/>
  <c r="O549" i="12"/>
  <c r="P548" i="12"/>
  <c r="P549" i="12"/>
  <c r="O550" i="12"/>
  <c r="O551" i="12"/>
  <c r="P550" i="12"/>
  <c r="O552" i="12"/>
  <c r="P551" i="12"/>
  <c r="O553" i="12"/>
  <c r="P552" i="12"/>
  <c r="P553" i="12"/>
  <c r="O554" i="12"/>
  <c r="O555" i="12"/>
  <c r="P554" i="12"/>
  <c r="P555" i="12"/>
  <c r="O556" i="12"/>
  <c r="O557" i="12"/>
  <c r="P556" i="12"/>
  <c r="P557" i="12"/>
  <c r="O558" i="12"/>
  <c r="O559" i="12"/>
  <c r="P558" i="12"/>
  <c r="O560" i="12"/>
  <c r="P559" i="12"/>
  <c r="O561" i="12"/>
  <c r="P560" i="12"/>
  <c r="P561" i="12"/>
  <c r="O562" i="12"/>
  <c r="O563" i="12"/>
  <c r="P562" i="12"/>
  <c r="P563" i="12"/>
  <c r="O564" i="12"/>
  <c r="O565" i="12"/>
  <c r="P564" i="12"/>
  <c r="O566" i="12"/>
  <c r="P565" i="12"/>
  <c r="O567" i="12"/>
  <c r="P566" i="12"/>
  <c r="P567" i="12"/>
  <c r="O568" i="12"/>
  <c r="O569" i="12"/>
  <c r="P568" i="12"/>
  <c r="P569" i="12"/>
  <c r="O570" i="12"/>
  <c r="P570" i="12"/>
  <c r="O571" i="12"/>
  <c r="P571" i="12"/>
  <c r="O572" i="12"/>
  <c r="P572" i="12"/>
  <c r="O573" i="12"/>
  <c r="O574" i="12"/>
  <c r="P573" i="12"/>
  <c r="O575" i="12"/>
  <c r="P574" i="12"/>
  <c r="P575" i="12"/>
  <c r="O576" i="12"/>
  <c r="O577" i="12"/>
  <c r="P576" i="12"/>
  <c r="O578" i="12"/>
  <c r="P577" i="12"/>
  <c r="O579" i="12"/>
  <c r="P578" i="12"/>
  <c r="O580" i="12"/>
  <c r="P579" i="12"/>
  <c r="O581" i="12"/>
  <c r="P580" i="12"/>
  <c r="O582" i="12"/>
  <c r="P581" i="12"/>
  <c r="O583" i="12"/>
  <c r="P582" i="12"/>
  <c r="O584" i="12"/>
  <c r="P583" i="12"/>
  <c r="O585" i="12"/>
  <c r="P584" i="12"/>
  <c r="P585" i="12"/>
  <c r="O586" i="12"/>
  <c r="O587" i="12"/>
  <c r="P586" i="12"/>
  <c r="O588" i="12"/>
  <c r="P587" i="12"/>
  <c r="P588" i="12"/>
  <c r="O589" i="12"/>
  <c r="O590" i="12"/>
  <c r="P589" i="12"/>
  <c r="P590" i="12"/>
  <c r="O591" i="12"/>
  <c r="P591" i="12"/>
  <c r="O592" i="12"/>
  <c r="O593" i="12"/>
  <c r="P592" i="12"/>
  <c r="P593" i="12"/>
  <c r="O594" i="12"/>
  <c r="P594" i="12"/>
  <c r="O595" i="12"/>
  <c r="O596" i="12"/>
  <c r="P595" i="12"/>
  <c r="O597" i="12"/>
  <c r="P596" i="12"/>
  <c r="P597" i="12"/>
  <c r="O598" i="12"/>
  <c r="P598" i="12"/>
  <c r="O599" i="12"/>
  <c r="P599" i="12"/>
  <c r="O600" i="12"/>
  <c r="P600" i="12"/>
  <c r="O601" i="12"/>
  <c r="O602" i="12"/>
  <c r="P601" i="12"/>
  <c r="P602" i="12"/>
  <c r="O603" i="12"/>
  <c r="O604" i="12"/>
  <c r="P603" i="12"/>
  <c r="O605" i="12"/>
  <c r="P604" i="12"/>
  <c r="P605" i="12"/>
  <c r="O606" i="12"/>
  <c r="O607" i="12"/>
  <c r="P606" i="12"/>
  <c r="O608" i="12"/>
  <c r="P607" i="12"/>
  <c r="O609" i="12"/>
  <c r="P608" i="12"/>
  <c r="O610" i="12"/>
  <c r="P609" i="12"/>
  <c r="O611" i="12"/>
  <c r="P610" i="12"/>
  <c r="P611" i="12"/>
  <c r="O612" i="12"/>
  <c r="P612" i="12"/>
  <c r="O613" i="12"/>
  <c r="O614" i="12"/>
  <c r="P613" i="12"/>
  <c r="O615" i="12"/>
  <c r="P614" i="12"/>
  <c r="O616" i="12"/>
  <c r="P615" i="12"/>
  <c r="P616" i="12"/>
  <c r="O617" i="12"/>
  <c r="O618" i="12"/>
  <c r="P617" i="12"/>
  <c r="O619" i="12"/>
  <c r="P618" i="12"/>
  <c r="O620" i="12"/>
  <c r="P619" i="12"/>
  <c r="O621" i="12"/>
  <c r="P620" i="12"/>
  <c r="P621" i="12"/>
  <c r="O622" i="12"/>
  <c r="O623" i="12"/>
  <c r="P622" i="12"/>
  <c r="O624" i="12"/>
  <c r="P623" i="12"/>
  <c r="P624" i="12"/>
  <c r="O625" i="12"/>
  <c r="O626" i="12"/>
  <c r="P625" i="12"/>
  <c r="O627" i="12"/>
  <c r="P626" i="12"/>
  <c r="P627" i="12"/>
  <c r="O628" i="12"/>
  <c r="P628" i="12"/>
  <c r="O629" i="12"/>
  <c r="O630" i="12"/>
  <c r="P629" i="12"/>
  <c r="O631" i="12"/>
  <c r="P630" i="12"/>
  <c r="O632" i="12"/>
  <c r="P631" i="12"/>
  <c r="O633" i="12"/>
  <c r="P632" i="12"/>
  <c r="O634" i="12"/>
  <c r="P633" i="12"/>
  <c r="O635" i="12"/>
  <c r="P634" i="12"/>
  <c r="O636" i="12"/>
  <c r="P635" i="12"/>
  <c r="O637" i="12"/>
  <c r="P636" i="12"/>
  <c r="P637" i="12"/>
  <c r="O638" i="12"/>
  <c r="O639" i="12"/>
  <c r="P638" i="12"/>
  <c r="O640" i="12"/>
  <c r="P639" i="12"/>
  <c r="P640" i="12"/>
  <c r="O641" i="12"/>
  <c r="P641" i="12"/>
  <c r="O642" i="12"/>
  <c r="P642" i="12"/>
  <c r="O643" i="12"/>
  <c r="P643" i="12"/>
  <c r="O644" i="12"/>
  <c r="O645" i="12"/>
  <c r="P644" i="12"/>
  <c r="O646" i="12"/>
  <c r="P645" i="12"/>
  <c r="O647" i="12"/>
  <c r="P646" i="12"/>
  <c r="P647" i="12"/>
  <c r="O648" i="12"/>
  <c r="P648" i="12"/>
  <c r="O649" i="12"/>
  <c r="O650" i="12"/>
  <c r="P649" i="12"/>
  <c r="P650" i="12"/>
  <c r="O651" i="12"/>
  <c r="O652" i="12"/>
  <c r="P651" i="12"/>
  <c r="O653" i="12"/>
  <c r="P652" i="12"/>
  <c r="O654" i="12"/>
  <c r="P653" i="12"/>
  <c r="O655" i="12"/>
  <c r="P654" i="12"/>
  <c r="O656" i="12"/>
  <c r="P655" i="12"/>
  <c r="P656" i="12"/>
  <c r="O657" i="12"/>
  <c r="O658" i="12"/>
  <c r="P657" i="12"/>
  <c r="P658" i="12"/>
  <c r="O659" i="12"/>
  <c r="P659" i="12"/>
  <c r="O660" i="12"/>
  <c r="P660" i="12"/>
  <c r="O661" i="12"/>
  <c r="O662" i="12"/>
  <c r="P661" i="12"/>
  <c r="O663" i="12"/>
  <c r="P662" i="12"/>
  <c r="O664" i="12"/>
  <c r="P663" i="12"/>
  <c r="P664" i="12"/>
  <c r="O665" i="12"/>
  <c r="O666" i="12"/>
  <c r="P665" i="12"/>
  <c r="P666" i="12"/>
  <c r="O667" i="12"/>
  <c r="P667" i="12"/>
  <c r="O668" i="12"/>
  <c r="P668" i="12"/>
  <c r="O669" i="12"/>
  <c r="P669" i="12"/>
  <c r="O670" i="12"/>
  <c r="O671" i="12"/>
  <c r="P670" i="12"/>
  <c r="O672" i="12"/>
  <c r="P671" i="12"/>
  <c r="O673" i="12"/>
  <c r="P672" i="12"/>
  <c r="O674" i="12"/>
  <c r="P673" i="12"/>
  <c r="P674" i="12"/>
  <c r="O675" i="12"/>
  <c r="O676" i="12"/>
  <c r="P675" i="12"/>
  <c r="P676" i="12"/>
  <c r="O677" i="12"/>
  <c r="P677" i="12"/>
  <c r="O678" i="12"/>
  <c r="P678" i="12"/>
  <c r="O679" i="12"/>
  <c r="P679" i="12"/>
  <c r="O680" i="12"/>
  <c r="O681" i="12"/>
  <c r="P680" i="12"/>
  <c r="O682" i="12"/>
  <c r="P681" i="12"/>
  <c r="P682" i="12"/>
  <c r="O683" i="12"/>
  <c r="O684" i="12"/>
  <c r="P683" i="12"/>
  <c r="P684" i="12"/>
  <c r="O685" i="12"/>
  <c r="O686" i="12"/>
  <c r="P685" i="12"/>
  <c r="O687" i="12"/>
  <c r="P686" i="12"/>
  <c r="O688" i="12"/>
  <c r="P687" i="12"/>
  <c r="O689" i="12"/>
  <c r="P688" i="12"/>
  <c r="O690" i="12"/>
  <c r="P689" i="12"/>
  <c r="O691" i="12"/>
  <c r="P690" i="12"/>
  <c r="P691" i="12"/>
  <c r="O692" i="12"/>
  <c r="O693" i="12"/>
  <c r="P692" i="12"/>
  <c r="O694" i="12"/>
  <c r="P693" i="12"/>
  <c r="P694" i="12"/>
  <c r="O695" i="12"/>
  <c r="O696" i="12"/>
  <c r="P695" i="12"/>
  <c r="P696" i="12"/>
  <c r="O697" i="12"/>
  <c r="P697" i="12"/>
  <c r="O698" i="12"/>
  <c r="P698" i="12"/>
  <c r="O699" i="12"/>
  <c r="P699" i="12"/>
  <c r="O700" i="12"/>
  <c r="O701" i="12"/>
  <c r="P700" i="12"/>
  <c r="O702" i="12"/>
  <c r="P701" i="12"/>
  <c r="O703" i="12"/>
  <c r="P702" i="12"/>
  <c r="P703" i="12"/>
  <c r="O704" i="12"/>
  <c r="P704" i="12"/>
  <c r="O705" i="12"/>
  <c r="O706" i="12"/>
  <c r="P705" i="12"/>
  <c r="P706" i="12"/>
  <c r="O707" i="12"/>
  <c r="O708" i="12"/>
  <c r="P707" i="12"/>
  <c r="P708" i="12"/>
  <c r="O709" i="12"/>
  <c r="P709" i="12"/>
  <c r="O710" i="12"/>
  <c r="P710" i="12"/>
  <c r="O711" i="12"/>
  <c r="O712" i="12"/>
  <c r="P711" i="12"/>
  <c r="O713" i="12"/>
  <c r="P712" i="12"/>
  <c r="P713" i="12"/>
  <c r="O714" i="12"/>
  <c r="O715" i="12"/>
  <c r="P714" i="12"/>
  <c r="O716" i="12"/>
  <c r="P715" i="12"/>
  <c r="O717" i="12"/>
  <c r="P716" i="12"/>
  <c r="O718" i="12"/>
  <c r="P717" i="12"/>
  <c r="O719" i="12"/>
  <c r="P718" i="12"/>
  <c r="P719" i="12"/>
  <c r="O720" i="12"/>
  <c r="O721" i="12"/>
  <c r="P720" i="12"/>
  <c r="O722" i="12"/>
  <c r="P721" i="12"/>
  <c r="P722" i="12"/>
  <c r="O723" i="12"/>
  <c r="P723" i="12"/>
  <c r="O724" i="12"/>
  <c r="P724" i="12"/>
  <c r="O725" i="12"/>
  <c r="O726" i="12"/>
  <c r="P725" i="12"/>
  <c r="P726" i="12"/>
  <c r="O727" i="12"/>
  <c r="P727" i="12"/>
  <c r="O728" i="12"/>
  <c r="P728" i="12"/>
  <c r="O729" i="12"/>
  <c r="O730" i="12"/>
  <c r="P729" i="12"/>
  <c r="O731" i="12"/>
  <c r="P730" i="12"/>
  <c r="O732" i="12"/>
  <c r="P731" i="12"/>
  <c r="O733" i="12"/>
  <c r="P732" i="12"/>
  <c r="O734" i="12"/>
  <c r="P733" i="12"/>
  <c r="O735" i="12"/>
  <c r="P734" i="12"/>
  <c r="P735" i="12"/>
  <c r="O736" i="12"/>
  <c r="P736" i="12"/>
  <c r="O737" i="12"/>
  <c r="P737" i="12"/>
  <c r="O738" i="12"/>
  <c r="O739" i="12"/>
  <c r="P738" i="12"/>
  <c r="O740" i="12"/>
  <c r="P739" i="12"/>
  <c r="O741" i="12"/>
  <c r="P740" i="12"/>
  <c r="O742" i="12"/>
  <c r="P741" i="12"/>
  <c r="O743" i="12"/>
  <c r="P742" i="12"/>
  <c r="O744" i="12"/>
  <c r="P743" i="12"/>
  <c r="O745" i="12"/>
  <c r="P744" i="12"/>
  <c r="P745" i="12"/>
  <c r="O746" i="12"/>
  <c r="P746" i="12"/>
  <c r="O747" i="12"/>
  <c r="O748" i="12"/>
  <c r="P747" i="12"/>
  <c r="O749" i="12"/>
  <c r="P748" i="12"/>
  <c r="P749" i="12"/>
  <c r="O750" i="12"/>
  <c r="O751" i="12"/>
  <c r="P750" i="12"/>
  <c r="O752" i="12"/>
  <c r="P751" i="12"/>
  <c r="P752" i="12"/>
  <c r="O753" i="12"/>
  <c r="O754" i="12"/>
  <c r="P753" i="12"/>
  <c r="O755" i="12"/>
  <c r="P754" i="12"/>
  <c r="O756" i="12"/>
  <c r="P755" i="12"/>
  <c r="O757" i="12"/>
  <c r="P756" i="12"/>
  <c r="P757" i="12"/>
  <c r="O758" i="12"/>
  <c r="O759" i="12"/>
  <c r="P758" i="12"/>
  <c r="O760" i="12"/>
  <c r="P759" i="12"/>
  <c r="P760" i="12"/>
  <c r="O761" i="12"/>
  <c r="O762" i="12"/>
  <c r="P761" i="12"/>
  <c r="O763" i="12"/>
  <c r="P762" i="12"/>
  <c r="P763" i="12"/>
  <c r="O764" i="12"/>
  <c r="O765" i="12"/>
  <c r="P764" i="12"/>
  <c r="P765" i="12"/>
  <c r="O766" i="12"/>
  <c r="P766" i="12"/>
  <c r="O767" i="12"/>
  <c r="O768" i="12"/>
  <c r="P767" i="12"/>
  <c r="O769" i="12"/>
  <c r="P768" i="12"/>
  <c r="O770" i="12"/>
  <c r="P769" i="12"/>
  <c r="P770" i="12"/>
  <c r="O771" i="12"/>
  <c r="P771" i="12"/>
  <c r="O772" i="12"/>
  <c r="O773" i="12"/>
  <c r="P772" i="12"/>
  <c r="P773" i="12"/>
  <c r="O774" i="12"/>
  <c r="P774" i="12"/>
  <c r="O775" i="12"/>
  <c r="P775" i="12"/>
  <c r="O776" i="12"/>
  <c r="P776" i="12"/>
  <c r="O777" i="12"/>
  <c r="O778" i="12"/>
  <c r="P777" i="12"/>
  <c r="O779" i="12"/>
  <c r="P778" i="12"/>
  <c r="O780" i="12"/>
  <c r="P779" i="12"/>
  <c r="P780" i="12"/>
  <c r="O781" i="12"/>
  <c r="O782" i="12"/>
  <c r="P781" i="12"/>
  <c r="O783" i="12"/>
  <c r="P782" i="12"/>
  <c r="P783" i="12"/>
  <c r="O784" i="12"/>
  <c r="P784" i="12"/>
  <c r="O785" i="12"/>
  <c r="O786" i="12"/>
  <c r="P785" i="12"/>
  <c r="P786" i="12"/>
  <c r="O787" i="12"/>
  <c r="O788" i="12"/>
  <c r="P787" i="12"/>
  <c r="O789" i="12"/>
  <c r="P788" i="12"/>
  <c r="P789" i="12"/>
  <c r="O790" i="12"/>
  <c r="O791" i="12"/>
  <c r="P790" i="12"/>
  <c r="P791" i="12"/>
  <c r="O792" i="12"/>
  <c r="P792" i="12"/>
  <c r="O793" i="12"/>
  <c r="P793" i="12"/>
  <c r="O794" i="12"/>
  <c r="P794" i="12"/>
  <c r="O795" i="12"/>
  <c r="O796" i="12"/>
  <c r="P795" i="12"/>
  <c r="O797" i="12"/>
  <c r="P796" i="12"/>
  <c r="O798" i="12"/>
  <c r="P797" i="12"/>
  <c r="O799" i="12"/>
  <c r="P798" i="12"/>
  <c r="P799" i="12"/>
  <c r="O800" i="12"/>
  <c r="O801" i="12"/>
  <c r="P800" i="12"/>
  <c r="P801" i="12"/>
  <c r="O802" i="12"/>
  <c r="O803" i="12"/>
  <c r="P802" i="12"/>
  <c r="P803" i="12"/>
  <c r="O804" i="12"/>
  <c r="P804" i="12"/>
  <c r="O805" i="12"/>
  <c r="P805" i="12"/>
  <c r="O806" i="12"/>
  <c r="O807" i="12"/>
  <c r="P806" i="12"/>
  <c r="O808" i="12"/>
  <c r="P807" i="12"/>
  <c r="O809" i="12"/>
  <c r="P808" i="12"/>
  <c r="O810" i="12"/>
  <c r="P809" i="12"/>
  <c r="P810" i="12"/>
  <c r="O811" i="12"/>
  <c r="O812" i="12"/>
  <c r="P811" i="12"/>
  <c r="P812" i="12"/>
  <c r="O813" i="12"/>
  <c r="O814" i="12"/>
  <c r="P813" i="12"/>
  <c r="P814" i="12"/>
  <c r="O815" i="12"/>
  <c r="P815" i="12"/>
  <c r="O816" i="12"/>
  <c r="O817" i="12"/>
  <c r="P816" i="12"/>
  <c r="O818" i="12"/>
  <c r="P817" i="12"/>
  <c r="O819" i="12"/>
  <c r="P818" i="12"/>
  <c r="O820" i="12"/>
  <c r="P819" i="12"/>
  <c r="O821" i="12"/>
  <c r="P820" i="12"/>
  <c r="P821" i="12"/>
  <c r="O822" i="12"/>
  <c r="P822" i="12"/>
  <c r="O823" i="12"/>
  <c r="O824" i="12"/>
  <c r="P823" i="12"/>
  <c r="O825" i="12"/>
  <c r="P824" i="12"/>
  <c r="P825" i="12"/>
  <c r="O826" i="12"/>
  <c r="O827" i="12"/>
  <c r="P826" i="12"/>
  <c r="O828" i="12"/>
  <c r="P827" i="12"/>
  <c r="O829" i="12"/>
  <c r="P828" i="12"/>
  <c r="P829" i="12"/>
  <c r="O830" i="12"/>
  <c r="O831" i="12"/>
  <c r="P830" i="12"/>
  <c r="O832" i="12"/>
  <c r="P831" i="12"/>
  <c r="O833" i="12"/>
  <c r="P832" i="12"/>
  <c r="O834" i="12"/>
  <c r="P833" i="12"/>
  <c r="P834" i="12"/>
  <c r="O835" i="12"/>
  <c r="P835" i="12"/>
  <c r="O836" i="12"/>
  <c r="O837" i="12"/>
  <c r="P836" i="12"/>
  <c r="P837" i="12"/>
  <c r="O838" i="12"/>
  <c r="P838" i="12"/>
  <c r="O839" i="12"/>
  <c r="P839" i="12"/>
  <c r="O840" i="12"/>
  <c r="P840" i="12"/>
  <c r="O841" i="12"/>
  <c r="O842" i="12"/>
  <c r="P841" i="12"/>
  <c r="P842" i="12"/>
  <c r="O843" i="12"/>
  <c r="O844" i="12"/>
  <c r="P843" i="12"/>
  <c r="P844" i="12"/>
  <c r="O845" i="12"/>
  <c r="O846" i="12"/>
  <c r="P845" i="12"/>
  <c r="P846" i="12"/>
  <c r="O847" i="12"/>
  <c r="O848" i="12"/>
  <c r="P847" i="12"/>
  <c r="O849" i="12"/>
  <c r="P848" i="12"/>
  <c r="P849" i="12"/>
  <c r="O850" i="12"/>
  <c r="P850" i="12"/>
  <c r="O851" i="12"/>
  <c r="P851" i="12"/>
  <c r="O852" i="12"/>
  <c r="P852" i="12"/>
  <c r="O853" i="12"/>
  <c r="O854" i="12"/>
  <c r="P853" i="12"/>
  <c r="P854" i="12"/>
  <c r="O855" i="12"/>
  <c r="P855" i="12"/>
  <c r="O856" i="12"/>
  <c r="O857" i="12"/>
  <c r="P856" i="12"/>
  <c r="P857" i="12"/>
  <c r="O858" i="12"/>
  <c r="P858" i="12"/>
  <c r="O859" i="12"/>
  <c r="P859" i="12"/>
  <c r="O860" i="12"/>
  <c r="P860" i="12"/>
  <c r="O861" i="12"/>
  <c r="O862" i="12"/>
  <c r="P861" i="12"/>
  <c r="P862" i="12"/>
  <c r="O863" i="12"/>
  <c r="O864" i="12"/>
  <c r="P863" i="12"/>
  <c r="O865" i="12"/>
  <c r="P864" i="12"/>
  <c r="P865" i="12"/>
  <c r="O866" i="12"/>
  <c r="P866" i="12"/>
  <c r="O867" i="12"/>
  <c r="O868" i="12"/>
  <c r="P867" i="12"/>
  <c r="O869" i="12"/>
  <c r="P868" i="12"/>
  <c r="P869" i="12"/>
  <c r="O870" i="12"/>
  <c r="P870" i="12"/>
  <c r="O871" i="12"/>
  <c r="O872" i="12"/>
  <c r="P871" i="12"/>
  <c r="P872" i="12"/>
  <c r="O873" i="12"/>
  <c r="P873" i="12"/>
  <c r="O874" i="12"/>
  <c r="O875" i="12"/>
  <c r="P874" i="12"/>
  <c r="O876" i="12"/>
  <c r="P875" i="12"/>
  <c r="P876" i="12"/>
  <c r="O877" i="12"/>
  <c r="O878" i="12"/>
  <c r="P877" i="12"/>
  <c r="P878" i="12"/>
  <c r="O879" i="12"/>
  <c r="P879" i="12"/>
  <c r="O880" i="12"/>
  <c r="P880" i="12"/>
  <c r="O881" i="12"/>
  <c r="O882" i="12"/>
  <c r="P881" i="12"/>
  <c r="P882" i="12"/>
  <c r="O883" i="12"/>
  <c r="O884" i="12"/>
  <c r="P883" i="12"/>
  <c r="P884" i="12"/>
  <c r="O885" i="12"/>
  <c r="P885" i="12"/>
  <c r="O886" i="12"/>
  <c r="P886" i="12"/>
  <c r="O887" i="12"/>
  <c r="P887" i="12"/>
  <c r="O888" i="12"/>
  <c r="O889" i="12"/>
  <c r="P888" i="12"/>
  <c r="O890" i="12"/>
  <c r="P889" i="12"/>
  <c r="P890" i="12"/>
  <c r="O891" i="12"/>
  <c r="O892" i="12"/>
  <c r="P891" i="12"/>
  <c r="O893" i="12"/>
  <c r="P892" i="12"/>
  <c r="P893" i="12"/>
  <c r="O894" i="12"/>
  <c r="P894" i="12"/>
  <c r="O895" i="12"/>
  <c r="O896" i="12"/>
  <c r="P895" i="12"/>
  <c r="O897" i="12"/>
  <c r="P896" i="12"/>
  <c r="P897" i="12"/>
  <c r="O898" i="12"/>
  <c r="O899" i="12"/>
  <c r="P898" i="12"/>
  <c r="O900" i="12"/>
  <c r="P899" i="12"/>
  <c r="O901" i="12"/>
  <c r="P900" i="12"/>
  <c r="P901" i="12"/>
  <c r="O902" i="12"/>
  <c r="O903" i="12"/>
  <c r="P902" i="12"/>
  <c r="P903" i="12"/>
  <c r="O904" i="12"/>
  <c r="O905" i="12"/>
  <c r="P904" i="12"/>
  <c r="P905" i="12"/>
  <c r="O906" i="12"/>
  <c r="O907" i="12"/>
  <c r="P906" i="12"/>
  <c r="O908" i="12"/>
  <c r="P907" i="12"/>
  <c r="P908" i="12"/>
  <c r="O909" i="12"/>
  <c r="P909" i="12"/>
  <c r="O910" i="12"/>
  <c r="O911" i="12"/>
  <c r="P910" i="12"/>
  <c r="O912" i="12"/>
  <c r="P911" i="12"/>
  <c r="O913" i="12"/>
  <c r="P912" i="12"/>
  <c r="P913" i="12"/>
  <c r="O914" i="12"/>
  <c r="O915" i="12"/>
  <c r="P914" i="12"/>
  <c r="P915" i="12"/>
  <c r="O916" i="12"/>
  <c r="P916" i="12"/>
  <c r="O917" i="12"/>
  <c r="O918" i="12"/>
  <c r="P917" i="12"/>
  <c r="O919" i="12"/>
  <c r="P918" i="12"/>
  <c r="P919" i="12"/>
  <c r="O920" i="12"/>
  <c r="O921" i="12"/>
  <c r="P920" i="12"/>
  <c r="O922" i="12"/>
  <c r="P921" i="12"/>
  <c r="P922" i="12"/>
  <c r="O923" i="12"/>
  <c r="O924" i="12"/>
  <c r="P923" i="12"/>
  <c r="P924" i="12"/>
  <c r="O925" i="12"/>
  <c r="O926" i="12"/>
  <c r="P925" i="12"/>
  <c r="O927" i="12"/>
  <c r="P926" i="12"/>
  <c r="P927" i="12"/>
  <c r="O928" i="12"/>
  <c r="O929" i="12"/>
  <c r="P928" i="12"/>
  <c r="O930" i="12"/>
  <c r="P929" i="12"/>
  <c r="O931" i="12"/>
  <c r="P930" i="12"/>
  <c r="O932" i="12"/>
  <c r="P931" i="12"/>
  <c r="P932" i="12"/>
  <c r="O933" i="12"/>
  <c r="O934" i="12"/>
  <c r="P933" i="12"/>
  <c r="P934" i="12"/>
  <c r="O935" i="12"/>
  <c r="P935" i="12"/>
  <c r="O936" i="12"/>
  <c r="O937" i="12"/>
  <c r="P936" i="12"/>
  <c r="P937" i="12"/>
  <c r="O938" i="12"/>
  <c r="O939" i="12"/>
  <c r="P938" i="12"/>
  <c r="P939" i="12"/>
  <c r="O940" i="12"/>
  <c r="O941" i="12"/>
  <c r="P940" i="12"/>
  <c r="P941" i="12"/>
  <c r="O942" i="12"/>
  <c r="O943" i="12"/>
  <c r="P942" i="12"/>
  <c r="P943" i="12"/>
  <c r="O944" i="12"/>
  <c r="P944" i="12"/>
  <c r="O945" i="12"/>
  <c r="P945" i="12"/>
  <c r="O946" i="12"/>
  <c r="O947" i="12"/>
  <c r="P946" i="12"/>
  <c r="O948" i="12"/>
  <c r="P947" i="12"/>
  <c r="O949" i="12"/>
  <c r="P948" i="12"/>
  <c r="O950" i="12"/>
  <c r="P949" i="12"/>
  <c r="P950" i="12"/>
  <c r="O951" i="12"/>
  <c r="O952" i="12"/>
  <c r="P951" i="12"/>
  <c r="P952" i="12"/>
  <c r="O953" i="12"/>
  <c r="P953" i="12"/>
  <c r="O954" i="12"/>
  <c r="O955" i="12"/>
  <c r="P954" i="12"/>
  <c r="O956" i="12"/>
  <c r="P955" i="12"/>
  <c r="O957" i="12"/>
  <c r="P956" i="12"/>
  <c r="O958" i="12"/>
  <c r="P957" i="12"/>
  <c r="P958" i="12"/>
  <c r="O959" i="12"/>
  <c r="P959" i="12"/>
  <c r="O960" i="12"/>
  <c r="O961" i="12"/>
  <c r="P960" i="12"/>
  <c r="P961" i="12"/>
  <c r="O962" i="12"/>
  <c r="O963" i="12"/>
  <c r="P962" i="12"/>
  <c r="O964" i="12"/>
  <c r="P963" i="12"/>
  <c r="P964" i="12"/>
  <c r="O965" i="12"/>
  <c r="O966" i="12"/>
  <c r="P965" i="12"/>
  <c r="O967" i="12"/>
  <c r="P966" i="12"/>
  <c r="O968" i="12"/>
  <c r="P967" i="12"/>
  <c r="P968" i="12"/>
  <c r="O969" i="12"/>
  <c r="O970" i="12"/>
  <c r="P969" i="12"/>
  <c r="P970" i="12"/>
  <c r="O971" i="12"/>
  <c r="O972" i="12"/>
  <c r="P971" i="12"/>
  <c r="O973" i="12"/>
  <c r="P972" i="12"/>
  <c r="P973" i="12"/>
  <c r="O974" i="12"/>
  <c r="P974" i="12"/>
  <c r="O975" i="12"/>
  <c r="O976" i="12"/>
  <c r="P975" i="12"/>
  <c r="O977" i="12"/>
  <c r="P976" i="12"/>
  <c r="P977" i="12"/>
  <c r="O978" i="12"/>
  <c r="P978" i="12"/>
  <c r="O979" i="12"/>
  <c r="O980" i="12"/>
  <c r="P979" i="12"/>
  <c r="O981" i="12"/>
  <c r="P980" i="12"/>
  <c r="P981" i="12"/>
  <c r="O982" i="12"/>
  <c r="O983" i="12"/>
  <c r="P982" i="12"/>
  <c r="O984" i="12"/>
  <c r="P983" i="12"/>
  <c r="P984" i="12"/>
  <c r="O985" i="12"/>
  <c r="O986" i="12"/>
  <c r="P985" i="12"/>
  <c r="O987" i="12"/>
  <c r="P986" i="12"/>
  <c r="O988" i="12"/>
  <c r="P987" i="12"/>
  <c r="O989" i="12"/>
  <c r="P988" i="12"/>
  <c r="P989" i="12"/>
  <c r="O990" i="12"/>
  <c r="O991" i="12"/>
  <c r="P990" i="12"/>
  <c r="O992" i="12"/>
  <c r="P991" i="12"/>
  <c r="P992" i="12"/>
  <c r="O993" i="12"/>
  <c r="O994" i="12"/>
  <c r="P993" i="12"/>
  <c r="P994" i="12"/>
  <c r="O995" i="12"/>
  <c r="O996" i="12"/>
  <c r="P995" i="12"/>
  <c r="O997" i="12"/>
  <c r="P996" i="12"/>
  <c r="O998" i="12"/>
  <c r="P997" i="12"/>
  <c r="P998" i="12"/>
  <c r="O999" i="12"/>
  <c r="O1000" i="12"/>
  <c r="P999" i="12"/>
  <c r="P1000" i="12"/>
  <c r="O1001" i="12"/>
  <c r="O1002" i="12"/>
  <c r="P1001" i="12"/>
  <c r="O1003" i="12"/>
  <c r="P1002" i="12"/>
  <c r="O1004" i="12"/>
  <c r="P1003" i="12"/>
  <c r="O1005" i="12"/>
  <c r="P1004" i="12"/>
  <c r="O1006" i="12"/>
  <c r="P1005" i="12"/>
  <c r="P1006" i="12"/>
  <c r="O1007" i="12"/>
  <c r="O1008" i="12"/>
  <c r="P1007" i="12"/>
  <c r="O1009" i="12"/>
  <c r="P1008" i="12"/>
  <c r="O1010" i="12"/>
  <c r="P1009" i="12"/>
  <c r="O1011" i="12"/>
  <c r="P1010" i="12"/>
  <c r="P1011" i="12"/>
  <c r="O1012" i="12"/>
  <c r="P1012" i="12"/>
  <c r="O1013" i="12"/>
  <c r="O1014" i="12"/>
  <c r="P1013" i="12"/>
  <c r="P1014" i="12"/>
  <c r="O1015" i="12"/>
  <c r="P1015" i="12"/>
  <c r="O1016" i="12"/>
  <c r="P1016" i="12"/>
  <c r="O1017" i="12"/>
  <c r="P1017" i="12"/>
  <c r="O1018" i="12"/>
  <c r="O1019" i="12"/>
  <c r="P1018" i="12"/>
  <c r="P1019" i="12"/>
  <c r="O1020" i="12"/>
  <c r="P1020" i="12"/>
  <c r="O1021" i="12"/>
  <c r="O1022" i="12"/>
  <c r="P1021" i="12"/>
  <c r="P1022" i="12"/>
  <c r="O1023" i="12"/>
  <c r="P1023" i="12"/>
  <c r="O1024" i="12"/>
  <c r="O1025" i="12"/>
  <c r="P1024" i="12"/>
  <c r="P1025" i="12"/>
  <c r="O1026" i="12"/>
  <c r="P1026" i="12"/>
  <c r="O1027" i="12"/>
  <c r="O1028" i="12"/>
  <c r="P1027" i="12"/>
  <c r="O1029" i="12"/>
  <c r="P1028" i="12"/>
  <c r="O1030" i="12"/>
  <c r="P1029" i="12"/>
  <c r="P1030" i="12"/>
  <c r="O1031" i="12"/>
  <c r="P1031" i="12"/>
  <c r="O1032" i="12"/>
  <c r="O1033" i="12"/>
  <c r="P1032" i="12"/>
  <c r="O1034" i="12"/>
  <c r="P1033" i="12"/>
  <c r="O1035" i="12"/>
  <c r="P1034" i="12"/>
  <c r="P1035" i="12"/>
  <c r="O1036" i="12"/>
  <c r="O1037" i="12"/>
  <c r="P1036" i="12"/>
  <c r="O1038" i="12"/>
  <c r="P1037" i="12"/>
  <c r="P1038" i="12"/>
  <c r="O1039" i="12"/>
  <c r="O1040" i="12"/>
  <c r="P1039" i="12"/>
  <c r="O1041" i="12"/>
  <c r="P1040" i="12"/>
  <c r="O1042" i="12"/>
  <c r="P1041" i="12"/>
  <c r="O1043" i="12"/>
  <c r="P1042" i="12"/>
  <c r="P1043" i="12"/>
  <c r="O1044" i="12"/>
  <c r="O1045" i="12"/>
  <c r="P1044" i="12"/>
  <c r="P1045" i="12"/>
  <c r="O1046" i="12"/>
  <c r="P1046" i="12"/>
  <c r="O1047" i="12"/>
  <c r="P1047" i="12"/>
  <c r="O1048" i="12"/>
  <c r="P1048" i="12"/>
  <c r="O1049" i="12"/>
  <c r="P1049" i="12"/>
  <c r="O1050" i="12"/>
  <c r="P1050" i="12"/>
  <c r="O1051" i="12"/>
  <c r="O1052" i="12"/>
  <c r="P1051" i="12"/>
  <c r="O1053" i="12"/>
  <c r="P1052" i="12"/>
  <c r="P1053" i="12"/>
  <c r="O1054" i="12"/>
  <c r="O1055" i="12"/>
  <c r="P1054" i="12"/>
  <c r="P1055" i="12"/>
  <c r="O1056" i="12"/>
  <c r="P1056" i="12"/>
  <c r="O1057" i="12"/>
  <c r="O1058" i="12"/>
  <c r="P1057" i="12"/>
  <c r="O1059" i="12"/>
  <c r="P1058" i="12"/>
  <c r="O1060" i="12"/>
  <c r="P1059" i="12"/>
  <c r="O1061" i="12"/>
  <c r="P1060" i="12"/>
  <c r="O1062" i="12"/>
  <c r="P1061" i="12"/>
  <c r="P1062" i="12"/>
  <c r="O1063" i="12"/>
  <c r="P1063" i="12"/>
  <c r="O1064" i="12"/>
  <c r="P1064" i="12"/>
  <c r="O1065" i="12"/>
  <c r="O1066" i="12"/>
  <c r="P1065" i="12"/>
  <c r="O1067" i="12"/>
  <c r="P1066" i="12"/>
  <c r="P1067" i="12"/>
  <c r="O1068" i="12"/>
  <c r="O1069" i="12"/>
  <c r="P1068" i="12"/>
  <c r="O1070" i="12"/>
  <c r="P1069" i="12"/>
  <c r="P1070" i="12"/>
  <c r="O1071" i="12"/>
  <c r="P1071" i="12"/>
  <c r="O1072" i="12"/>
  <c r="P1072" i="12"/>
  <c r="O1073" i="12"/>
  <c r="P1073" i="12"/>
  <c r="O1074" i="12"/>
  <c r="O1075" i="12"/>
  <c r="P1074" i="12"/>
  <c r="O1076" i="12"/>
  <c r="P1075" i="12"/>
  <c r="O1077" i="12"/>
  <c r="P1076" i="12"/>
  <c r="O1078" i="12"/>
  <c r="P1077" i="12"/>
  <c r="O1079" i="12"/>
  <c r="P1078" i="12"/>
  <c r="P1079" i="12"/>
  <c r="O1080" i="12"/>
  <c r="P1080" i="12"/>
  <c r="O1081" i="12"/>
  <c r="O1082" i="12"/>
  <c r="P1081" i="12"/>
  <c r="P1082" i="12"/>
  <c r="O1083" i="12"/>
  <c r="O1084" i="12"/>
  <c r="P1083" i="12"/>
  <c r="P1084" i="12"/>
  <c r="O1085" i="12"/>
  <c r="P1085" i="12"/>
  <c r="O1086" i="12"/>
  <c r="O1087" i="12"/>
  <c r="P1086" i="12"/>
  <c r="O1088" i="12"/>
  <c r="P1087" i="12"/>
  <c r="P1088" i="12"/>
  <c r="O1089" i="12"/>
  <c r="P1089" i="12"/>
  <c r="O1090" i="12"/>
  <c r="P1090" i="12"/>
  <c r="O1091" i="12"/>
  <c r="O1092" i="12"/>
  <c r="P1091" i="12"/>
  <c r="O1093" i="12"/>
  <c r="P1092" i="12"/>
  <c r="O1094" i="12"/>
  <c r="P1093" i="12"/>
  <c r="O1095" i="12"/>
  <c r="P1094" i="12"/>
  <c r="P1095" i="12"/>
  <c r="O1096" i="12"/>
  <c r="O1097" i="12"/>
  <c r="P1096" i="12"/>
  <c r="P1097" i="12"/>
  <c r="O1098" i="12"/>
  <c r="P1098" i="12"/>
  <c r="O1099" i="12"/>
  <c r="P1099" i="12"/>
  <c r="O1100" i="12"/>
  <c r="P1100" i="12"/>
  <c r="O1101" i="12"/>
  <c r="P1101" i="12"/>
  <c r="O1102" i="12"/>
  <c r="P1102" i="12"/>
  <c r="O1103" i="12"/>
  <c r="O1104" i="12"/>
  <c r="P1103" i="12"/>
  <c r="O1105" i="12"/>
  <c r="P1104" i="12"/>
  <c r="O1106" i="12"/>
  <c r="P1105" i="12"/>
  <c r="P1106" i="12"/>
  <c r="O1107" i="12"/>
  <c r="O1108" i="12"/>
  <c r="P1107" i="12"/>
  <c r="O1109" i="12"/>
  <c r="P1108" i="12"/>
  <c r="P1109" i="12"/>
  <c r="O1110" i="12"/>
  <c r="P1110" i="12"/>
  <c r="O1111" i="12"/>
  <c r="O1112" i="12"/>
  <c r="P1111" i="12"/>
  <c r="P1112" i="12"/>
  <c r="O1113" i="12"/>
  <c r="P1113" i="12"/>
  <c r="O1114" i="12"/>
  <c r="P1114" i="12"/>
  <c r="O1115" i="12"/>
  <c r="O1116" i="12"/>
  <c r="P1115" i="12"/>
  <c r="P1116" i="12"/>
  <c r="O1117" i="12"/>
  <c r="P1117" i="12"/>
  <c r="O1118" i="12"/>
  <c r="O1119" i="12"/>
  <c r="P1118" i="12"/>
  <c r="O1120" i="12"/>
  <c r="P1119" i="12"/>
  <c r="O1121" i="12"/>
  <c r="P1120" i="12"/>
  <c r="O1122" i="12"/>
  <c r="P1121" i="12"/>
  <c r="P1122" i="12"/>
  <c r="O1123" i="12"/>
  <c r="P1123" i="12"/>
  <c r="O1124" i="12"/>
  <c r="P1124" i="12"/>
  <c r="O1125" i="12"/>
  <c r="O1126" i="12"/>
  <c r="P1125" i="12"/>
  <c r="P1126" i="12"/>
  <c r="O1127" i="12"/>
  <c r="P1127" i="12"/>
  <c r="O1128" i="12"/>
  <c r="P1128" i="12"/>
  <c r="O1129" i="12"/>
  <c r="O1130" i="12"/>
  <c r="P1129" i="12"/>
  <c r="O1131" i="12"/>
  <c r="P1130" i="12"/>
  <c r="P1131" i="12"/>
  <c r="O1132" i="12"/>
  <c r="P1132" i="12"/>
  <c r="O1133" i="12"/>
  <c r="P1133" i="12"/>
  <c r="O1134" i="12"/>
  <c r="O1135" i="12"/>
  <c r="P1134" i="12"/>
  <c r="P1135" i="12"/>
  <c r="O1136" i="12"/>
  <c r="P1136" i="12"/>
  <c r="O1137" i="12"/>
  <c r="O1138" i="12"/>
  <c r="P1137" i="12"/>
  <c r="P1138" i="12"/>
  <c r="O1139" i="12"/>
  <c r="P1139" i="12"/>
  <c r="O1140" i="12"/>
  <c r="O1141" i="12"/>
  <c r="P1140" i="12"/>
  <c r="P1141" i="12"/>
  <c r="O1142" i="12"/>
  <c r="O1143" i="12"/>
  <c r="P1142" i="12"/>
  <c r="O1144" i="12"/>
  <c r="P1143" i="12"/>
  <c r="P1144" i="12"/>
  <c r="O1145" i="12"/>
  <c r="P1145" i="12"/>
  <c r="O1146" i="12"/>
  <c r="O1147" i="12"/>
  <c r="P1146" i="12"/>
  <c r="O1148" i="12"/>
  <c r="P1147" i="12"/>
  <c r="O1149" i="12"/>
  <c r="P1148" i="12"/>
  <c r="O1150" i="12"/>
  <c r="P1149" i="12"/>
  <c r="O1151" i="12"/>
  <c r="P1150" i="12"/>
  <c r="O1152" i="12"/>
  <c r="P1151" i="12"/>
  <c r="O1153" i="12"/>
  <c r="P1152" i="12"/>
  <c r="O1154" i="12"/>
  <c r="P1153" i="12"/>
  <c r="O1155" i="12"/>
  <c r="P1154" i="12"/>
  <c r="O1156" i="12"/>
  <c r="P1155" i="12"/>
  <c r="O1157" i="12"/>
  <c r="P1156" i="12"/>
  <c r="O1158" i="12"/>
  <c r="P1157" i="12"/>
  <c r="O1159" i="12"/>
  <c r="P1158" i="12"/>
  <c r="P1159" i="12"/>
  <c r="O1160" i="12"/>
  <c r="O1161" i="12"/>
  <c r="P1160" i="12"/>
  <c r="O1162" i="12"/>
  <c r="P1161" i="12"/>
  <c r="O1163" i="12"/>
  <c r="P1162" i="12"/>
  <c r="O1164" i="12"/>
  <c r="P1163" i="12"/>
  <c r="P1164" i="12"/>
  <c r="O1165" i="12"/>
  <c r="O1166" i="12"/>
  <c r="P1165" i="12"/>
  <c r="P1166" i="12"/>
  <c r="O1167" i="12"/>
  <c r="P1167" i="12"/>
  <c r="O1168" i="12"/>
  <c r="O1169" i="12"/>
  <c r="P1168" i="12"/>
  <c r="P1169" i="12"/>
  <c r="O1170" i="12"/>
  <c r="O1171" i="12"/>
  <c r="P1170" i="12"/>
  <c r="O1172" i="12"/>
  <c r="P1171" i="12"/>
  <c r="O1173" i="12"/>
  <c r="P1172" i="12"/>
  <c r="P1173" i="12"/>
  <c r="O1174" i="12"/>
  <c r="P1174" i="12"/>
  <c r="O1175" i="12"/>
  <c r="P1175" i="12"/>
  <c r="O1176" i="12"/>
  <c r="P1176" i="12"/>
  <c r="O1177" i="12"/>
  <c r="O1178" i="12"/>
  <c r="P1177" i="12"/>
  <c r="O1179" i="12"/>
  <c r="P1178" i="12"/>
  <c r="P1179" i="12"/>
  <c r="O1180" i="12"/>
  <c r="P1180" i="12"/>
  <c r="O1181" i="12"/>
  <c r="O1182" i="12"/>
  <c r="P1181" i="12"/>
  <c r="P1182" i="12"/>
  <c r="O1183" i="12"/>
  <c r="P1183" i="12"/>
  <c r="O1184" i="12"/>
  <c r="P1184" i="12"/>
  <c r="O1185" i="12"/>
  <c r="P1185" i="12"/>
  <c r="O1186" i="12"/>
  <c r="P1186" i="12"/>
  <c r="O1187" i="12"/>
  <c r="O1188" i="12"/>
  <c r="P1187" i="12"/>
  <c r="O1189" i="12"/>
  <c r="P1188" i="12"/>
  <c r="O1190" i="12"/>
  <c r="P1189" i="12"/>
  <c r="P1190" i="12"/>
  <c r="O1191" i="12"/>
  <c r="P1191" i="12"/>
  <c r="O1192" i="12"/>
  <c r="P1192" i="12"/>
  <c r="O1193" i="12"/>
  <c r="P1193" i="12"/>
  <c r="O1194" i="12"/>
  <c r="P1194" i="12"/>
  <c r="O1195" i="12"/>
  <c r="O1196" i="12"/>
  <c r="P1195" i="12"/>
  <c r="P1196" i="12"/>
  <c r="O1197" i="12"/>
  <c r="P1197" i="12"/>
  <c r="O1198" i="12"/>
  <c r="O1199" i="12"/>
  <c r="P1198" i="12"/>
  <c r="O1200" i="12"/>
  <c r="P1199" i="12"/>
  <c r="P1200" i="12"/>
  <c r="O1201" i="12"/>
  <c r="P1201" i="12"/>
  <c r="O1202" i="12"/>
  <c r="P1202" i="12"/>
  <c r="O1203" i="12"/>
  <c r="O1204" i="12"/>
  <c r="P1203" i="12"/>
  <c r="O1205" i="12"/>
  <c r="P1204" i="12"/>
  <c r="O1206" i="12"/>
  <c r="P1205" i="12"/>
  <c r="O1207" i="12"/>
  <c r="P1206" i="12"/>
  <c r="P1207" i="12"/>
  <c r="O1208" i="12"/>
  <c r="P1208" i="12"/>
  <c r="O1209" i="12"/>
  <c r="O1210" i="12"/>
  <c r="P1209" i="12"/>
  <c r="O1211" i="12"/>
  <c r="P1210" i="12"/>
  <c r="O1212" i="12"/>
  <c r="P1211" i="12"/>
  <c r="O1213" i="12"/>
  <c r="P1212" i="12"/>
  <c r="O1214" i="12"/>
  <c r="P1213" i="12"/>
  <c r="P1214" i="12"/>
  <c r="O1215" i="12"/>
  <c r="O1216" i="12"/>
  <c r="P1215" i="12"/>
  <c r="O1217" i="12"/>
  <c r="P1216" i="12"/>
  <c r="O1218" i="12"/>
  <c r="P1217" i="12"/>
  <c r="P1218" i="12"/>
  <c r="O1219" i="12"/>
  <c r="P1219" i="12"/>
  <c r="O1220" i="12"/>
  <c r="O1221" i="12"/>
  <c r="P1220" i="12"/>
  <c r="P1221" i="12"/>
  <c r="O1222" i="12"/>
  <c r="P1222" i="12"/>
  <c r="O1223" i="12"/>
  <c r="O1224" i="12"/>
  <c r="P1223" i="12"/>
  <c r="O1225" i="12"/>
  <c r="P1224" i="12"/>
  <c r="P1225" i="12"/>
  <c r="O1226" i="12"/>
  <c r="P1226" i="12"/>
  <c r="O1227" i="12"/>
  <c r="O1228" i="12"/>
  <c r="P1227" i="12"/>
  <c r="P1228" i="12"/>
  <c r="O1229" i="12"/>
  <c r="P1229" i="12"/>
  <c r="O1230" i="12"/>
  <c r="P1230" i="12"/>
  <c r="O1231" i="12"/>
  <c r="O1232" i="12"/>
  <c r="P1231" i="12"/>
  <c r="P1232" i="12"/>
  <c r="O1233" i="12"/>
  <c r="P1233" i="12"/>
  <c r="O1234" i="12"/>
  <c r="O1235" i="12"/>
  <c r="P1234" i="12"/>
  <c r="O1236" i="12"/>
  <c r="P1235" i="12"/>
  <c r="P1236" i="12"/>
  <c r="O1237" i="12"/>
  <c r="P1237" i="12"/>
  <c r="O1238" i="12"/>
  <c r="P1238" i="12"/>
  <c r="O1239" i="12"/>
  <c r="O1240" i="12"/>
  <c r="P1239" i="12"/>
  <c r="P1240" i="12"/>
  <c r="O1241" i="12"/>
  <c r="P1241" i="12"/>
  <c r="O1242" i="12"/>
  <c r="O1243" i="12"/>
  <c r="P1242" i="12"/>
  <c r="P1243" i="12"/>
  <c r="O1244" i="12"/>
  <c r="P1244" i="12"/>
  <c r="O1245" i="12"/>
  <c r="O1246" i="12"/>
  <c r="P1245" i="12"/>
  <c r="P1246" i="12"/>
  <c r="O1247" i="12"/>
  <c r="O1248" i="12"/>
  <c r="P1247" i="12"/>
  <c r="P1248" i="12"/>
  <c r="O1249" i="12"/>
  <c r="P1249" i="12"/>
  <c r="O1250" i="12"/>
  <c r="O1251" i="12"/>
  <c r="P1250" i="12"/>
  <c r="P1251" i="12"/>
  <c r="O1252" i="12"/>
  <c r="O1253" i="12"/>
  <c r="P1252" i="12"/>
  <c r="O1254" i="12"/>
  <c r="P1253" i="12"/>
  <c r="P1254" i="12"/>
  <c r="O1255" i="12"/>
  <c r="P1255" i="12"/>
  <c r="O1256" i="12"/>
  <c r="O1257" i="12"/>
  <c r="P1256" i="12"/>
  <c r="P1257" i="12"/>
  <c r="O1258" i="12"/>
  <c r="P1258" i="12"/>
  <c r="O1259" i="12"/>
  <c r="O1260" i="12"/>
  <c r="P1259" i="12"/>
  <c r="O1261" i="12"/>
  <c r="P1260" i="12"/>
  <c r="P1261" i="12"/>
  <c r="O1262" i="12"/>
  <c r="O1263" i="12"/>
  <c r="P1262" i="12"/>
  <c r="P1263" i="12"/>
  <c r="O1264" i="12"/>
  <c r="O1265" i="12"/>
  <c r="P1264" i="12"/>
  <c r="O1266" i="12"/>
  <c r="P1265" i="12"/>
  <c r="O1267" i="12"/>
  <c r="P1266" i="12"/>
  <c r="O1268" i="12"/>
  <c r="P1267" i="12"/>
  <c r="O1269" i="12"/>
  <c r="P1268" i="12"/>
  <c r="P1269" i="12"/>
  <c r="O1270" i="12"/>
  <c r="P1270" i="12"/>
  <c r="O1271" i="12"/>
  <c r="P1271" i="12"/>
  <c r="O1272" i="12"/>
  <c r="O1273" i="12"/>
  <c r="P1272" i="12"/>
  <c r="P1273" i="12"/>
  <c r="O1274" i="12"/>
  <c r="O1275" i="12"/>
  <c r="P1274" i="12"/>
  <c r="P1275" i="12"/>
  <c r="O1276" i="12"/>
  <c r="O1277" i="12"/>
  <c r="P1276" i="12"/>
  <c r="O1278" i="12"/>
  <c r="P1277" i="12"/>
  <c r="P1278" i="12"/>
  <c r="O1279" i="12"/>
  <c r="P1279" i="12"/>
  <c r="O1280" i="12"/>
  <c r="O1281" i="12"/>
  <c r="P1280" i="12"/>
  <c r="O1282" i="12"/>
  <c r="P1281" i="12"/>
  <c r="O1283" i="12"/>
  <c r="P1282" i="12"/>
  <c r="O1284" i="12"/>
  <c r="P1283" i="12"/>
  <c r="P1284" i="12"/>
  <c r="O1285" i="12"/>
  <c r="P1285" i="12"/>
  <c r="O1286" i="12"/>
  <c r="P1286" i="12"/>
  <c r="O1287" i="12"/>
  <c r="P1287" i="12"/>
  <c r="O1288" i="12"/>
  <c r="P1288" i="12"/>
  <c r="O1289" i="12"/>
  <c r="O1290" i="12"/>
  <c r="P1289" i="12"/>
  <c r="P1290" i="12"/>
  <c r="O1291" i="12"/>
  <c r="O1292" i="12"/>
  <c r="P1291" i="12"/>
  <c r="O1293" i="12"/>
  <c r="P1292" i="12"/>
  <c r="P1293" i="12"/>
  <c r="O1294" i="12"/>
  <c r="O1295" i="12"/>
  <c r="P1294" i="12"/>
  <c r="O1296" i="12"/>
  <c r="P1295" i="12"/>
  <c r="P1296" i="12"/>
  <c r="O1297" i="12"/>
  <c r="P1297" i="12"/>
  <c r="O1298" i="12"/>
  <c r="O1299" i="12"/>
  <c r="P1298" i="12"/>
  <c r="P1299" i="12"/>
  <c r="O1300" i="12"/>
  <c r="P1300" i="12"/>
  <c r="O1301" i="12"/>
  <c r="P1301" i="12"/>
  <c r="O1302" i="12"/>
  <c r="P1302" i="12"/>
  <c r="O1303" i="12"/>
  <c r="P1303" i="12"/>
  <c r="O1304" i="12"/>
  <c r="O1305" i="12"/>
  <c r="P1304" i="12"/>
  <c r="O1306" i="12"/>
  <c r="P1305" i="12"/>
  <c r="P1306" i="12"/>
  <c r="O1307" i="12"/>
  <c r="P1307" i="12"/>
  <c r="O1308" i="12"/>
  <c r="O1309" i="12"/>
  <c r="P1308" i="12"/>
  <c r="P1309" i="12"/>
  <c r="O1310" i="12"/>
  <c r="O1311" i="12"/>
  <c r="P1310" i="12"/>
  <c r="O1312" i="12"/>
  <c r="P1311" i="12"/>
  <c r="O1313" i="12"/>
  <c r="P1312" i="12"/>
  <c r="O1314" i="12"/>
  <c r="P1313" i="12"/>
  <c r="P1314" i="12"/>
  <c r="O1315" i="12"/>
  <c r="P1315" i="12"/>
  <c r="O1316" i="12"/>
  <c r="P1316" i="12"/>
  <c r="O1317" i="12"/>
  <c r="P1317" i="12"/>
  <c r="O1318" i="12"/>
  <c r="P1318" i="12"/>
  <c r="O1319" i="12"/>
  <c r="P1319" i="12"/>
  <c r="O1320" i="12"/>
  <c r="P1320" i="12"/>
  <c r="O1321" i="12"/>
  <c r="O1322" i="12"/>
  <c r="P1321" i="12"/>
  <c r="O1323" i="12"/>
  <c r="P1322" i="12"/>
  <c r="P1323" i="12"/>
  <c r="O1324" i="12"/>
  <c r="O1325" i="12"/>
  <c r="P1324" i="12"/>
  <c r="P1325" i="12"/>
  <c r="O1326" i="12"/>
  <c r="P1326" i="12"/>
  <c r="O1327" i="12"/>
  <c r="O1328" i="12"/>
  <c r="P1327" i="12"/>
  <c r="P1328" i="12"/>
  <c r="O1329" i="12"/>
  <c r="O1330" i="12"/>
  <c r="P1329" i="12"/>
  <c r="P1330" i="12"/>
  <c r="O1331" i="12"/>
  <c r="O1332" i="12"/>
  <c r="P1331" i="12"/>
  <c r="O1333" i="12"/>
  <c r="P1332" i="12"/>
  <c r="O1334" i="12"/>
  <c r="P1333" i="12"/>
  <c r="O1335" i="12"/>
  <c r="P1334" i="12"/>
  <c r="O1336" i="12"/>
  <c r="P1335" i="12"/>
  <c r="P1336" i="12"/>
  <c r="O1337" i="12"/>
  <c r="O1338" i="12"/>
  <c r="P1337" i="12"/>
  <c r="P1338" i="12"/>
  <c r="O1339" i="12"/>
  <c r="O1340" i="12"/>
  <c r="P1339" i="12"/>
  <c r="O1341" i="12"/>
  <c r="P1340" i="12"/>
  <c r="O1342" i="12"/>
  <c r="P1341" i="12"/>
  <c r="P1342" i="12"/>
  <c r="O1343" i="12"/>
  <c r="P1343" i="12"/>
  <c r="O1344" i="12"/>
  <c r="P1344" i="12"/>
  <c r="O1345" i="12"/>
  <c r="P1345" i="12"/>
  <c r="O1346" i="12"/>
  <c r="O1347" i="12"/>
  <c r="P1346" i="12"/>
  <c r="O1348" i="12"/>
  <c r="P1347" i="12"/>
  <c r="O1349" i="12"/>
  <c r="P1348" i="12"/>
  <c r="O1350" i="12"/>
  <c r="P1349" i="12"/>
  <c r="O1351" i="12"/>
  <c r="P1350" i="12"/>
  <c r="O1352" i="12"/>
  <c r="P1351" i="12"/>
  <c r="P1352" i="12"/>
  <c r="O1353" i="12"/>
  <c r="P1353" i="12"/>
  <c r="O1354" i="12"/>
  <c r="P1354" i="12"/>
  <c r="O1355" i="12"/>
  <c r="P1355" i="12"/>
  <c r="O1356" i="12"/>
  <c r="O1357" i="12"/>
  <c r="P1356" i="12"/>
  <c r="P1357" i="12"/>
  <c r="O1358" i="12"/>
  <c r="P1358" i="12"/>
  <c r="O1359" i="12"/>
  <c r="O1360" i="12"/>
  <c r="P1359" i="12"/>
  <c r="P1360" i="12"/>
  <c r="O1361" i="12"/>
  <c r="O1362" i="12"/>
  <c r="P1361" i="12"/>
  <c r="O1363" i="12"/>
  <c r="P1362" i="12"/>
  <c r="O1364" i="12"/>
  <c r="P1363" i="12"/>
  <c r="P1364" i="12"/>
  <c r="O1365" i="12"/>
  <c r="P1365" i="12"/>
  <c r="O1366" i="12"/>
  <c r="P1366" i="12"/>
  <c r="O1367" i="12"/>
  <c r="P1367" i="12"/>
  <c r="O1368" i="12"/>
  <c r="P1368" i="12"/>
  <c r="O1369" i="12"/>
  <c r="P1369" i="12"/>
  <c r="O1370" i="12"/>
  <c r="P1370" i="12"/>
  <c r="O1371" i="12"/>
  <c r="O1372" i="12"/>
  <c r="P1371" i="12"/>
  <c r="P1372" i="12"/>
  <c r="O1373" i="12"/>
  <c r="O1374" i="12"/>
  <c r="P1373" i="12"/>
  <c r="P1374" i="12"/>
  <c r="O1375" i="12"/>
  <c r="P1375" i="12"/>
  <c r="O1376" i="12"/>
  <c r="O1377" i="12"/>
  <c r="P1376" i="12"/>
  <c r="O1378" i="12"/>
  <c r="P1377" i="12"/>
  <c r="O1379" i="12"/>
  <c r="P1378" i="12"/>
  <c r="P1379" i="12"/>
  <c r="O1380" i="12"/>
  <c r="O1381" i="12"/>
  <c r="P1380" i="12"/>
  <c r="P1381" i="12"/>
  <c r="O1382" i="12"/>
  <c r="O1383" i="12"/>
  <c r="P1382" i="12"/>
  <c r="O1384" i="12"/>
  <c r="P1383" i="12"/>
  <c r="O1385" i="12"/>
  <c r="P1384" i="12"/>
  <c r="P1385" i="12"/>
  <c r="O1386" i="12"/>
  <c r="P1386" i="12"/>
  <c r="O1387" i="12"/>
  <c r="P1387" i="12"/>
  <c r="O1388" i="12"/>
  <c r="O1389" i="12"/>
  <c r="P1388" i="12"/>
  <c r="O1390" i="12"/>
  <c r="P1389" i="12"/>
  <c r="P1390" i="12"/>
  <c r="O1391" i="12"/>
  <c r="O1392" i="12"/>
  <c r="P1391" i="12"/>
  <c r="O1393" i="12"/>
  <c r="P1392" i="12"/>
  <c r="P1393" i="12"/>
  <c r="O1394" i="12"/>
  <c r="P1394" i="12"/>
  <c r="O1395" i="12"/>
  <c r="P1395" i="12"/>
  <c r="O1396" i="12"/>
  <c r="P1396" i="12"/>
  <c r="O1397" i="12"/>
  <c r="P1397" i="12"/>
  <c r="O1398" i="12"/>
  <c r="P1398" i="12"/>
  <c r="O1399" i="12"/>
  <c r="P1399" i="12"/>
  <c r="O1400" i="12"/>
  <c r="P1400" i="12"/>
  <c r="O1401" i="12"/>
  <c r="O1402" i="12"/>
  <c r="P1401" i="12"/>
  <c r="O1403" i="12"/>
  <c r="P1402" i="12"/>
  <c r="O1404" i="12"/>
  <c r="P1403" i="12"/>
  <c r="P1404" i="12"/>
  <c r="O1405" i="12"/>
  <c r="P1405" i="12"/>
  <c r="O1406" i="12"/>
  <c r="P1406" i="12"/>
  <c r="O1407" i="12"/>
  <c r="P1407" i="12"/>
  <c r="O1408" i="12"/>
  <c r="O1409" i="12"/>
  <c r="P1408" i="12"/>
  <c r="P1409" i="12"/>
  <c r="O1410" i="12"/>
  <c r="P1410" i="12"/>
  <c r="O1411" i="12"/>
  <c r="O1412" i="12"/>
  <c r="P1411" i="12"/>
  <c r="O1413" i="12"/>
  <c r="P1412" i="12"/>
  <c r="P1413" i="12"/>
  <c r="O1414" i="12"/>
  <c r="P1414" i="12"/>
  <c r="O1415" i="12"/>
  <c r="O1416" i="12"/>
  <c r="P1415" i="12"/>
  <c r="P1416" i="12"/>
  <c r="O1417" i="12"/>
  <c r="O1418" i="12"/>
  <c r="P1417" i="12"/>
  <c r="O1419" i="12"/>
  <c r="P1418" i="12"/>
  <c r="P1419" i="12"/>
  <c r="O1420" i="12"/>
  <c r="O1421" i="12"/>
  <c r="P1420" i="12"/>
  <c r="P1421" i="12"/>
  <c r="O1422" i="12"/>
  <c r="P1422" i="12"/>
  <c r="O1423" i="12"/>
  <c r="O1424" i="12"/>
  <c r="P1423" i="12"/>
  <c r="P1424" i="12"/>
  <c r="O1425" i="12"/>
  <c r="O1426" i="12"/>
  <c r="P1425" i="12"/>
  <c r="P1426" i="12"/>
  <c r="O1427" i="12"/>
  <c r="O1428" i="12"/>
  <c r="P1427" i="12"/>
  <c r="P1428" i="12"/>
  <c r="O1429" i="12"/>
  <c r="O1430" i="12"/>
  <c r="P1429" i="12"/>
  <c r="P1430" i="12"/>
  <c r="O1431" i="12"/>
  <c r="P1431" i="12"/>
  <c r="O1432" i="12"/>
  <c r="O1433" i="12"/>
  <c r="P1432" i="12"/>
  <c r="P1433" i="12"/>
  <c r="O1434" i="12"/>
  <c r="P1434" i="12"/>
  <c r="O1435" i="12"/>
  <c r="P1435" i="12"/>
  <c r="O1436" i="12"/>
  <c r="O1437" i="12"/>
  <c r="P1436" i="12"/>
  <c r="O1438" i="12"/>
  <c r="P1437" i="12"/>
  <c r="O1439" i="12"/>
  <c r="P1438" i="12"/>
  <c r="P1439" i="12"/>
  <c r="O1440" i="12"/>
  <c r="P1440" i="12"/>
  <c r="O1441" i="12"/>
  <c r="O1442" i="12"/>
  <c r="P1441" i="12"/>
  <c r="P1442" i="12"/>
  <c r="O1443" i="12"/>
  <c r="P1443" i="12"/>
  <c r="O1444" i="12"/>
  <c r="O1445" i="12"/>
  <c r="P1444" i="12"/>
  <c r="P1445" i="12"/>
  <c r="O1446" i="12"/>
  <c r="P1446" i="12"/>
  <c r="O1447" i="12"/>
  <c r="P1447" i="12"/>
  <c r="O1448" i="12"/>
  <c r="P1448" i="12"/>
  <c r="O1449" i="12"/>
  <c r="O1450" i="12"/>
  <c r="P1449" i="12"/>
  <c r="P1450" i="12"/>
  <c r="O1451" i="12"/>
  <c r="O1452" i="12"/>
  <c r="P1451" i="12"/>
  <c r="P1452" i="12"/>
  <c r="O1453" i="12"/>
  <c r="O1454" i="12"/>
  <c r="P1453" i="12"/>
  <c r="P1454" i="12"/>
  <c r="O1455" i="12"/>
  <c r="O1456" i="12"/>
  <c r="P1455" i="12"/>
  <c r="O1457" i="12"/>
  <c r="P1456" i="12"/>
  <c r="O1458" i="12"/>
  <c r="P1457" i="12"/>
  <c r="P1458" i="12"/>
  <c r="O1459" i="12"/>
  <c r="P1459" i="12"/>
  <c r="O1460" i="12"/>
  <c r="P1460" i="12"/>
  <c r="O1461" i="12"/>
  <c r="P1461" i="12"/>
  <c r="O1462" i="12"/>
  <c r="P1462" i="12"/>
  <c r="O1463" i="12"/>
  <c r="O1464" i="12"/>
  <c r="P1463" i="12"/>
  <c r="O1465" i="12"/>
  <c r="P1464" i="12"/>
  <c r="O1466" i="12"/>
  <c r="P1465" i="12"/>
  <c r="O1467" i="12"/>
  <c r="P1466" i="12"/>
  <c r="O1468" i="12"/>
  <c r="P1467" i="12"/>
  <c r="P1468" i="12"/>
  <c r="O1469" i="12"/>
  <c r="P1469" i="12"/>
  <c r="O1470" i="12"/>
  <c r="P1470" i="12"/>
  <c r="O1471" i="12"/>
  <c r="O1472" i="12"/>
  <c r="P1471" i="12"/>
  <c r="O1473" i="12"/>
  <c r="P1472" i="12"/>
  <c r="P1473" i="12"/>
  <c r="O1474" i="12"/>
  <c r="O1475" i="12"/>
  <c r="P1474" i="12"/>
  <c r="P1475" i="12"/>
  <c r="O1476" i="12"/>
  <c r="P1476" i="12"/>
  <c r="O1477" i="12"/>
  <c r="P1477" i="12"/>
  <c r="O1478" i="12"/>
  <c r="O1479" i="12"/>
  <c r="P1478" i="12"/>
  <c r="P1479" i="12"/>
  <c r="O1480" i="12"/>
  <c r="O1481" i="12"/>
  <c r="P1480" i="12"/>
  <c r="P1481" i="12"/>
  <c r="O1482" i="12"/>
  <c r="P1482" i="12"/>
  <c r="O1483" i="12"/>
  <c r="P1483" i="12"/>
  <c r="O1484" i="12"/>
  <c r="O1485" i="12"/>
  <c r="P1484" i="12"/>
  <c r="P1485" i="12"/>
  <c r="O1486" i="12"/>
  <c r="P1486" i="12"/>
  <c r="O1487" i="12"/>
  <c r="O1488" i="12"/>
  <c r="P1487" i="12"/>
  <c r="O1489" i="12"/>
  <c r="P1488" i="12"/>
  <c r="O1490" i="12"/>
  <c r="P1489" i="12"/>
  <c r="O1491" i="12"/>
  <c r="P1490" i="12"/>
  <c r="P1491" i="12"/>
  <c r="O1492" i="12"/>
  <c r="P1492" i="12"/>
  <c r="O1493" i="12"/>
  <c r="P1493" i="12"/>
  <c r="O1494" i="12"/>
  <c r="P1494" i="12"/>
  <c r="O1495" i="12"/>
  <c r="O1496" i="12"/>
  <c r="P1495" i="12"/>
  <c r="O1497" i="12"/>
  <c r="P1496" i="12"/>
  <c r="O1498" i="12"/>
  <c r="P1497" i="12"/>
  <c r="P1498" i="12"/>
  <c r="O1499" i="12"/>
  <c r="P1499" i="12"/>
  <c r="O1500" i="12"/>
  <c r="O1501" i="12"/>
  <c r="P1500" i="12"/>
  <c r="P1501" i="12"/>
  <c r="O1502" i="12"/>
  <c r="P1502" i="12"/>
  <c r="O1503" i="12"/>
  <c r="P1503" i="12"/>
  <c r="O1504" i="12"/>
  <c r="P1504" i="12"/>
  <c r="O1505" i="12"/>
  <c r="O1506" i="12"/>
  <c r="P1505" i="12"/>
  <c r="P1506" i="12"/>
  <c r="O1507" i="12"/>
  <c r="O1508" i="12"/>
  <c r="P1507" i="12"/>
  <c r="O1509" i="12"/>
  <c r="P1508" i="12"/>
  <c r="P1509" i="12"/>
  <c r="O1510" i="12"/>
  <c r="P1510" i="12"/>
  <c r="O1511" i="12"/>
  <c r="P1511" i="12"/>
  <c r="O1512" i="12"/>
  <c r="O1513" i="12"/>
  <c r="P1512" i="12"/>
  <c r="P1513" i="12"/>
  <c r="O1514" i="12"/>
  <c r="P1514" i="12"/>
  <c r="O1515" i="12"/>
  <c r="O1516" i="12"/>
  <c r="P1515" i="12"/>
  <c r="O1517" i="12"/>
  <c r="P1516" i="12"/>
  <c r="O1518" i="12"/>
  <c r="P1517" i="12"/>
  <c r="O1519" i="12"/>
  <c r="P1518" i="12"/>
  <c r="P1519" i="12"/>
  <c r="O1520" i="12"/>
  <c r="O1521" i="12"/>
  <c r="P1520" i="12"/>
  <c r="P1521" i="12"/>
  <c r="O1522" i="12"/>
  <c r="P1522" i="12"/>
  <c r="O1523" i="12"/>
  <c r="P1523" i="12"/>
  <c r="O1524" i="12"/>
  <c r="P1524" i="12"/>
  <c r="O1525" i="12"/>
  <c r="O1526" i="12"/>
  <c r="P1525" i="12"/>
  <c r="O1527" i="12"/>
  <c r="P1526" i="12"/>
  <c r="P1527" i="12"/>
  <c r="O1528" i="12"/>
  <c r="O1529" i="12"/>
  <c r="P1528" i="12"/>
  <c r="P1529" i="12"/>
  <c r="O1530" i="12"/>
  <c r="O1531" i="12"/>
  <c r="P1530" i="12"/>
  <c r="P1531" i="12"/>
  <c r="O1532" i="12"/>
  <c r="O1533" i="12"/>
  <c r="P1532" i="12"/>
  <c r="O1534" i="12"/>
  <c r="P1533" i="12"/>
  <c r="P1534" i="12"/>
  <c r="O1535" i="12"/>
  <c r="P1535" i="12"/>
  <c r="O1536" i="12"/>
  <c r="O1537" i="12"/>
  <c r="P1536" i="12"/>
  <c r="O1538" i="12"/>
  <c r="P1537" i="12"/>
  <c r="O1539" i="12"/>
  <c r="P1538" i="12"/>
  <c r="O1540" i="12"/>
  <c r="P1539" i="12"/>
  <c r="P1540" i="12"/>
  <c r="O1541" i="12"/>
  <c r="P1541" i="12"/>
  <c r="O1542" i="12"/>
  <c r="P1542" i="12"/>
  <c r="O1543" i="12"/>
  <c r="O1544" i="12"/>
  <c r="P1543" i="12"/>
  <c r="P1544" i="12"/>
  <c r="O1545" i="12"/>
  <c r="O1546" i="12"/>
  <c r="P1545" i="12"/>
  <c r="O1547" i="12"/>
  <c r="P1546" i="12"/>
  <c r="O1548" i="12"/>
  <c r="P1547" i="12"/>
  <c r="O1549" i="12"/>
  <c r="P1548" i="12"/>
  <c r="P1549" i="12"/>
  <c r="O1550" i="12"/>
  <c r="O1551" i="12"/>
  <c r="P1550" i="12"/>
  <c r="O1552" i="12"/>
  <c r="P1551" i="12"/>
  <c r="P1552" i="12"/>
  <c r="O1553" i="12"/>
  <c r="P1553" i="12"/>
  <c r="O1554" i="12"/>
  <c r="P1554" i="12"/>
  <c r="O1555" i="12"/>
  <c r="O1556" i="12"/>
  <c r="P1555" i="12"/>
  <c r="O1557" i="12"/>
  <c r="P1556" i="12"/>
  <c r="P1557" i="12"/>
  <c r="O1558" i="12"/>
  <c r="P1558" i="12"/>
  <c r="O1559" i="12"/>
  <c r="O1560" i="12"/>
  <c r="P1559" i="12"/>
  <c r="P1560" i="12"/>
  <c r="O1561" i="12"/>
  <c r="O1562" i="12"/>
  <c r="P1561" i="12"/>
  <c r="P1562" i="12"/>
  <c r="O1563" i="12"/>
  <c r="O1564" i="12"/>
  <c r="P1563" i="12"/>
  <c r="O1565" i="12"/>
  <c r="P1564" i="12"/>
  <c r="O1566" i="12"/>
  <c r="P1565" i="12"/>
  <c r="O1567" i="12"/>
  <c r="P1566" i="12"/>
  <c r="P1567" i="12"/>
  <c r="O1568" i="12"/>
  <c r="O1569" i="12"/>
  <c r="P1568" i="12"/>
  <c r="O1570" i="12"/>
  <c r="P1569" i="12"/>
  <c r="O1571" i="12"/>
  <c r="P1570" i="12"/>
  <c r="O1572" i="12"/>
  <c r="P1571" i="12"/>
  <c r="O1573" i="12"/>
  <c r="P1572" i="12"/>
  <c r="P1573" i="12"/>
  <c r="O1574" i="12"/>
  <c r="P1574" i="12"/>
  <c r="O1575" i="12"/>
  <c r="P1575" i="12"/>
  <c r="O1576" i="12"/>
  <c r="P1576" i="12"/>
  <c r="O1577" i="12"/>
  <c r="P1577" i="12"/>
  <c r="O1578" i="12"/>
  <c r="O1579" i="12"/>
  <c r="P1578" i="12"/>
  <c r="O1580" i="12"/>
  <c r="P1579" i="12"/>
  <c r="P1580" i="12"/>
  <c r="O1581" i="12"/>
  <c r="O1582" i="12"/>
  <c r="P1581" i="12"/>
  <c r="P1582" i="12"/>
  <c r="O1583" i="12"/>
  <c r="P1583" i="12"/>
  <c r="O1584" i="12"/>
  <c r="O1585" i="12"/>
  <c r="P1584" i="12"/>
  <c r="P1585" i="12"/>
  <c r="O1586" i="12"/>
  <c r="P1586" i="12"/>
  <c r="O1587" i="12"/>
  <c r="O1588" i="12"/>
  <c r="P1587" i="12"/>
  <c r="O1589" i="12"/>
  <c r="P1588" i="12"/>
  <c r="P1589" i="12"/>
  <c r="O1590" i="12"/>
  <c r="O1591" i="12"/>
  <c r="P1590" i="12"/>
  <c r="P1591" i="12"/>
  <c r="O1592" i="12"/>
  <c r="P1592" i="12"/>
  <c r="O1593" i="12"/>
  <c r="O1594" i="12"/>
  <c r="P1593" i="12"/>
  <c r="P1594" i="12"/>
  <c r="O1595" i="12"/>
  <c r="O1596" i="12"/>
  <c r="P1595" i="12"/>
  <c r="O1597" i="12"/>
  <c r="P1596" i="12"/>
  <c r="P1597" i="12"/>
  <c r="O1598" i="12"/>
  <c r="P1598" i="12"/>
  <c r="O1599" i="12"/>
  <c r="O1600" i="12"/>
  <c r="P1599" i="12"/>
  <c r="P1600" i="12"/>
  <c r="O1601" i="12"/>
  <c r="O1602" i="12"/>
  <c r="P1601" i="12"/>
  <c r="O1603" i="12"/>
  <c r="P1602" i="12"/>
  <c r="P1603" i="12"/>
  <c r="O1604" i="12"/>
  <c r="P1604" i="12"/>
  <c r="O1605" i="12"/>
  <c r="O1606" i="12"/>
  <c r="P1605" i="12"/>
  <c r="O1607" i="12"/>
  <c r="P1606" i="12"/>
  <c r="O1608" i="12"/>
  <c r="P1607" i="12"/>
  <c r="O1609" i="12"/>
  <c r="P1608" i="12"/>
  <c r="P1609" i="12"/>
  <c r="O1610" i="12"/>
  <c r="O1611" i="12"/>
  <c r="P1610" i="12"/>
  <c r="O1612" i="12"/>
  <c r="P1611" i="12"/>
  <c r="P1612" i="12"/>
  <c r="O1613" i="12"/>
  <c r="P1613" i="12"/>
  <c r="O1614" i="12"/>
  <c r="O1615" i="12"/>
  <c r="P1614" i="12"/>
  <c r="P1615" i="12"/>
  <c r="O1616" i="12"/>
  <c r="O1617" i="12"/>
  <c r="P1616" i="12"/>
  <c r="P1617" i="12"/>
  <c r="O1618" i="12"/>
  <c r="P1618" i="12"/>
  <c r="O1619" i="12"/>
  <c r="P1619" i="12"/>
  <c r="O1620" i="12"/>
  <c r="O1621" i="12"/>
  <c r="P1620" i="12"/>
  <c r="O1622" i="12"/>
  <c r="P1621" i="12"/>
  <c r="P1622" i="12"/>
  <c r="O1623" i="12"/>
  <c r="P1623" i="12"/>
  <c r="O1624" i="12"/>
  <c r="P1624" i="12"/>
  <c r="O1625" i="12"/>
  <c r="P1625" i="12"/>
  <c r="O1626" i="12"/>
  <c r="O1627" i="12"/>
  <c r="P1626" i="12"/>
  <c r="O1628" i="12"/>
  <c r="P1627" i="12"/>
  <c r="O1629" i="12"/>
  <c r="P1628" i="12"/>
  <c r="O1630" i="12"/>
  <c r="P1629" i="12"/>
  <c r="O1631" i="12"/>
  <c r="P1630" i="12"/>
  <c r="P1631" i="12"/>
  <c r="O1632" i="12"/>
  <c r="P1632" i="12"/>
  <c r="O1633" i="12"/>
  <c r="O1634" i="12"/>
  <c r="P1633" i="12"/>
  <c r="O1635" i="12"/>
  <c r="P1634" i="12"/>
  <c r="O1636" i="12"/>
  <c r="P1635" i="12"/>
  <c r="O1637" i="12"/>
  <c r="P1636" i="12"/>
  <c r="P1637" i="12"/>
  <c r="O1638" i="12"/>
  <c r="P1638" i="12"/>
  <c r="O1639" i="12"/>
  <c r="P1639" i="12"/>
  <c r="O1640" i="12"/>
  <c r="P1640" i="12"/>
  <c r="O1641" i="12"/>
  <c r="P1641" i="12"/>
  <c r="O1642" i="12"/>
  <c r="O1643" i="12"/>
  <c r="P1642" i="12"/>
  <c r="O1644" i="12"/>
  <c r="P1643" i="12"/>
  <c r="P1644" i="12"/>
  <c r="O1645" i="12"/>
  <c r="P1645" i="12"/>
  <c r="O1646" i="12"/>
  <c r="P1646" i="12"/>
  <c r="O1647" i="12"/>
  <c r="P1647" i="12"/>
  <c r="O1648" i="12"/>
  <c r="P1648" i="12"/>
  <c r="O1649" i="12"/>
  <c r="O1650" i="12"/>
  <c r="P1649" i="12"/>
  <c r="O1651" i="12"/>
  <c r="P1650" i="12"/>
  <c r="O1652" i="12"/>
  <c r="P1651" i="12"/>
  <c r="P1652" i="12"/>
  <c r="O1653" i="12"/>
  <c r="P1653" i="12"/>
  <c r="O1654" i="12"/>
  <c r="O1655" i="12"/>
  <c r="P1654" i="12"/>
  <c r="O1656" i="12"/>
  <c r="P1655" i="12"/>
  <c r="P1656" i="12"/>
  <c r="O1657" i="12"/>
  <c r="P1657" i="12"/>
  <c r="O1658" i="12"/>
  <c r="P1658" i="12"/>
  <c r="O1659" i="12"/>
  <c r="P1659" i="12"/>
  <c r="O1660" i="12"/>
  <c r="P1660" i="12"/>
  <c r="O1661" i="12"/>
  <c r="O1662" i="12"/>
  <c r="P1661" i="12"/>
  <c r="O1663" i="12"/>
  <c r="P1662" i="12"/>
  <c r="O1664" i="12"/>
  <c r="P1663" i="12"/>
  <c r="P1664" i="12"/>
  <c r="O1665" i="12"/>
  <c r="O1666" i="12"/>
  <c r="P1665" i="12"/>
  <c r="O1667" i="12"/>
  <c r="P1666" i="12"/>
  <c r="P1667" i="12"/>
  <c r="O1668" i="12"/>
  <c r="P1668" i="12"/>
  <c r="O1669" i="12"/>
  <c r="O1670" i="12"/>
  <c r="P1669" i="12"/>
  <c r="O1671" i="12"/>
  <c r="P1670" i="12"/>
  <c r="P1671" i="12"/>
  <c r="O1672" i="12"/>
  <c r="P1672" i="12"/>
  <c r="O1673" i="12"/>
  <c r="P1673" i="12"/>
  <c r="O1674" i="12"/>
  <c r="O1675" i="12"/>
  <c r="P1674" i="12"/>
  <c r="O1676" i="12"/>
  <c r="P1675" i="12"/>
  <c r="P1676" i="12"/>
  <c r="O1677" i="12"/>
  <c r="P1677" i="12"/>
  <c r="O1678" i="12"/>
  <c r="P1678" i="12"/>
  <c r="O1679" i="12"/>
  <c r="O1680" i="12"/>
  <c r="P1679" i="12"/>
  <c r="O1681" i="12"/>
  <c r="P1680" i="12"/>
  <c r="P1681" i="12"/>
  <c r="O1682" i="12"/>
  <c r="P1682" i="12"/>
  <c r="O1683" i="12"/>
  <c r="O1684" i="12"/>
  <c r="P1683" i="12"/>
  <c r="P1684" i="12"/>
  <c r="O1685" i="12"/>
  <c r="P1685" i="12"/>
  <c r="O1686" i="12"/>
  <c r="P1686" i="12"/>
  <c r="O1687" i="12"/>
  <c r="O1688" i="12"/>
  <c r="P1687" i="12"/>
  <c r="O1689" i="12"/>
  <c r="P1688" i="12"/>
  <c r="P1689" i="12"/>
  <c r="O1690" i="12"/>
  <c r="O1691" i="12"/>
  <c r="P1690" i="12"/>
  <c r="O1692" i="12"/>
  <c r="P1691" i="12"/>
  <c r="P1692" i="12"/>
  <c r="O1693" i="12"/>
  <c r="P1693" i="12"/>
  <c r="O1694" i="12"/>
  <c r="O1695" i="12"/>
  <c r="P1694" i="12"/>
  <c r="P1695" i="12"/>
  <c r="O1696" i="12"/>
  <c r="O1697" i="12"/>
  <c r="P1696" i="12"/>
  <c r="P1697" i="12"/>
  <c r="O1698" i="12"/>
  <c r="O1699" i="12"/>
  <c r="P1698" i="12"/>
  <c r="P1699" i="12"/>
  <c r="O1700" i="12"/>
  <c r="P1700" i="12"/>
  <c r="O1701" i="12"/>
  <c r="P1701" i="12"/>
  <c r="O1702" i="12"/>
  <c r="O1703" i="12"/>
  <c r="P1702" i="12"/>
  <c r="P1703" i="12"/>
  <c r="O1704" i="12"/>
  <c r="P1704" i="12"/>
  <c r="O1705" i="12"/>
  <c r="P1705" i="12"/>
  <c r="O1706" i="12"/>
  <c r="O1707" i="12"/>
  <c r="P1706" i="12"/>
  <c r="P1707" i="12"/>
  <c r="O1708" i="12"/>
  <c r="O1709" i="12"/>
  <c r="P1708" i="12"/>
  <c r="P1709" i="12"/>
  <c r="O1710" i="12"/>
  <c r="O1711" i="12"/>
  <c r="P1710" i="12"/>
  <c r="P1711" i="12"/>
  <c r="O1712" i="12"/>
  <c r="O1713" i="12"/>
  <c r="P1712" i="12"/>
  <c r="P1713" i="12"/>
  <c r="O1714" i="12"/>
  <c r="O1715" i="12"/>
  <c r="P1714" i="12"/>
  <c r="O1716" i="12"/>
  <c r="P1715" i="12"/>
  <c r="P1716" i="12"/>
  <c r="O1717" i="12"/>
  <c r="P1717" i="12"/>
  <c r="O1718" i="12"/>
  <c r="P1718" i="12"/>
  <c r="O1719" i="12"/>
  <c r="O1720" i="12"/>
  <c r="P1719" i="12"/>
  <c r="O1721" i="12"/>
  <c r="P1720" i="12"/>
  <c r="O1722" i="12"/>
  <c r="P1721" i="12"/>
  <c r="O1723" i="12"/>
  <c r="P1722" i="12"/>
  <c r="O1724" i="12"/>
  <c r="P1723" i="12"/>
  <c r="P1724" i="12"/>
  <c r="O1725" i="12"/>
  <c r="O1726" i="12"/>
  <c r="P1725" i="12"/>
  <c r="P1726" i="12"/>
  <c r="O1727" i="12"/>
  <c r="O1728" i="12"/>
  <c r="P1727" i="12"/>
  <c r="O1729" i="12"/>
  <c r="P1728" i="12"/>
  <c r="P1729" i="12"/>
  <c r="O1730" i="12"/>
  <c r="P1730" i="12"/>
  <c r="O1731" i="12"/>
  <c r="P1731" i="12"/>
  <c r="O1732" i="12"/>
  <c r="P1732" i="12"/>
  <c r="O1733" i="12"/>
  <c r="P1733" i="12"/>
  <c r="O1734" i="12"/>
  <c r="P1734" i="12"/>
  <c r="O1735" i="12"/>
  <c r="O1736" i="12"/>
  <c r="P1735" i="12"/>
  <c r="P1736" i="12"/>
  <c r="O1737" i="12"/>
  <c r="O1738" i="12"/>
  <c r="P1737" i="12"/>
  <c r="P1738" i="12"/>
  <c r="O1739" i="12"/>
  <c r="O1740" i="12"/>
  <c r="P1739" i="12"/>
  <c r="P1740" i="12"/>
  <c r="O1741" i="12"/>
  <c r="P1741" i="12"/>
  <c r="O1742" i="12"/>
  <c r="O1743" i="12"/>
  <c r="P1742" i="12"/>
  <c r="P1743" i="12"/>
  <c r="O1744" i="12"/>
  <c r="P1744" i="12"/>
  <c r="O1745" i="12"/>
  <c r="O1746" i="12"/>
  <c r="P1745" i="12"/>
  <c r="P1746" i="12"/>
  <c r="O1747" i="12"/>
  <c r="P1747" i="12"/>
  <c r="O1748" i="12"/>
  <c r="P1748" i="12"/>
  <c r="O1749" i="12"/>
  <c r="P1749" i="12"/>
  <c r="O1750" i="12"/>
  <c r="P1750" i="12"/>
  <c r="O1751" i="12"/>
  <c r="P1751" i="12"/>
  <c r="O1752" i="12"/>
  <c r="P1752" i="12"/>
  <c r="O1753" i="12"/>
  <c r="O1754" i="12"/>
  <c r="P1753" i="12"/>
  <c r="O1755" i="12"/>
  <c r="P1754" i="12"/>
  <c r="O1756" i="12"/>
  <c r="P1755" i="12"/>
  <c r="P1756" i="12"/>
  <c r="O1757" i="12"/>
  <c r="O1758" i="12"/>
  <c r="P1757" i="12"/>
  <c r="O1759" i="12"/>
  <c r="P1758" i="12"/>
  <c r="O1760" i="12"/>
  <c r="P1759" i="12"/>
  <c r="O1761" i="12"/>
  <c r="P1760" i="12"/>
  <c r="P1761" i="12"/>
  <c r="O1762" i="12"/>
  <c r="P1762" i="12"/>
  <c r="O1763" i="12"/>
  <c r="O1764" i="12"/>
  <c r="P1763" i="12"/>
  <c r="P1764" i="12"/>
  <c r="O1765" i="12"/>
  <c r="O1766" i="12"/>
  <c r="P1765" i="12"/>
  <c r="O1767" i="12"/>
  <c r="P1766" i="12"/>
  <c r="O1768" i="12"/>
  <c r="P1767" i="12"/>
  <c r="P1768" i="12"/>
  <c r="O1769" i="12"/>
  <c r="O1770" i="12"/>
  <c r="P1769" i="12"/>
  <c r="O1771" i="12"/>
  <c r="P1770" i="12"/>
  <c r="O1772" i="12"/>
  <c r="P1771" i="12"/>
  <c r="P1772" i="12"/>
  <c r="O1773" i="12"/>
  <c r="O1774" i="12"/>
  <c r="P1773" i="12"/>
  <c r="P1774" i="12"/>
  <c r="O1775" i="12"/>
  <c r="P1775" i="12"/>
  <c r="O1776" i="12"/>
  <c r="P1776" i="12"/>
  <c r="O1777" i="12"/>
  <c r="O1778" i="12"/>
  <c r="P1777" i="12"/>
  <c r="O1779" i="12"/>
  <c r="P1778" i="12"/>
  <c r="O1780" i="12"/>
  <c r="P1779" i="12"/>
  <c r="P1780" i="12"/>
  <c r="O1781" i="12"/>
  <c r="P1781" i="12"/>
  <c r="O1782" i="12"/>
  <c r="P1782" i="12"/>
  <c r="O1783" i="12"/>
  <c r="P1783" i="12"/>
  <c r="O1784" i="12"/>
  <c r="P1784" i="12"/>
  <c r="O1785" i="12"/>
  <c r="O1786" i="12"/>
  <c r="P1785" i="12"/>
  <c r="O1787" i="12"/>
  <c r="P1786" i="12"/>
  <c r="O1788" i="12"/>
  <c r="P1787" i="12"/>
  <c r="P1788" i="12"/>
  <c r="O1789" i="12"/>
  <c r="P1789" i="12"/>
  <c r="O1790" i="12"/>
  <c r="P1790" i="12"/>
  <c r="O1791" i="12"/>
  <c r="O1792" i="12"/>
  <c r="P1791" i="12"/>
  <c r="P1792" i="12"/>
  <c r="O1793" i="12"/>
  <c r="O1794" i="12"/>
  <c r="P1793" i="12"/>
  <c r="O1795" i="12"/>
  <c r="P1794" i="12"/>
  <c r="P1795" i="12"/>
  <c r="O1796" i="12"/>
  <c r="P1796" i="12"/>
  <c r="O1797" i="12"/>
  <c r="O1798" i="12"/>
  <c r="P1797" i="12"/>
  <c r="P1798" i="12"/>
  <c r="O1799" i="12"/>
  <c r="P1799" i="12"/>
  <c r="O1800" i="12"/>
  <c r="P1800" i="12"/>
  <c r="O1801" i="12"/>
  <c r="O1802" i="12"/>
  <c r="P1801" i="12"/>
  <c r="P1802" i="12"/>
  <c r="O1803" i="12"/>
  <c r="P1803" i="12"/>
  <c r="O1804" i="12"/>
  <c r="P1804" i="12"/>
  <c r="O1805" i="12"/>
  <c r="O1806" i="12"/>
  <c r="P1805" i="12"/>
  <c r="O1807" i="12"/>
  <c r="P1806" i="12"/>
  <c r="O1808" i="12"/>
  <c r="P1807" i="12"/>
  <c r="P1808" i="12"/>
  <c r="O1809" i="12"/>
  <c r="O1810" i="12"/>
  <c r="P1809" i="12"/>
  <c r="P1810" i="12"/>
  <c r="O1811" i="12"/>
  <c r="P1811" i="12"/>
  <c r="O1812" i="12"/>
  <c r="O1813" i="12"/>
  <c r="P1812" i="12"/>
  <c r="O1814" i="12"/>
  <c r="P1813" i="12"/>
  <c r="P1814" i="12"/>
  <c r="O1815" i="12"/>
  <c r="O1816" i="12"/>
  <c r="P1815" i="12"/>
  <c r="O1817" i="12"/>
  <c r="P1816" i="12"/>
  <c r="O1818" i="12"/>
  <c r="P1817" i="12"/>
  <c r="O1819" i="12"/>
  <c r="P1818" i="12"/>
  <c r="O1820" i="12"/>
  <c r="P1819" i="12"/>
  <c r="P1820" i="12"/>
  <c r="O1821" i="12"/>
  <c r="P1821" i="12"/>
  <c r="O1822" i="12"/>
  <c r="O1823" i="12"/>
  <c r="P1822" i="12"/>
  <c r="O1824" i="12"/>
  <c r="P1823" i="12"/>
  <c r="O1825" i="12"/>
  <c r="P1824" i="12"/>
  <c r="O1826" i="12"/>
  <c r="P1825" i="12"/>
  <c r="P1826" i="12"/>
  <c r="O1827" i="12"/>
  <c r="O1828" i="12"/>
  <c r="P1827" i="12"/>
  <c r="O1829" i="12"/>
  <c r="P1828" i="12"/>
  <c r="P1829" i="12"/>
  <c r="O1830" i="12"/>
  <c r="P1830" i="12"/>
  <c r="O1831" i="12"/>
  <c r="P1831" i="12"/>
  <c r="O1832" i="12"/>
  <c r="O1833" i="12"/>
  <c r="P1832" i="12"/>
  <c r="O1834" i="12"/>
  <c r="P1833" i="12"/>
  <c r="O1835" i="12"/>
  <c r="P1834" i="12"/>
  <c r="P1835" i="12"/>
  <c r="O1836" i="12"/>
  <c r="O1837" i="12"/>
  <c r="P1836" i="12"/>
  <c r="O1838" i="12"/>
  <c r="P1837" i="12"/>
  <c r="P1838" i="12"/>
  <c r="O1839" i="12"/>
  <c r="P1839" i="12"/>
  <c r="O1840" i="12"/>
  <c r="P1840" i="12"/>
  <c r="O1841" i="12"/>
  <c r="O1842" i="12"/>
  <c r="P1841" i="12"/>
  <c r="O1843" i="12"/>
  <c r="P1842" i="12"/>
  <c r="P1843" i="12"/>
  <c r="O1844" i="12"/>
  <c r="P1844" i="12"/>
  <c r="O1845" i="12"/>
  <c r="O1846" i="12"/>
  <c r="P1845" i="12"/>
  <c r="P1846" i="12"/>
  <c r="O1847" i="12"/>
  <c r="O1848" i="12"/>
  <c r="P1847" i="12"/>
  <c r="O1849" i="12"/>
  <c r="P1848" i="12"/>
  <c r="P1849" i="12"/>
  <c r="O1850" i="12"/>
  <c r="O1851" i="12"/>
  <c r="P1850" i="12"/>
  <c r="O1852" i="12"/>
  <c r="P1851" i="12"/>
  <c r="O1853" i="12"/>
  <c r="P1852" i="12"/>
  <c r="P1853" i="12"/>
  <c r="O1854" i="12"/>
  <c r="P1854" i="12"/>
  <c r="O1855" i="12"/>
  <c r="O1856" i="12"/>
  <c r="P1855" i="12"/>
  <c r="O1857" i="12"/>
  <c r="P1856" i="12"/>
  <c r="P1857" i="12"/>
  <c r="O1858" i="12"/>
  <c r="P1858" i="12"/>
  <c r="O1859" i="12"/>
  <c r="P1859" i="12"/>
  <c r="O1860" i="12"/>
  <c r="P1860" i="12"/>
  <c r="O1861" i="12"/>
  <c r="P1861" i="12"/>
  <c r="O1862" i="12"/>
  <c r="P1862" i="12"/>
  <c r="O1863" i="12"/>
  <c r="P1863" i="12"/>
  <c r="O1864" i="12"/>
  <c r="O1865" i="12"/>
  <c r="P1864" i="12"/>
  <c r="P1865" i="12"/>
  <c r="O1866" i="12"/>
  <c r="O1867" i="12"/>
  <c r="P1866" i="12"/>
  <c r="O1868" i="12"/>
  <c r="P1867" i="12"/>
  <c r="P1868" i="12"/>
  <c r="O1869" i="12"/>
  <c r="P1869" i="12"/>
  <c r="O1870" i="12"/>
  <c r="P1870" i="12"/>
  <c r="O1871" i="12"/>
  <c r="P1871" i="12"/>
  <c r="O1872" i="12"/>
  <c r="O1873" i="12"/>
  <c r="P1872" i="12"/>
  <c r="P1873" i="12"/>
  <c r="O1874" i="12"/>
  <c r="O1875" i="12"/>
  <c r="P1874" i="12"/>
  <c r="O1876" i="12"/>
  <c r="P1875" i="12"/>
  <c r="P1876" i="12"/>
  <c r="O1877" i="12"/>
  <c r="O1878" i="12"/>
  <c r="P1877" i="12"/>
  <c r="O1879" i="12"/>
  <c r="P1878" i="12"/>
  <c r="O1880" i="12"/>
  <c r="P1879" i="12"/>
  <c r="P1880" i="12"/>
  <c r="O1881" i="12"/>
  <c r="P1881" i="12"/>
  <c r="O1882" i="12"/>
  <c r="O1883" i="12"/>
  <c r="P1882" i="12"/>
  <c r="O1884" i="12"/>
  <c r="P1883" i="12"/>
  <c r="P1884" i="12"/>
  <c r="O1885" i="12"/>
  <c r="O1886" i="12"/>
  <c r="P1885" i="12"/>
  <c r="O1887" i="12"/>
  <c r="P1886" i="12"/>
  <c r="P1887" i="12"/>
  <c r="O1888" i="12"/>
  <c r="O1889" i="12"/>
  <c r="P1888" i="12"/>
  <c r="P1889" i="12"/>
  <c r="O1890" i="12"/>
  <c r="O1891" i="12"/>
  <c r="P1890" i="12"/>
  <c r="O1892" i="12"/>
  <c r="P1891" i="12"/>
  <c r="O1893" i="12"/>
  <c r="P1892" i="12"/>
  <c r="P1893" i="12"/>
  <c r="O1894" i="12"/>
  <c r="O1895" i="12"/>
  <c r="P1894" i="12"/>
  <c r="O1896" i="12"/>
  <c r="P1895" i="12"/>
  <c r="O1897" i="12"/>
  <c r="P1896" i="12"/>
  <c r="O1898" i="12"/>
  <c r="P1897" i="12"/>
  <c r="P1898" i="12"/>
  <c r="O1899" i="12"/>
  <c r="O1900" i="12"/>
  <c r="P1899" i="12"/>
  <c r="P1900" i="12"/>
  <c r="O1901" i="12"/>
  <c r="P1901" i="12"/>
  <c r="O1902" i="12"/>
  <c r="P1902" i="12"/>
  <c r="O1903" i="12"/>
  <c r="O1904" i="12"/>
  <c r="P1903" i="12"/>
  <c r="O1905" i="12"/>
  <c r="P1904" i="12"/>
  <c r="O1906" i="12"/>
  <c r="P1905" i="12"/>
  <c r="P1906" i="12"/>
  <c r="O1907" i="12"/>
  <c r="O1908" i="12"/>
  <c r="P1907" i="12"/>
  <c r="O1909" i="12"/>
  <c r="P1908" i="12"/>
  <c r="P1909" i="12"/>
  <c r="O1910" i="12"/>
  <c r="P1910" i="12"/>
  <c r="O1911" i="12"/>
  <c r="O1912" i="12"/>
  <c r="P1911" i="12"/>
  <c r="P1912" i="12"/>
  <c r="O1913" i="12"/>
  <c r="P1913" i="12"/>
  <c r="O1914" i="12"/>
  <c r="P1914" i="12"/>
  <c r="O1915" i="12"/>
  <c r="O1916" i="12"/>
  <c r="P1915" i="12"/>
  <c r="P1916" i="12"/>
  <c r="O1917" i="12"/>
  <c r="O1918" i="12"/>
  <c r="P1917" i="12"/>
  <c r="O1919" i="12"/>
  <c r="P1918" i="12"/>
  <c r="O1920" i="12"/>
  <c r="P1919" i="12"/>
  <c r="P1920" i="12"/>
  <c r="O1921" i="12"/>
  <c r="O1922" i="12"/>
  <c r="P1921" i="12"/>
  <c r="P1922" i="12"/>
  <c r="O1923" i="12"/>
  <c r="P1923" i="12"/>
  <c r="O1924" i="12"/>
  <c r="P1924" i="12"/>
  <c r="O1925" i="12"/>
  <c r="O1926" i="12"/>
  <c r="P1925" i="12"/>
  <c r="O1927" i="12"/>
  <c r="P1926" i="12"/>
  <c r="P1927" i="12"/>
  <c r="O1928" i="12"/>
  <c r="P1928" i="12"/>
  <c r="O1929" i="12"/>
  <c r="P1929" i="12"/>
  <c r="O1930" i="12"/>
  <c r="O1931" i="12"/>
  <c r="P1930" i="12"/>
  <c r="P1931" i="12"/>
  <c r="O1932" i="12"/>
  <c r="P1932" i="12"/>
  <c r="O1933" i="12"/>
  <c r="O1934" i="12"/>
  <c r="P1933" i="12"/>
  <c r="P1934" i="12"/>
  <c r="O1935" i="12"/>
  <c r="P1935" i="12"/>
  <c r="O1936" i="12"/>
  <c r="P1936" i="12"/>
  <c r="O1937" i="12"/>
  <c r="O1938" i="12"/>
  <c r="P1937" i="12"/>
  <c r="P1938" i="12"/>
  <c r="O1939" i="12"/>
  <c r="P1939" i="12"/>
  <c r="O1940" i="12"/>
  <c r="P1940" i="12"/>
  <c r="O1941" i="12"/>
  <c r="P1941" i="12"/>
  <c r="O1942" i="12"/>
  <c r="P1942" i="12"/>
  <c r="O1943" i="12"/>
  <c r="O1944" i="12"/>
  <c r="P1943" i="12"/>
  <c r="P1944" i="12"/>
  <c r="O1945" i="12"/>
  <c r="O1946" i="12"/>
  <c r="P1945" i="12"/>
  <c r="P1946" i="12"/>
  <c r="O1947" i="12"/>
  <c r="P1947" i="12"/>
  <c r="O1948" i="12"/>
  <c r="P1948" i="12"/>
  <c r="O1949" i="12"/>
  <c r="P1949" i="12"/>
  <c r="O1950" i="12"/>
  <c r="P1950" i="12"/>
  <c r="O1951" i="12"/>
  <c r="P1951" i="12"/>
  <c r="O1952" i="12"/>
  <c r="O1953" i="12"/>
  <c r="P1952" i="12"/>
  <c r="O1954" i="12"/>
  <c r="P1953" i="12"/>
  <c r="O1955" i="12"/>
  <c r="P1954" i="12"/>
  <c r="P1955" i="12"/>
  <c r="O1956" i="12"/>
  <c r="O1957" i="12"/>
  <c r="P1956" i="12"/>
  <c r="O1958" i="12"/>
  <c r="P1957" i="12"/>
  <c r="O1959" i="12"/>
  <c r="P1958" i="12"/>
  <c r="O1960" i="12"/>
  <c r="P1959" i="12"/>
  <c r="P1960" i="12"/>
  <c r="O1961" i="12"/>
  <c r="P1961" i="12"/>
  <c r="O1962" i="12"/>
  <c r="O1963" i="12"/>
  <c r="P1962" i="12"/>
  <c r="O1964" i="12"/>
  <c r="P1963" i="12"/>
  <c r="O1965" i="12"/>
  <c r="P1964" i="12"/>
  <c r="O1966" i="12"/>
  <c r="P1965" i="12"/>
  <c r="P1966" i="12"/>
  <c r="O1967" i="12"/>
  <c r="O1968" i="12"/>
  <c r="P1967" i="12"/>
  <c r="P1968" i="12"/>
  <c r="O1969" i="12"/>
  <c r="O1970" i="12"/>
  <c r="P1969" i="12"/>
  <c r="P1970" i="12"/>
  <c r="O1971" i="12"/>
  <c r="O1972" i="12"/>
  <c r="P1971" i="12"/>
  <c r="P1972" i="12"/>
  <c r="O1973" i="12"/>
  <c r="P1973" i="12"/>
  <c r="O1974" i="12"/>
  <c r="P1974" i="12"/>
  <c r="O1975" i="12"/>
  <c r="O1976" i="12"/>
  <c r="P1975" i="12"/>
  <c r="O1977" i="12"/>
  <c r="P1976" i="12"/>
  <c r="O1978" i="12"/>
  <c r="P1977" i="12"/>
  <c r="P1978" i="12"/>
  <c r="O1979" i="12"/>
  <c r="P1979" i="12"/>
  <c r="O1980" i="12"/>
  <c r="P1980" i="12"/>
  <c r="O1981" i="12"/>
  <c r="P1981" i="12"/>
  <c r="O1982" i="12"/>
  <c r="P1982" i="12"/>
  <c r="O1983" i="12"/>
  <c r="O1984" i="12"/>
  <c r="P1983" i="12"/>
  <c r="O1985" i="12"/>
  <c r="P1984" i="12"/>
  <c r="P1985" i="12"/>
  <c r="O1986" i="12"/>
  <c r="O1987" i="12"/>
  <c r="P1986" i="12"/>
  <c r="P1987" i="12"/>
  <c r="O1988" i="12"/>
  <c r="O1989" i="12"/>
  <c r="P1988" i="12"/>
  <c r="O1990" i="12"/>
  <c r="P1989" i="12"/>
  <c r="O1991" i="12"/>
  <c r="P1990" i="12"/>
  <c r="P1991" i="12"/>
  <c r="O1992" i="12"/>
  <c r="P1992" i="12"/>
  <c r="O1993" i="12"/>
  <c r="P1993" i="12"/>
  <c r="O1994" i="12"/>
  <c r="O1995" i="12"/>
  <c r="P1994" i="12"/>
  <c r="O1996" i="12"/>
  <c r="P1995" i="12"/>
  <c r="P1996" i="12"/>
  <c r="O1997" i="12"/>
  <c r="O1998" i="12"/>
  <c r="P1997" i="12"/>
  <c r="O1999" i="12"/>
  <c r="P1998" i="12"/>
  <c r="O2000" i="12"/>
  <c r="P1999" i="12"/>
  <c r="P2000" i="12"/>
  <c r="O2001" i="12"/>
  <c r="P2001" i="12"/>
  <c r="O2002" i="12"/>
  <c r="P2002" i="12"/>
  <c r="O2003" i="12"/>
  <c r="P2003" i="12"/>
  <c r="O2004" i="12"/>
  <c r="P2004" i="12"/>
  <c r="O2005" i="12"/>
  <c r="O2006" i="12"/>
  <c r="P2005" i="12"/>
  <c r="O2007" i="12"/>
  <c r="P2006" i="12"/>
  <c r="O2008" i="12"/>
  <c r="P2007" i="12"/>
  <c r="P2008" i="12"/>
  <c r="O2009" i="12"/>
  <c r="P2009" i="12"/>
  <c r="O2010" i="12"/>
  <c r="O2011" i="12"/>
  <c r="P2010" i="12"/>
  <c r="O2012" i="12"/>
  <c r="P2011" i="12"/>
  <c r="P2012" i="12"/>
  <c r="O2013" i="12"/>
  <c r="O2014" i="12"/>
  <c r="P2013" i="12"/>
  <c r="O2015" i="12"/>
  <c r="P2014" i="12"/>
  <c r="P2015" i="12"/>
  <c r="O2016" i="12"/>
  <c r="O2017" i="12"/>
  <c r="P2016" i="12"/>
  <c r="O2018" i="12"/>
  <c r="P2017" i="12"/>
  <c r="P2018" i="12"/>
  <c r="O2019" i="12"/>
  <c r="O2020" i="12"/>
  <c r="P2019" i="12"/>
  <c r="P2020" i="12"/>
  <c r="O2021" i="12"/>
  <c r="P2021" i="12"/>
  <c r="O2022" i="12"/>
  <c r="P2022" i="12"/>
  <c r="O2023" i="12"/>
  <c r="P2023" i="12"/>
  <c r="O2024" i="12"/>
  <c r="O2025" i="12"/>
  <c r="P2024" i="12"/>
  <c r="P2025" i="12"/>
  <c r="O2026" i="12"/>
  <c r="P2026" i="12"/>
  <c r="O2027" i="12"/>
  <c r="O2028" i="12"/>
  <c r="P2027" i="12"/>
  <c r="O2029" i="12"/>
  <c r="P2028" i="12"/>
  <c r="P2029" i="12"/>
  <c r="O2030" i="12"/>
  <c r="P2030" i="12"/>
  <c r="O2031" i="12"/>
  <c r="O2032" i="12"/>
  <c r="P2031" i="12"/>
  <c r="O2033" i="12"/>
  <c r="P2032" i="12"/>
  <c r="P2033" i="12"/>
  <c r="O2034" i="12"/>
  <c r="O2035" i="12"/>
  <c r="P2034" i="12"/>
  <c r="O2036" i="12"/>
  <c r="P2035" i="12"/>
  <c r="O2037" i="12"/>
  <c r="P2036" i="12"/>
  <c r="P2037" i="12"/>
  <c r="O2038" i="12"/>
  <c r="P2038" i="12"/>
  <c r="O2039" i="12"/>
  <c r="P2039" i="12"/>
  <c r="O2040" i="12"/>
  <c r="P2040" i="12"/>
  <c r="O2041" i="12"/>
  <c r="P2041" i="12"/>
  <c r="O2042" i="12"/>
  <c r="O2043" i="12"/>
  <c r="P2042" i="12"/>
  <c r="P2043" i="12"/>
  <c r="O2044" i="12"/>
  <c r="O2045" i="12"/>
  <c r="P2044" i="12"/>
  <c r="O2046" i="12"/>
  <c r="P2045" i="12"/>
  <c r="O2047" i="12"/>
  <c r="P2046" i="12"/>
  <c r="O2048" i="12"/>
  <c r="P2047" i="12"/>
  <c r="O2049" i="12"/>
  <c r="P2048" i="12"/>
  <c r="O2050" i="12"/>
  <c r="P2049" i="12"/>
  <c r="O2051" i="12"/>
  <c r="P2050" i="12"/>
  <c r="P2051" i="12"/>
  <c r="O2052" i="12"/>
  <c r="P2052" i="12"/>
  <c r="O2053" i="12"/>
  <c r="P2053" i="12"/>
  <c r="O2054" i="12"/>
  <c r="O2055" i="12"/>
  <c r="P2054" i="12"/>
  <c r="P2055" i="12"/>
  <c r="O2056" i="12"/>
  <c r="P2056" i="12"/>
  <c r="O2057" i="12"/>
  <c r="O2058" i="12"/>
  <c r="P2057" i="12"/>
  <c r="P2058" i="12"/>
  <c r="O2059" i="12"/>
  <c r="O2060" i="12"/>
  <c r="P2059" i="12"/>
  <c r="O2061" i="12"/>
  <c r="P2060" i="12"/>
  <c r="P2061" i="12"/>
  <c r="O2062" i="12"/>
  <c r="P2062" i="12"/>
  <c r="O2063" i="12"/>
  <c r="P2063" i="12"/>
  <c r="O2064" i="12"/>
  <c r="P2064" i="12"/>
  <c r="O2065" i="12"/>
  <c r="O2066" i="12"/>
  <c r="P2065" i="12"/>
  <c r="P2066" i="12"/>
  <c r="O2067" i="12"/>
  <c r="P2067" i="12"/>
  <c r="O2068" i="12"/>
  <c r="P2068" i="12"/>
  <c r="O2069" i="12"/>
  <c r="P2069" i="12"/>
  <c r="O2070" i="12"/>
  <c r="O2071" i="12"/>
  <c r="P2070" i="12"/>
  <c r="O2072" i="12"/>
  <c r="P2071" i="12"/>
  <c r="P2072" i="12"/>
  <c r="O2073" i="12"/>
  <c r="P2073" i="12"/>
  <c r="O2074" i="12"/>
  <c r="O2075" i="12"/>
  <c r="P2074" i="12"/>
  <c r="P2075" i="12"/>
  <c r="O2076" i="12"/>
  <c r="O2077" i="12"/>
  <c r="P2076" i="12"/>
  <c r="P2077" i="12"/>
  <c r="O2078" i="12"/>
  <c r="P2078" i="12"/>
  <c r="O2079" i="12"/>
  <c r="O2080" i="12"/>
  <c r="P2079" i="12"/>
  <c r="P2080" i="12"/>
  <c r="O2081" i="12"/>
  <c r="O2082" i="12"/>
  <c r="P2081" i="12"/>
  <c r="P2082" i="12"/>
  <c r="O2083" i="12"/>
  <c r="O2084" i="12"/>
  <c r="P2083" i="12"/>
  <c r="O2085" i="12"/>
  <c r="P2084" i="12"/>
  <c r="P2085" i="12"/>
  <c r="O2086" i="12"/>
  <c r="P2086" i="12"/>
  <c r="O2087" i="12"/>
  <c r="P2087" i="12"/>
  <c r="O2088" i="12"/>
  <c r="P2088" i="12"/>
  <c r="O2089" i="12"/>
  <c r="P2089" i="12"/>
  <c r="O2090" i="12"/>
  <c r="P2090" i="12"/>
  <c r="O2091" i="12"/>
  <c r="P2091" i="12"/>
  <c r="O2092" i="12"/>
  <c r="P2092" i="12"/>
  <c r="O2093" i="12"/>
  <c r="P2093" i="12"/>
  <c r="O2094" i="12"/>
  <c r="O2095" i="12"/>
  <c r="P2094" i="12"/>
  <c r="O2096" i="12"/>
  <c r="P2095" i="12"/>
  <c r="P2096" i="12"/>
  <c r="O2097" i="12"/>
  <c r="P2097" i="12"/>
  <c r="O2098" i="12"/>
  <c r="O2099" i="12"/>
  <c r="P2098" i="12"/>
  <c r="P2099" i="12"/>
  <c r="O2100" i="12"/>
  <c r="O2101" i="12"/>
  <c r="P2100" i="12"/>
  <c r="P2101" i="12"/>
  <c r="O2102" i="12"/>
  <c r="P2102" i="12"/>
  <c r="O2103" i="12"/>
  <c r="P2103" i="12"/>
  <c r="O2104" i="12"/>
  <c r="P2104" i="12"/>
  <c r="O2105" i="12"/>
  <c r="P2105" i="12"/>
  <c r="O2106" i="12"/>
  <c r="P2106" i="12"/>
  <c r="O2107" i="12"/>
  <c r="P2107" i="12"/>
  <c r="O2108" i="12"/>
  <c r="O2109" i="12"/>
  <c r="P2108" i="12"/>
  <c r="P2109" i="12"/>
  <c r="O2110" i="12"/>
  <c r="P2110" i="12"/>
  <c r="O2111" i="12"/>
  <c r="O2112" i="12"/>
  <c r="P2111" i="12"/>
  <c r="O2113" i="12"/>
  <c r="P2112" i="12"/>
  <c r="O2114" i="12"/>
  <c r="P2113" i="12"/>
  <c r="P2114" i="12"/>
  <c r="O2115" i="12"/>
  <c r="P2115" i="12"/>
  <c r="O2116" i="12"/>
  <c r="P2116" i="12"/>
  <c r="O2117" i="12"/>
  <c r="O2118" i="12"/>
  <c r="P2117" i="12"/>
  <c r="O2119" i="12"/>
  <c r="P2118" i="12"/>
  <c r="O2120" i="12"/>
  <c r="P2119" i="12"/>
  <c r="O2121" i="12"/>
  <c r="P2120" i="12"/>
  <c r="O2122" i="12"/>
  <c r="P2121" i="12"/>
  <c r="P2122" i="12"/>
  <c r="O2123" i="12"/>
  <c r="O2124" i="12"/>
  <c r="P2123" i="12"/>
  <c r="O2125" i="12"/>
  <c r="P2124" i="12"/>
  <c r="P2125" i="12"/>
  <c r="O2126" i="12"/>
  <c r="O2127" i="12"/>
  <c r="P2126" i="12"/>
  <c r="O2128" i="12"/>
  <c r="P2127" i="12"/>
  <c r="P2128" i="12"/>
  <c r="O2129" i="12"/>
  <c r="P2129" i="12"/>
  <c r="O2130" i="12"/>
  <c r="P2130" i="12"/>
  <c r="O2131" i="12"/>
  <c r="P2131" i="12"/>
  <c r="O2132" i="12"/>
  <c r="P2132" i="12"/>
  <c r="O2133" i="12"/>
  <c r="O2134" i="12"/>
  <c r="P2133" i="12"/>
  <c r="P2134" i="12"/>
  <c r="O2135" i="12"/>
  <c r="P2135" i="12"/>
  <c r="O2136" i="12"/>
  <c r="P2136" i="12"/>
  <c r="O2137" i="12"/>
  <c r="O2138" i="12"/>
  <c r="P2137" i="12"/>
  <c r="O2139" i="12"/>
  <c r="P2138" i="12"/>
  <c r="P2139" i="12"/>
  <c r="O2140" i="12"/>
  <c r="O2141" i="12"/>
  <c r="P2140" i="12"/>
  <c r="O2142" i="12"/>
  <c r="P2141" i="12"/>
  <c r="P2142" i="12"/>
  <c r="O2143" i="12"/>
  <c r="P2143" i="12"/>
  <c r="O2144" i="12"/>
  <c r="P2144" i="12"/>
  <c r="O2145" i="12"/>
  <c r="P2145" i="12"/>
  <c r="O2146" i="12"/>
  <c r="O2147" i="12"/>
  <c r="P2146" i="12"/>
  <c r="O2148" i="12"/>
  <c r="P2147" i="12"/>
  <c r="O2149" i="12"/>
  <c r="P2148" i="12"/>
  <c r="O2150" i="12"/>
  <c r="P2149" i="12"/>
  <c r="P2150" i="12"/>
  <c r="O2151" i="12"/>
  <c r="P2151" i="12"/>
  <c r="O2152" i="12"/>
  <c r="P2152" i="12"/>
  <c r="O2153" i="12"/>
  <c r="P2153" i="12"/>
  <c r="O2154" i="12"/>
  <c r="P2154" i="12"/>
  <c r="O2155" i="12"/>
  <c r="P2155" i="12"/>
  <c r="O2156" i="12"/>
  <c r="O2157" i="12"/>
  <c r="P2156" i="12"/>
  <c r="O2158" i="12"/>
  <c r="P2157" i="12"/>
  <c r="P2158" i="12"/>
  <c r="O2159" i="12"/>
  <c r="O2160" i="12"/>
  <c r="P2159" i="12"/>
  <c r="P2160" i="12"/>
  <c r="O2161" i="12"/>
  <c r="O2162" i="12"/>
  <c r="P2161" i="12"/>
  <c r="O2163" i="12"/>
  <c r="P2162" i="12"/>
  <c r="P2163" i="12"/>
  <c r="O2164" i="12"/>
  <c r="O2165" i="12"/>
  <c r="P2164" i="12"/>
  <c r="P2165" i="12"/>
  <c r="O2166" i="12"/>
  <c r="O2167" i="12"/>
  <c r="P2166" i="12"/>
  <c r="P2167" i="12"/>
  <c r="O2168" i="12"/>
  <c r="O2169" i="12"/>
  <c r="P2168" i="12"/>
  <c r="O2170" i="12"/>
  <c r="P2169" i="12"/>
  <c r="O2171" i="12"/>
  <c r="P2170" i="12"/>
  <c r="P2171" i="12"/>
  <c r="O2172" i="12"/>
  <c r="P2172" i="12"/>
  <c r="O2173" i="12"/>
  <c r="O2174" i="12"/>
  <c r="P2173" i="12"/>
  <c r="O2175" i="12"/>
  <c r="P2174" i="12"/>
  <c r="O2176" i="12"/>
  <c r="P2175" i="12"/>
  <c r="O2177" i="12"/>
  <c r="P2176" i="12"/>
  <c r="O2178" i="12"/>
  <c r="P2177" i="12"/>
  <c r="O2179" i="12"/>
  <c r="P2178" i="12"/>
  <c r="P2179" i="12"/>
  <c r="O2180" i="12"/>
  <c r="O2181" i="12"/>
  <c r="P2180" i="12"/>
  <c r="P2181" i="12"/>
  <c r="O2182" i="12"/>
  <c r="P2182" i="12"/>
  <c r="O2183" i="12"/>
  <c r="P2183" i="12"/>
  <c r="O2184" i="12"/>
  <c r="O2185" i="12"/>
  <c r="P2184" i="12"/>
  <c r="O2186" i="12"/>
  <c r="P2185" i="12"/>
  <c r="O2187" i="12"/>
  <c r="P2186" i="12"/>
  <c r="O2188" i="12"/>
  <c r="P2187" i="12"/>
  <c r="P2188" i="12"/>
  <c r="O2189" i="12"/>
  <c r="P2189" i="12"/>
  <c r="O2190" i="12"/>
  <c r="O2191" i="12"/>
  <c r="P2190" i="12"/>
  <c r="P2191" i="12"/>
  <c r="O2192" i="12"/>
  <c r="P2192" i="12"/>
  <c r="O2193" i="12"/>
  <c r="P2193" i="12"/>
  <c r="O2194" i="12"/>
  <c r="O2195" i="12"/>
  <c r="P2194" i="12"/>
  <c r="P2195" i="12"/>
  <c r="O2196" i="12"/>
  <c r="O2197" i="12"/>
  <c r="P2196" i="12"/>
  <c r="P2197" i="12"/>
  <c r="O2198" i="12"/>
  <c r="O2199" i="12"/>
  <c r="P2198" i="12"/>
  <c r="P2199" i="12"/>
  <c r="O2200" i="12"/>
  <c r="P2200" i="12"/>
  <c r="O2201" i="12"/>
  <c r="O2202" i="12"/>
  <c r="P2201" i="12"/>
  <c r="O2203" i="12"/>
  <c r="P2202" i="12"/>
  <c r="O2204" i="12"/>
  <c r="P2203" i="12"/>
  <c r="O2205" i="12"/>
  <c r="P2204" i="12"/>
  <c r="O2206" i="12"/>
  <c r="P2205" i="12"/>
  <c r="O2207" i="12"/>
  <c r="P2206" i="12"/>
  <c r="P2207" i="12"/>
  <c r="O2208" i="12"/>
  <c r="P2208" i="12"/>
  <c r="O2209" i="12"/>
  <c r="P2209" i="12"/>
  <c r="O2210" i="12"/>
  <c r="O2211" i="12"/>
  <c r="P2210" i="12"/>
  <c r="P2211" i="12"/>
  <c r="O2212" i="12"/>
  <c r="O2213" i="12"/>
  <c r="P2212" i="12"/>
  <c r="P2213" i="12"/>
  <c r="O2214" i="12"/>
  <c r="P2214" i="12"/>
  <c r="O2215" i="12"/>
  <c r="O2216" i="12"/>
  <c r="P2215" i="12"/>
  <c r="P2216" i="12"/>
  <c r="O2217" i="12"/>
  <c r="O2218" i="12"/>
  <c r="P2217" i="12"/>
  <c r="O2219" i="12"/>
  <c r="P2218" i="12"/>
  <c r="O2220" i="12"/>
  <c r="P2219" i="12"/>
  <c r="P2220" i="12"/>
  <c r="O2221" i="12"/>
  <c r="O2222" i="12"/>
  <c r="P2221" i="12"/>
  <c r="O2223" i="12"/>
  <c r="P2222" i="12"/>
  <c r="O2224" i="12"/>
  <c r="P2223" i="12"/>
  <c r="P2224" i="12"/>
  <c r="O2225" i="12"/>
  <c r="P2225" i="12"/>
  <c r="O2226" i="12"/>
  <c r="O2227" i="12"/>
  <c r="P2226" i="12"/>
  <c r="O2228" i="12"/>
  <c r="P2227" i="12"/>
  <c r="P2228" i="12"/>
  <c r="O2229" i="12"/>
  <c r="P2229" i="12"/>
  <c r="O2230" i="12"/>
  <c r="P2230" i="12"/>
  <c r="O2231" i="12"/>
  <c r="P2231" i="12"/>
  <c r="O2232" i="12"/>
  <c r="O2233" i="12"/>
  <c r="P2232" i="12"/>
  <c r="P2233" i="12"/>
  <c r="O2234" i="12"/>
  <c r="O2235" i="12"/>
  <c r="P2234" i="12"/>
  <c r="O2236" i="12"/>
  <c r="P2235" i="12"/>
  <c r="P2236" i="12"/>
  <c r="O2237" i="12"/>
  <c r="O2238" i="12"/>
  <c r="P2237" i="12"/>
  <c r="P2238" i="12"/>
  <c r="O2239" i="12"/>
  <c r="O2240" i="12"/>
  <c r="P2239" i="12"/>
  <c r="P2240" i="12"/>
  <c r="O2241" i="12"/>
  <c r="P2241" i="12"/>
  <c r="O2242" i="12"/>
  <c r="O2243" i="12"/>
  <c r="P2242" i="12"/>
  <c r="O2244" i="12"/>
  <c r="P2243" i="12"/>
  <c r="P2244" i="12"/>
  <c r="O2245" i="12"/>
  <c r="O2246" i="12"/>
  <c r="P2245" i="12"/>
  <c r="O2247" i="12"/>
  <c r="P2246" i="12"/>
  <c r="P2247" i="12"/>
  <c r="O2248" i="12"/>
  <c r="P2248" i="12"/>
  <c r="O2249" i="12"/>
  <c r="P2249" i="12"/>
  <c r="O2250" i="12"/>
  <c r="P2250" i="12"/>
  <c r="O2251" i="12"/>
  <c r="O2252" i="12"/>
  <c r="P2251" i="12"/>
  <c r="P2252" i="12"/>
  <c r="O2253" i="12"/>
  <c r="O2254" i="12"/>
  <c r="P2253" i="12"/>
  <c r="P2254" i="12"/>
  <c r="O2255" i="12"/>
  <c r="O2256" i="12"/>
  <c r="P2255" i="12"/>
  <c r="P2256" i="12"/>
  <c r="O2257" i="12"/>
  <c r="P2257" i="12"/>
  <c r="O2258" i="12"/>
  <c r="O2259" i="12"/>
  <c r="P2258" i="12"/>
  <c r="P2259" i="12"/>
  <c r="O2260" i="12"/>
  <c r="O2261" i="12"/>
  <c r="P2260" i="12"/>
  <c r="O2262" i="12"/>
  <c r="P2261" i="12"/>
  <c r="O2263" i="12"/>
  <c r="P2262" i="12"/>
  <c r="P2263" i="12"/>
  <c r="O2264" i="12"/>
  <c r="P2264" i="12"/>
  <c r="O2265" i="12"/>
  <c r="O2266" i="12"/>
  <c r="P2265" i="12"/>
  <c r="O2267" i="12"/>
  <c r="P2266" i="12"/>
  <c r="P2267" i="12"/>
  <c r="O2268" i="12"/>
  <c r="P2268" i="12"/>
  <c r="O2269" i="12"/>
  <c r="P2269" i="12"/>
  <c r="O2270" i="12"/>
  <c r="O2271" i="12"/>
  <c r="P2270" i="12"/>
  <c r="P2271" i="12"/>
  <c r="O2272" i="12"/>
  <c r="P2272" i="12"/>
  <c r="O2273" i="12"/>
  <c r="O2274" i="12"/>
  <c r="P2273" i="12"/>
  <c r="P2274" i="12"/>
  <c r="O2275" i="12"/>
  <c r="P2275" i="12"/>
  <c r="O2276" i="12"/>
  <c r="O2277" i="12"/>
  <c r="P2276" i="12"/>
  <c r="O2278" i="12"/>
  <c r="P2277" i="12"/>
  <c r="P2278" i="12"/>
  <c r="O2279" i="12"/>
  <c r="O2280" i="12"/>
  <c r="P2279" i="12"/>
  <c r="O2281" i="12"/>
  <c r="P2280" i="12"/>
  <c r="O2282" i="12"/>
  <c r="P2281" i="12"/>
  <c r="P2282" i="12"/>
  <c r="O2283" i="12"/>
  <c r="P2283" i="12"/>
  <c r="O2284" i="12"/>
  <c r="O2285" i="12"/>
  <c r="P2284" i="12"/>
  <c r="O2286" i="12"/>
  <c r="P2285" i="12"/>
  <c r="P2286" i="12"/>
  <c r="O2287" i="12"/>
  <c r="O2288" i="12"/>
  <c r="P2287" i="12"/>
  <c r="P2288" i="12"/>
  <c r="O2289" i="12"/>
  <c r="O2290" i="12"/>
  <c r="P2289" i="12"/>
  <c r="P2290" i="12"/>
  <c r="O2291" i="12"/>
  <c r="O2292" i="12"/>
  <c r="P2291" i="12"/>
  <c r="P2292" i="12"/>
  <c r="O2293" i="12"/>
  <c r="O2294" i="12"/>
  <c r="P2293" i="12"/>
  <c r="P2294" i="12"/>
  <c r="O2295" i="12"/>
  <c r="O2296" i="12"/>
  <c r="P2295" i="12"/>
  <c r="O2297" i="12"/>
  <c r="P2296" i="12"/>
  <c r="P2297" i="12"/>
  <c r="O2298" i="12"/>
  <c r="O2299" i="12"/>
  <c r="P2298" i="12"/>
  <c r="P2299" i="12"/>
  <c r="O2300" i="12"/>
  <c r="O2301" i="12"/>
  <c r="P2300" i="12"/>
  <c r="O2302" i="12"/>
  <c r="P2301" i="12"/>
  <c r="P2302" i="12"/>
  <c r="O2303" i="12"/>
  <c r="P2303" i="12"/>
  <c r="O2304" i="12"/>
  <c r="P2304" i="12"/>
  <c r="O2305" i="12"/>
  <c r="O2306" i="12"/>
  <c r="P2305" i="12"/>
  <c r="O2307" i="12"/>
  <c r="P2306" i="12"/>
  <c r="P2307" i="12"/>
  <c r="O2308" i="12"/>
  <c r="P2308" i="12"/>
  <c r="O2309" i="12"/>
  <c r="O2310" i="12"/>
  <c r="P2309" i="12"/>
  <c r="P2310" i="12"/>
  <c r="O2311" i="12"/>
  <c r="P2311" i="12"/>
  <c r="O2312" i="12"/>
  <c r="P2312" i="12"/>
  <c r="O2313" i="12"/>
  <c r="P2313" i="12"/>
  <c r="O2314" i="12"/>
  <c r="O2315" i="12"/>
  <c r="P2314" i="12"/>
  <c r="P2315" i="12"/>
  <c r="O2316" i="12"/>
  <c r="O2317" i="12"/>
  <c r="P2316" i="12"/>
  <c r="O2318" i="12"/>
  <c r="P2317" i="12"/>
  <c r="O2319" i="12"/>
  <c r="P2318" i="12"/>
  <c r="O2320" i="12"/>
  <c r="P2319" i="12"/>
  <c r="P2320" i="12"/>
  <c r="O2321" i="12"/>
  <c r="O2322" i="12"/>
  <c r="P2321" i="12"/>
  <c r="P2322" i="12"/>
  <c r="O2323" i="12"/>
  <c r="P2323" i="12"/>
  <c r="O2324" i="12"/>
  <c r="P2324" i="12"/>
  <c r="O2325" i="12"/>
  <c r="P2325" i="12"/>
  <c r="O2326" i="12"/>
  <c r="P2326" i="12"/>
  <c r="O2327" i="12"/>
  <c r="P2327" i="12"/>
  <c r="O2328" i="12"/>
  <c r="P2328" i="12"/>
  <c r="O2329" i="12"/>
  <c r="P2329" i="12"/>
  <c r="O2330" i="12"/>
  <c r="O2331" i="12"/>
  <c r="P2330" i="12"/>
  <c r="O2332" i="12"/>
  <c r="P2331" i="12"/>
  <c r="O2333" i="12"/>
  <c r="P2332" i="12"/>
  <c r="P2333" i="12"/>
  <c r="O2334" i="12"/>
  <c r="P2334" i="12"/>
  <c r="O2335" i="12"/>
  <c r="O2336" i="12"/>
  <c r="P2335" i="12"/>
  <c r="O2337" i="12"/>
  <c r="P2336" i="12"/>
  <c r="P2337" i="12"/>
  <c r="O2338" i="12"/>
  <c r="O2339" i="12"/>
  <c r="P2338" i="12"/>
  <c r="P2339" i="12"/>
  <c r="O2340" i="12"/>
  <c r="P2340" i="12"/>
  <c r="O2341" i="12"/>
  <c r="P2341" i="12"/>
  <c r="O2342" i="12"/>
  <c r="O2343" i="12"/>
  <c r="P2342" i="12"/>
  <c r="P2343" i="12"/>
  <c r="O2344" i="12"/>
  <c r="O2345" i="12"/>
  <c r="P2344" i="12"/>
  <c r="P2345" i="12"/>
  <c r="O2346" i="12"/>
  <c r="P2346" i="12"/>
  <c r="O2347" i="12"/>
  <c r="P2347" i="12"/>
  <c r="O2348" i="12"/>
  <c r="P2348" i="12"/>
  <c r="O2349" i="12"/>
  <c r="P2349" i="12"/>
  <c r="O2350" i="12"/>
  <c r="O2351" i="12"/>
  <c r="P2350" i="12"/>
  <c r="P2351" i="12"/>
  <c r="O2352" i="12"/>
  <c r="P2352" i="12"/>
  <c r="O2353" i="12"/>
  <c r="O2354" i="12"/>
  <c r="P2353" i="12"/>
  <c r="P2354" i="12"/>
  <c r="O2355" i="12"/>
  <c r="O2356" i="12"/>
  <c r="P2355" i="12"/>
  <c r="P2356" i="12"/>
  <c r="O2357" i="12"/>
  <c r="O2358" i="12"/>
  <c r="P2357" i="12"/>
  <c r="P2358" i="12"/>
  <c r="O2359" i="12"/>
  <c r="P2359" i="12"/>
  <c r="O2360" i="12"/>
  <c r="P2360" i="12"/>
  <c r="O2361" i="12"/>
  <c r="P2361" i="12"/>
  <c r="O2362" i="12"/>
  <c r="O2363" i="12"/>
  <c r="P2362" i="12"/>
  <c r="P2363" i="12"/>
  <c r="O2364" i="12"/>
  <c r="P2364" i="12"/>
  <c r="O2365" i="12"/>
  <c r="O2366" i="12"/>
  <c r="P2365" i="12"/>
  <c r="O2367" i="12"/>
  <c r="P2366" i="12"/>
  <c r="O2368" i="12"/>
  <c r="P2367" i="12"/>
  <c r="O2369" i="12"/>
  <c r="P2368" i="12"/>
  <c r="P2369" i="12"/>
  <c r="O2370" i="12"/>
  <c r="O2371" i="12"/>
  <c r="P2370" i="12"/>
  <c r="O2372" i="12"/>
  <c r="P2371" i="12"/>
  <c r="P2372" i="12"/>
  <c r="O2373" i="12"/>
  <c r="P2373" i="12"/>
  <c r="O2374" i="12"/>
  <c r="P2374" i="12"/>
  <c r="O2375" i="12"/>
  <c r="O2376" i="12"/>
  <c r="P2375" i="12"/>
  <c r="P2376" i="12"/>
  <c r="O2377" i="12"/>
  <c r="P2377" i="12"/>
  <c r="O2378" i="12"/>
  <c r="O2379" i="12"/>
  <c r="P2378" i="12"/>
  <c r="P2379" i="12"/>
  <c r="O2380" i="12"/>
  <c r="O2381" i="12"/>
  <c r="P2380" i="12"/>
  <c r="P2381" i="12"/>
  <c r="O2382" i="12"/>
  <c r="P2382" i="12"/>
  <c r="O2383" i="12"/>
  <c r="P2383" i="12"/>
  <c r="O2384" i="12"/>
  <c r="P2384" i="12"/>
  <c r="O2385" i="12"/>
  <c r="O2386" i="12"/>
  <c r="P2385" i="12"/>
  <c r="P2386" i="12"/>
  <c r="O2387" i="12"/>
  <c r="P2387" i="12"/>
  <c r="O2388" i="12"/>
  <c r="P2388" i="12"/>
  <c r="O2389" i="12"/>
  <c r="O2390" i="12"/>
  <c r="P2389" i="12"/>
  <c r="P2390" i="12"/>
  <c r="O2391" i="12"/>
  <c r="O2392" i="12"/>
  <c r="P2391" i="12"/>
  <c r="O2393" i="12"/>
  <c r="P2392" i="12"/>
  <c r="O2394" i="12"/>
  <c r="P2393" i="12"/>
  <c r="P2394" i="12"/>
  <c r="O2395" i="12"/>
  <c r="O2396" i="12"/>
  <c r="P2395" i="12"/>
  <c r="O2397" i="12"/>
  <c r="P2396" i="12"/>
  <c r="O2398" i="12"/>
  <c r="P2397" i="12"/>
  <c r="O2399" i="12"/>
  <c r="P2398" i="12"/>
  <c r="O2400" i="12"/>
  <c r="P2399" i="12"/>
  <c r="O2401" i="12"/>
  <c r="P2400" i="12"/>
  <c r="P2401" i="12"/>
  <c r="O2402" i="12"/>
  <c r="P2402" i="12"/>
  <c r="O2403" i="12"/>
  <c r="O2404" i="12"/>
  <c r="P2403" i="12"/>
  <c r="P2404" i="12"/>
  <c r="O2405" i="12"/>
  <c r="P2405" i="12"/>
  <c r="O2406" i="12"/>
  <c r="O2407" i="12"/>
  <c r="P2406" i="12"/>
  <c r="O2408" i="12"/>
  <c r="P2407" i="12"/>
  <c r="O2409" i="12"/>
  <c r="P2408" i="12"/>
  <c r="O2410" i="12"/>
  <c r="P2409" i="12"/>
  <c r="O2411" i="12"/>
  <c r="P2410" i="12"/>
  <c r="O2412" i="12"/>
  <c r="P2411" i="12"/>
  <c r="O2413" i="12"/>
  <c r="P2412" i="12"/>
  <c r="O2414" i="12"/>
  <c r="P2413" i="12"/>
  <c r="O2415" i="12"/>
  <c r="P2414" i="12"/>
  <c r="O2416" i="12"/>
  <c r="P2415" i="12"/>
  <c r="O2417" i="12"/>
  <c r="P2416" i="12"/>
  <c r="P2417" i="12"/>
  <c r="O2418" i="12"/>
  <c r="P2418" i="12"/>
  <c r="O2419" i="12"/>
  <c r="O2420" i="12"/>
  <c r="P2419" i="12"/>
  <c r="P2420" i="12"/>
  <c r="O2421" i="12"/>
  <c r="P2421" i="12"/>
  <c r="O2422" i="12"/>
  <c r="P2422" i="12"/>
  <c r="O2423" i="12"/>
  <c r="P2423" i="12"/>
  <c r="O2424" i="12"/>
  <c r="P2424" i="12"/>
  <c r="O2425" i="12"/>
  <c r="P2425" i="12"/>
  <c r="O2426" i="12"/>
  <c r="O2427" i="12"/>
  <c r="P2426" i="12"/>
  <c r="O2428" i="12"/>
  <c r="P2427" i="12"/>
  <c r="O2429" i="12"/>
  <c r="P2428" i="12"/>
  <c r="P2429" i="12"/>
  <c r="O2430" i="12"/>
  <c r="O2431" i="12"/>
  <c r="P2430" i="12"/>
  <c r="O2432" i="12"/>
  <c r="P2431" i="12"/>
  <c r="O2433" i="12"/>
  <c r="P2432" i="12"/>
  <c r="P2433" i="12"/>
  <c r="O2434" i="12"/>
  <c r="O2435" i="12"/>
  <c r="P2434" i="12"/>
  <c r="O2436" i="12"/>
  <c r="P2435" i="12"/>
  <c r="O2437" i="12"/>
  <c r="P2436" i="12"/>
  <c r="O2438" i="12"/>
  <c r="P2437" i="12"/>
  <c r="P2438" i="12"/>
  <c r="O2439" i="12"/>
  <c r="P2439" i="12"/>
  <c r="O2440" i="12"/>
  <c r="P2440" i="12"/>
  <c r="O2441" i="12"/>
  <c r="P2441" i="12"/>
  <c r="O2442" i="12"/>
  <c r="P2442" i="12"/>
  <c r="O2443" i="12"/>
  <c r="P2443" i="12"/>
  <c r="O2444" i="12"/>
  <c r="P2444" i="12"/>
  <c r="O2445" i="12"/>
  <c r="O2446" i="12"/>
  <c r="P2445" i="12"/>
  <c r="O2447" i="12"/>
  <c r="P2446" i="12"/>
  <c r="P2447" i="12"/>
  <c r="O2448" i="12"/>
  <c r="O2449" i="12"/>
  <c r="P2448" i="12"/>
  <c r="P2449" i="12"/>
  <c r="O2450" i="12"/>
  <c r="O2451" i="12"/>
  <c r="P2450" i="12"/>
  <c r="P2451" i="12"/>
  <c r="O2452" i="12"/>
  <c r="P2452" i="12"/>
  <c r="O2453" i="12"/>
  <c r="O2454" i="12"/>
  <c r="P2453" i="12"/>
  <c r="P2454" i="12"/>
  <c r="O2455" i="12"/>
  <c r="P2455" i="12"/>
  <c r="O2456" i="12"/>
  <c r="O2457" i="12"/>
  <c r="P2456" i="12"/>
  <c r="O2458" i="12"/>
  <c r="P2457" i="12"/>
  <c r="P2458" i="12"/>
  <c r="O2459" i="12"/>
  <c r="O2460" i="12"/>
  <c r="P2459" i="12"/>
  <c r="O2461" i="12"/>
  <c r="P2460" i="12"/>
  <c r="P2461" i="12"/>
  <c r="O2462" i="12"/>
  <c r="P2462" i="12"/>
  <c r="O2463" i="12"/>
  <c r="O2464" i="12"/>
  <c r="P2463" i="12"/>
  <c r="O2465" i="12"/>
  <c r="P2464" i="12"/>
  <c r="P2465" i="12"/>
  <c r="O2466" i="12"/>
  <c r="P2466" i="12"/>
  <c r="O2467" i="12"/>
  <c r="P2467" i="12"/>
  <c r="O2468" i="12"/>
  <c r="O2469" i="12"/>
  <c r="P2468" i="12"/>
  <c r="O2470" i="12"/>
  <c r="P2469" i="12"/>
  <c r="P2470" i="12"/>
  <c r="O2471" i="12"/>
  <c r="P2471" i="12"/>
  <c r="O2472" i="12"/>
  <c r="O2473" i="12"/>
  <c r="P2472" i="12"/>
  <c r="P2473" i="12"/>
  <c r="O2474" i="12"/>
  <c r="P2474" i="12"/>
  <c r="O2475" i="12"/>
  <c r="P2475" i="12"/>
  <c r="O2476" i="12"/>
  <c r="O2477" i="12"/>
  <c r="P2476" i="12"/>
  <c r="P2477" i="12"/>
  <c r="O2478" i="12"/>
  <c r="P2478" i="12"/>
  <c r="O2479" i="12"/>
  <c r="P2479" i="12"/>
  <c r="O2480" i="12"/>
  <c r="O2481" i="12"/>
  <c r="P2480" i="12"/>
  <c r="O2482" i="12"/>
  <c r="P2481" i="12"/>
  <c r="O2483" i="12"/>
  <c r="P2482" i="12"/>
  <c r="P2483" i="12"/>
  <c r="O2484" i="12"/>
  <c r="O2485" i="12"/>
  <c r="P2484" i="12"/>
  <c r="O2486" i="12"/>
  <c r="P2485" i="12"/>
  <c r="P2486" i="12"/>
  <c r="O2487" i="12"/>
  <c r="P2487" i="12"/>
  <c r="O2488" i="12"/>
  <c r="O2489" i="12"/>
  <c r="P2488" i="12"/>
  <c r="O2490" i="12"/>
  <c r="P2489" i="12"/>
  <c r="O2491" i="12"/>
  <c r="P2490" i="12"/>
  <c r="P2491" i="12"/>
  <c r="O2492" i="12"/>
  <c r="O2493" i="12"/>
  <c r="P2492" i="12"/>
  <c r="O2494" i="12"/>
  <c r="P2493" i="12"/>
  <c r="O2495" i="12"/>
  <c r="P2494" i="12"/>
  <c r="P2495" i="12"/>
  <c r="O2496" i="12"/>
  <c r="O2497" i="12"/>
  <c r="P2496" i="12"/>
  <c r="O2498" i="12"/>
  <c r="P2497" i="12"/>
  <c r="P2498" i="12"/>
  <c r="O2499" i="12"/>
  <c r="O2500" i="12"/>
  <c r="P2499" i="12"/>
  <c r="P2500" i="12"/>
  <c r="O2501" i="12"/>
  <c r="O2502" i="12"/>
  <c r="P2501" i="12"/>
  <c r="O2503" i="12"/>
  <c r="P2502" i="12"/>
  <c r="P2503" i="12"/>
  <c r="O2504" i="12"/>
  <c r="O2505" i="12"/>
  <c r="P2504" i="12"/>
  <c r="P2505" i="12"/>
  <c r="O2506" i="12"/>
  <c r="O2507" i="12"/>
  <c r="P2506" i="12"/>
  <c r="P2507" i="12"/>
  <c r="O2508" i="12"/>
  <c r="O2509" i="12"/>
  <c r="P2508" i="12"/>
  <c r="O2510" i="12"/>
  <c r="P2509" i="12"/>
  <c r="P2510" i="12"/>
  <c r="O2511" i="12"/>
  <c r="O2512" i="12"/>
  <c r="P2511" i="12"/>
  <c r="P2512" i="12"/>
  <c r="O2513" i="12"/>
  <c r="P2513" i="12"/>
  <c r="O2514" i="12"/>
  <c r="P2514" i="12"/>
  <c r="O2515" i="12"/>
  <c r="P2515" i="12"/>
  <c r="O2516" i="12"/>
  <c r="P2516" i="12"/>
  <c r="O2517" i="12"/>
  <c r="P2517" i="12"/>
  <c r="O2518" i="12"/>
  <c r="P2518" i="12"/>
  <c r="O2519" i="12"/>
  <c r="P2519" i="12"/>
  <c r="O2520" i="12"/>
  <c r="P2520" i="12"/>
  <c r="O2521" i="12"/>
  <c r="P2521" i="12"/>
  <c r="O2522" i="12"/>
  <c r="P2522" i="12"/>
  <c r="O2523" i="12"/>
  <c r="O2524" i="12"/>
  <c r="P2523" i="12"/>
  <c r="P2524" i="12"/>
  <c r="O2525" i="12"/>
  <c r="O2526" i="12"/>
  <c r="P2525" i="12"/>
  <c r="O2527" i="12"/>
  <c r="P2526" i="12"/>
  <c r="P2527" i="12"/>
  <c r="O2528" i="12"/>
  <c r="O2529" i="12"/>
  <c r="P2528" i="12"/>
  <c r="O2530" i="12"/>
  <c r="P2529" i="12"/>
  <c r="P2530" i="12"/>
  <c r="O2531" i="12"/>
  <c r="P2531" i="12"/>
  <c r="O2532" i="12"/>
  <c r="O2533" i="12"/>
  <c r="P2532" i="12"/>
  <c r="O2534" i="12"/>
  <c r="P2533" i="12"/>
  <c r="P2534" i="12"/>
  <c r="O2535" i="12"/>
  <c r="P2535" i="12"/>
  <c r="O2536" i="12"/>
  <c r="P2536" i="12"/>
  <c r="O2537" i="12"/>
  <c r="P2537" i="12"/>
  <c r="O2538" i="12"/>
  <c r="P2538" i="12"/>
  <c r="O2539" i="12"/>
  <c r="O2540" i="12"/>
  <c r="P2539" i="12"/>
  <c r="P2540" i="12"/>
  <c r="O2541" i="12"/>
  <c r="O2542" i="12"/>
  <c r="P2541" i="12"/>
  <c r="O2543" i="12"/>
  <c r="P2542" i="12"/>
  <c r="P2543" i="12"/>
  <c r="O2544" i="12"/>
  <c r="P2544" i="12"/>
  <c r="O2545" i="12"/>
  <c r="P2545" i="12"/>
  <c r="O2546" i="12"/>
  <c r="P2546" i="12"/>
  <c r="O2547" i="12"/>
  <c r="O2548" i="12"/>
  <c r="P2547" i="12"/>
  <c r="O2549" i="12"/>
  <c r="P2548" i="12"/>
  <c r="O2550" i="12"/>
  <c r="P2549" i="12"/>
  <c r="O2551" i="12"/>
  <c r="P2550" i="12"/>
  <c r="O2552" i="12"/>
  <c r="P2551" i="12"/>
  <c r="O2553" i="12"/>
  <c r="P2552" i="12"/>
  <c r="O2554" i="12"/>
  <c r="P2553" i="12"/>
  <c r="O2555" i="12"/>
  <c r="P2554" i="12"/>
  <c r="P2555" i="12"/>
  <c r="O2556" i="12"/>
  <c r="P2556" i="12"/>
  <c r="O2557" i="12"/>
  <c r="P2557" i="12"/>
  <c r="O2558" i="12"/>
  <c r="O2559" i="12"/>
  <c r="P2558" i="12"/>
  <c r="O2560" i="12"/>
  <c r="P2559" i="12"/>
  <c r="O2561" i="12"/>
  <c r="P2560" i="12"/>
  <c r="O2562" i="12"/>
  <c r="P2561" i="12"/>
  <c r="O2563" i="12"/>
  <c r="P2562" i="12"/>
  <c r="O2564" i="12"/>
  <c r="P2563" i="12"/>
  <c r="P2564" i="12"/>
  <c r="O2565" i="12"/>
  <c r="O2566" i="12"/>
  <c r="P2565" i="12"/>
  <c r="P2566" i="12"/>
  <c r="O2567" i="12"/>
  <c r="P2567" i="12"/>
  <c r="O2568" i="12"/>
  <c r="P2568" i="12"/>
  <c r="O2569" i="12"/>
  <c r="O2570" i="12"/>
  <c r="P2569" i="12"/>
  <c r="O2571" i="12"/>
  <c r="P2570" i="12"/>
  <c r="P2571" i="12"/>
  <c r="O2572" i="12"/>
  <c r="P2572" i="12"/>
  <c r="O2573" i="12"/>
  <c r="P2573" i="12"/>
  <c r="O2574" i="12"/>
  <c r="P2574" i="12"/>
  <c r="O2575" i="12"/>
  <c r="P2575" i="12"/>
  <c r="O2576" i="12"/>
  <c r="P2576" i="12"/>
  <c r="O2577" i="12"/>
  <c r="O2578" i="12"/>
  <c r="P2577" i="12"/>
  <c r="O2579" i="12"/>
  <c r="P2578" i="12"/>
  <c r="O2580" i="12"/>
  <c r="P2579" i="12"/>
  <c r="O2581" i="12"/>
  <c r="P2580" i="12"/>
  <c r="O2582" i="12"/>
  <c r="P2581" i="12"/>
  <c r="O2583" i="12"/>
  <c r="P2582" i="12"/>
  <c r="O2584" i="12"/>
  <c r="P2583" i="12"/>
  <c r="P2584" i="12"/>
  <c r="O2585" i="12"/>
  <c r="O2586" i="12"/>
  <c r="P2585" i="12"/>
  <c r="P2586" i="12"/>
  <c r="O2587" i="12"/>
  <c r="P2587" i="12"/>
  <c r="O2588" i="12"/>
  <c r="P2588" i="12"/>
  <c r="O2589" i="12"/>
  <c r="O2590" i="12"/>
  <c r="P2589" i="12"/>
  <c r="P2590" i="12"/>
  <c r="O2591" i="12"/>
  <c r="O2592" i="12"/>
  <c r="P2591" i="12"/>
  <c r="O2593" i="12"/>
  <c r="P2592" i="12"/>
  <c r="O2594" i="12"/>
  <c r="P2593" i="12"/>
  <c r="P2594" i="12"/>
  <c r="O2595" i="12"/>
  <c r="O2596" i="12"/>
  <c r="P2595" i="12"/>
  <c r="O2597" i="12"/>
  <c r="P2596" i="12"/>
  <c r="P2597" i="12"/>
  <c r="O2598" i="12"/>
  <c r="P2598" i="12"/>
  <c r="O2599" i="12"/>
  <c r="O2600" i="12"/>
  <c r="P2599" i="12"/>
  <c r="O2601" i="12"/>
  <c r="P2600" i="12"/>
  <c r="O2602" i="12"/>
  <c r="P2601" i="12"/>
  <c r="O2603" i="12"/>
  <c r="P2602" i="12"/>
  <c r="O2604" i="12"/>
  <c r="P2603" i="12"/>
  <c r="O2605" i="12"/>
  <c r="P2604" i="12"/>
  <c r="O2606" i="12"/>
  <c r="P2605" i="12"/>
  <c r="P2606" i="12"/>
  <c r="O2607" i="12"/>
  <c r="O2608" i="12"/>
  <c r="P2607" i="12"/>
  <c r="O2609" i="12"/>
  <c r="P2608" i="12"/>
  <c r="P2609" i="12"/>
  <c r="O2610" i="12"/>
  <c r="P2610" i="12"/>
  <c r="O2611" i="12"/>
  <c r="P2611" i="12"/>
  <c r="O2612" i="12"/>
  <c r="O2613" i="12"/>
  <c r="P2612" i="12"/>
  <c r="O2614" i="12"/>
  <c r="P2613" i="12"/>
  <c r="O2615" i="12"/>
  <c r="P2614" i="12"/>
  <c r="P2615" i="12"/>
  <c r="O2616" i="12"/>
  <c r="P2616" i="12"/>
  <c r="O2617" i="12"/>
  <c r="O2618" i="12"/>
  <c r="P2617" i="12"/>
  <c r="P2618" i="12"/>
  <c r="O2619" i="12"/>
  <c r="P2619" i="12"/>
  <c r="O2620" i="12"/>
  <c r="P2620" i="12"/>
  <c r="O2621" i="12"/>
  <c r="P2621" i="12"/>
  <c r="O2622" i="12"/>
  <c r="P2622" i="12"/>
  <c r="O2623" i="12"/>
  <c r="O2624" i="12"/>
  <c r="P2623" i="12"/>
  <c r="P2624" i="12"/>
  <c r="O2625" i="12"/>
  <c r="O2626" i="12"/>
  <c r="P2625" i="12"/>
  <c r="O2627" i="12"/>
  <c r="P2626" i="12"/>
  <c r="O2628" i="12"/>
  <c r="P2627" i="12"/>
  <c r="O2629" i="12"/>
  <c r="P2628" i="12"/>
  <c r="P2629" i="12"/>
  <c r="O2630" i="12"/>
  <c r="O2631" i="12"/>
  <c r="P2630" i="12"/>
  <c r="P2631" i="12"/>
  <c r="O2632" i="12"/>
  <c r="P2632" i="12"/>
  <c r="O2633" i="12"/>
  <c r="O2634" i="12"/>
  <c r="P2633" i="12"/>
  <c r="P2634" i="12"/>
  <c r="O2635" i="12"/>
  <c r="P2635" i="12"/>
  <c r="O2636" i="12"/>
  <c r="P2636" i="12"/>
  <c r="O2637" i="12"/>
  <c r="O2638" i="12"/>
  <c r="P2637" i="12"/>
  <c r="P2638" i="12"/>
  <c r="O2639" i="12"/>
  <c r="O2640" i="12"/>
  <c r="P2639" i="12"/>
  <c r="O2641" i="12"/>
  <c r="P2640" i="12"/>
  <c r="P2641" i="12"/>
  <c r="O2642" i="12"/>
  <c r="P2642" i="12"/>
  <c r="O2643" i="12"/>
  <c r="O2644" i="12"/>
  <c r="P2643" i="12"/>
  <c r="P2644" i="12"/>
  <c r="O2645" i="12"/>
  <c r="O2646" i="12"/>
  <c r="P2645" i="12"/>
  <c r="O2647" i="12"/>
  <c r="P2646" i="12"/>
  <c r="O2648" i="12"/>
  <c r="P2647" i="12"/>
  <c r="P2648" i="12"/>
  <c r="O2649" i="12"/>
  <c r="O2650" i="12"/>
  <c r="P2649" i="12"/>
  <c r="O2651" i="12"/>
  <c r="P2650" i="12"/>
  <c r="O2652" i="12"/>
  <c r="P2651" i="12"/>
  <c r="P2652" i="12"/>
  <c r="O2653" i="12"/>
  <c r="O2654" i="12"/>
  <c r="P2653" i="12"/>
  <c r="P2654" i="12"/>
  <c r="O2655" i="12"/>
  <c r="P2655" i="12"/>
  <c r="O2656" i="12"/>
  <c r="P2656" i="12"/>
  <c r="O2657" i="12"/>
  <c r="O2658" i="12"/>
  <c r="P2657" i="12"/>
  <c r="O2659" i="12"/>
  <c r="P2658" i="12"/>
  <c r="P2659" i="12"/>
  <c r="O2660" i="12"/>
  <c r="P2660" i="12"/>
  <c r="O2661" i="12"/>
  <c r="O2662" i="12"/>
  <c r="P2661" i="12"/>
  <c r="O2663" i="12"/>
  <c r="P2662" i="12"/>
  <c r="P2663" i="12"/>
  <c r="O2664" i="12"/>
  <c r="O2665" i="12"/>
  <c r="P2664" i="12"/>
  <c r="P2665" i="12"/>
  <c r="O2666" i="12"/>
  <c r="O2667" i="12"/>
  <c r="P2666" i="12"/>
  <c r="O2668" i="12"/>
  <c r="P2667" i="12"/>
  <c r="O2669" i="12"/>
  <c r="P2668" i="12"/>
  <c r="O2670" i="12"/>
  <c r="P2669" i="12"/>
  <c r="P2670" i="12"/>
  <c r="O2671" i="12"/>
  <c r="O2672" i="12"/>
  <c r="P2671" i="12"/>
  <c r="P2672" i="12"/>
  <c r="O2673" i="12"/>
  <c r="P2673" i="12"/>
  <c r="O2674" i="12"/>
  <c r="P2674" i="12"/>
  <c r="O2675" i="12"/>
  <c r="P2675" i="12"/>
  <c r="O2676" i="12"/>
  <c r="O2677" i="12"/>
  <c r="P2676" i="12"/>
  <c r="P2677" i="12"/>
  <c r="O2678" i="12"/>
  <c r="P2678" i="12"/>
  <c r="O2679" i="12"/>
  <c r="P2679" i="12"/>
  <c r="O2680" i="12"/>
  <c r="O2681" i="12"/>
  <c r="P2680" i="12"/>
  <c r="P2681" i="12"/>
  <c r="O2682" i="12"/>
  <c r="P2682" i="12"/>
  <c r="O2683" i="12"/>
  <c r="P2683" i="12"/>
  <c r="O2684" i="12"/>
  <c r="O2685" i="12"/>
  <c r="P2684" i="12"/>
  <c r="O2686" i="12"/>
  <c r="P2685" i="12"/>
  <c r="P2686" i="12"/>
  <c r="O2687" i="12"/>
  <c r="P2687" i="12"/>
  <c r="O2688" i="12"/>
  <c r="P2688" i="12"/>
  <c r="O2689" i="12"/>
  <c r="P2689" i="12"/>
  <c r="O2690" i="12"/>
  <c r="O2691" i="12"/>
  <c r="P2690" i="12"/>
  <c r="P2691" i="12"/>
  <c r="O2692" i="12"/>
  <c r="P2692" i="12"/>
  <c r="O2693" i="12"/>
  <c r="O2694" i="12"/>
  <c r="P2693" i="12"/>
  <c r="P2694" i="12"/>
  <c r="O2695" i="12"/>
  <c r="P2695" i="12"/>
  <c r="O2696" i="12"/>
  <c r="O2697" i="12"/>
  <c r="P2696" i="12"/>
  <c r="O2698" i="12"/>
  <c r="P2697" i="12"/>
  <c r="P2698" i="12"/>
  <c r="O2699" i="12"/>
  <c r="O2700" i="12"/>
  <c r="P2699" i="12"/>
  <c r="O2701" i="12"/>
  <c r="P2700" i="12"/>
  <c r="P2701" i="12"/>
  <c r="O2702" i="12"/>
  <c r="O2703" i="12"/>
  <c r="P2702" i="12"/>
  <c r="O2704" i="12"/>
  <c r="P2703" i="12"/>
  <c r="P2704" i="12"/>
  <c r="O2705" i="12"/>
  <c r="P2705" i="12"/>
  <c r="O2706" i="12"/>
  <c r="P2706" i="12"/>
  <c r="O2707" i="12"/>
  <c r="O2708" i="12"/>
  <c r="P2707" i="12"/>
  <c r="O2709" i="12"/>
  <c r="P2708" i="12"/>
  <c r="O2710" i="12"/>
  <c r="P2709" i="12"/>
  <c r="O2711" i="12"/>
  <c r="P2710" i="12"/>
  <c r="O2712" i="12"/>
  <c r="P2711" i="12"/>
  <c r="P2712" i="12"/>
  <c r="O2713" i="12"/>
  <c r="O2714" i="12"/>
  <c r="P2713" i="12"/>
  <c r="O2715" i="12"/>
  <c r="P2714" i="12"/>
  <c r="P2715" i="12"/>
  <c r="O2716" i="12"/>
  <c r="O2717" i="12"/>
  <c r="P2716" i="12"/>
  <c r="O2718" i="12"/>
  <c r="P2717" i="12"/>
  <c r="P2718" i="12"/>
  <c r="O2719" i="12"/>
  <c r="P2719" i="12"/>
  <c r="O2720" i="12"/>
  <c r="O2721" i="12"/>
  <c r="P2720" i="12"/>
  <c r="P2721" i="12"/>
  <c r="O2722" i="12"/>
  <c r="O2723" i="12"/>
  <c r="P2722" i="12"/>
  <c r="O2724" i="12"/>
  <c r="P2723" i="12"/>
  <c r="O2725" i="12"/>
  <c r="P2724" i="12"/>
  <c r="O2726" i="12"/>
  <c r="P2725" i="12"/>
  <c r="P2726" i="12"/>
  <c r="O2727" i="12"/>
  <c r="P2727" i="12"/>
  <c r="O2728" i="12"/>
  <c r="O2729" i="12"/>
  <c r="P2728" i="12"/>
  <c r="P2729" i="12"/>
  <c r="O2730" i="12"/>
  <c r="O2731" i="12"/>
  <c r="P2730" i="12"/>
  <c r="O2732" i="12"/>
  <c r="P2731" i="12"/>
  <c r="O2733" i="12"/>
  <c r="P2732" i="12"/>
  <c r="O2734" i="12"/>
  <c r="P2733" i="12"/>
  <c r="O2735" i="12"/>
  <c r="P2734" i="12"/>
  <c r="P2735" i="12"/>
  <c r="O2736" i="12"/>
  <c r="O2737" i="12"/>
  <c r="P2736" i="12"/>
  <c r="O2738" i="12"/>
  <c r="P2737" i="12"/>
  <c r="O2739" i="12"/>
  <c r="P2738" i="12"/>
  <c r="P2739" i="12"/>
  <c r="O2740" i="12"/>
  <c r="P2740" i="12"/>
  <c r="O2741" i="12"/>
  <c r="P2741" i="12"/>
  <c r="O2742" i="12"/>
  <c r="P2742" i="12"/>
  <c r="O2743" i="12"/>
  <c r="O2744" i="12"/>
  <c r="P2743" i="12"/>
  <c r="O2745" i="12"/>
  <c r="P2744" i="12"/>
  <c r="P2745" i="12"/>
  <c r="O2746" i="12"/>
  <c r="O2747" i="12"/>
  <c r="P2746" i="12"/>
  <c r="O2748" i="12"/>
  <c r="P2747" i="12"/>
  <c r="P2748" i="12"/>
  <c r="O2749" i="12"/>
  <c r="O2750" i="12"/>
  <c r="P2749" i="12"/>
  <c r="O2751" i="12"/>
  <c r="P2750" i="12"/>
  <c r="P2751" i="12"/>
  <c r="O2752" i="12"/>
  <c r="P2752" i="12"/>
  <c r="O2753" i="12"/>
  <c r="P2753" i="12"/>
  <c r="O2754" i="12"/>
  <c r="P2754" i="12"/>
  <c r="O2755" i="12"/>
  <c r="O2756" i="12"/>
  <c r="P2755" i="12"/>
  <c r="O2757" i="12"/>
  <c r="P2756" i="12"/>
  <c r="P2757" i="12"/>
  <c r="O2758" i="12"/>
  <c r="P2758" i="12"/>
  <c r="O2759" i="12"/>
  <c r="O2760" i="12"/>
  <c r="P2759" i="12"/>
  <c r="O2761" i="12"/>
  <c r="P2760" i="12"/>
  <c r="O2762" i="12"/>
  <c r="P2761" i="12"/>
  <c r="P2762" i="12"/>
  <c r="O2763" i="12"/>
  <c r="O2764" i="12"/>
  <c r="P2763" i="12"/>
  <c r="P2764" i="12"/>
  <c r="O2765" i="12"/>
  <c r="P2765" i="12"/>
  <c r="O2766" i="12"/>
  <c r="O2767" i="12"/>
  <c r="P2766" i="12"/>
  <c r="O2768" i="12"/>
  <c r="P2767" i="12"/>
  <c r="O2769" i="12"/>
  <c r="P2768" i="12"/>
  <c r="O2770" i="12"/>
  <c r="P2769" i="12"/>
  <c r="O2771" i="12"/>
  <c r="P2770" i="12"/>
  <c r="O2772" i="12"/>
  <c r="P2771" i="12"/>
  <c r="O2773" i="12"/>
  <c r="P2772" i="12"/>
  <c r="P2773" i="12"/>
  <c r="O2774" i="12"/>
  <c r="P2774" i="12"/>
  <c r="O2775" i="12"/>
  <c r="O2776" i="12"/>
  <c r="P2775" i="12"/>
  <c r="P2776" i="12"/>
  <c r="O2777" i="12"/>
  <c r="O2778" i="12"/>
  <c r="P2777" i="12"/>
  <c r="P2778" i="12"/>
  <c r="O2779" i="12"/>
  <c r="P2779" i="12"/>
  <c r="O2780" i="12"/>
  <c r="O2781" i="12"/>
  <c r="P2780" i="12"/>
  <c r="P2781" i="12"/>
  <c r="O2782" i="12"/>
  <c r="P2782" i="12"/>
  <c r="O2783" i="12"/>
  <c r="P2783" i="12"/>
  <c r="O2784" i="12"/>
  <c r="P2784" i="12"/>
  <c r="O2785" i="12"/>
  <c r="O2786" i="12"/>
  <c r="P2785" i="12"/>
  <c r="P2786" i="12"/>
  <c r="O2787" i="12"/>
  <c r="P2787" i="12"/>
  <c r="O2788" i="12"/>
  <c r="O2789" i="12"/>
  <c r="P2788" i="12"/>
  <c r="O2790" i="12"/>
  <c r="P2789" i="12"/>
  <c r="P2790" i="12"/>
  <c r="O2791" i="12"/>
  <c r="O2792" i="12"/>
  <c r="P2791" i="12"/>
  <c r="P2792" i="12"/>
  <c r="O2793" i="12"/>
  <c r="O2794" i="12"/>
  <c r="P2793" i="12"/>
  <c r="O2795" i="12"/>
  <c r="P2794" i="12"/>
  <c r="P2795" i="12"/>
  <c r="O2796" i="12"/>
  <c r="P2796" i="12"/>
  <c r="O2797" i="12"/>
  <c r="O2798" i="12"/>
  <c r="P2797" i="12"/>
  <c r="P2798" i="12"/>
  <c r="O2799" i="12"/>
  <c r="P2799" i="12"/>
  <c r="O2800" i="12"/>
  <c r="O2801" i="12"/>
  <c r="P2800" i="12"/>
  <c r="O2802" i="12"/>
  <c r="P2801" i="12"/>
  <c r="O2803" i="12"/>
  <c r="P2802" i="12"/>
  <c r="P2803" i="12"/>
  <c r="O2804" i="12"/>
  <c r="O2805" i="12"/>
  <c r="P2804" i="12"/>
  <c r="P2805" i="12"/>
  <c r="O2806" i="12"/>
  <c r="O2807" i="12"/>
  <c r="P2806" i="12"/>
  <c r="P2807" i="12"/>
  <c r="O2808" i="12"/>
  <c r="P2808" i="12"/>
  <c r="O2809" i="12"/>
  <c r="P2809" i="12"/>
  <c r="O2810" i="12"/>
  <c r="O2811" i="12"/>
  <c r="P2810" i="12"/>
  <c r="O2812" i="12"/>
  <c r="P2811" i="12"/>
  <c r="P2812" i="12"/>
  <c r="O2813" i="12"/>
  <c r="O2814" i="12"/>
  <c r="P2813" i="12"/>
  <c r="P2814" i="12"/>
  <c r="O2815" i="12"/>
  <c r="P2815" i="12"/>
  <c r="O2816" i="12"/>
  <c r="P2816" i="12"/>
  <c r="O2817" i="12"/>
  <c r="O2818" i="12"/>
  <c r="P2817" i="12"/>
  <c r="O2819" i="12"/>
  <c r="P2818" i="12"/>
  <c r="P2819" i="12"/>
  <c r="O2820" i="12"/>
  <c r="O2821" i="12"/>
  <c r="P2820" i="12"/>
  <c r="O2822" i="12"/>
  <c r="P2821" i="12"/>
  <c r="P2822" i="12"/>
  <c r="O2823" i="12"/>
  <c r="O2824" i="12"/>
  <c r="P2823" i="12"/>
  <c r="O2825" i="12"/>
  <c r="P2824" i="12"/>
  <c r="P2825" i="12"/>
  <c r="O2826" i="12"/>
  <c r="P2826" i="12"/>
  <c r="O2827" i="12"/>
  <c r="P2827" i="12"/>
  <c r="O2828" i="12"/>
  <c r="P2828" i="12"/>
  <c r="O2829" i="12"/>
  <c r="P2829" i="12"/>
  <c r="O2830" i="12"/>
  <c r="P2830" i="12"/>
  <c r="O2831" i="12"/>
  <c r="P2831" i="12"/>
  <c r="O2832" i="12"/>
  <c r="O2833" i="12"/>
  <c r="P2832" i="12"/>
  <c r="P2833" i="12"/>
  <c r="O2834" i="12"/>
  <c r="P2834" i="12"/>
  <c r="O2835" i="12"/>
  <c r="P2835" i="12"/>
  <c r="O2836" i="12"/>
  <c r="P2836" i="12"/>
  <c r="O2837" i="12"/>
  <c r="O2838" i="12"/>
  <c r="P2837" i="12"/>
  <c r="P2838" i="12"/>
  <c r="O2839" i="12"/>
  <c r="O2840" i="12"/>
  <c r="P2839" i="12"/>
  <c r="P2840" i="12"/>
  <c r="O2841" i="12"/>
  <c r="P2841" i="12"/>
  <c r="O2842" i="12"/>
  <c r="O2843" i="12"/>
  <c r="P2842" i="12"/>
  <c r="P2843" i="12"/>
  <c r="O2844" i="12"/>
  <c r="O2845" i="12"/>
  <c r="P2844" i="12"/>
  <c r="P2845" i="12"/>
  <c r="O2846" i="12"/>
  <c r="P2846" i="12"/>
  <c r="O2847" i="12"/>
  <c r="O2848" i="12"/>
  <c r="P2847" i="12"/>
  <c r="P2848" i="12"/>
  <c r="O2849" i="12"/>
  <c r="O2850" i="12"/>
  <c r="P2849" i="12"/>
  <c r="O2851" i="12"/>
  <c r="P2850" i="12"/>
  <c r="P2851" i="12"/>
  <c r="O2852" i="12"/>
  <c r="P2852" i="12"/>
  <c r="O2853" i="12"/>
  <c r="P2853" i="12"/>
  <c r="O2854" i="12"/>
  <c r="O2855" i="12"/>
  <c r="P2854" i="12"/>
  <c r="P2855" i="12"/>
  <c r="O2856" i="12"/>
  <c r="P2856" i="12"/>
  <c r="O2857" i="12"/>
  <c r="O2858" i="12"/>
  <c r="P2857" i="12"/>
  <c r="O2859" i="12"/>
  <c r="P2858" i="12"/>
  <c r="P2859" i="12"/>
  <c r="O2860" i="12"/>
  <c r="P2860" i="12"/>
  <c r="O2861" i="12"/>
  <c r="O2862" i="12"/>
  <c r="P2861" i="12"/>
  <c r="O2863" i="12"/>
  <c r="P2862" i="12"/>
  <c r="O2864" i="12"/>
  <c r="P2863" i="12"/>
  <c r="P2864" i="12"/>
  <c r="O2865" i="12"/>
  <c r="P2865" i="12"/>
  <c r="O2866" i="12"/>
  <c r="O2867" i="12"/>
  <c r="P2866" i="12"/>
  <c r="O2868" i="12"/>
  <c r="P2867" i="12"/>
  <c r="O2869" i="12"/>
  <c r="P2868" i="12"/>
  <c r="P2869" i="12"/>
  <c r="O2870" i="12"/>
  <c r="O2871" i="12"/>
  <c r="P2870" i="12"/>
  <c r="O2872" i="12"/>
  <c r="P2871" i="12"/>
  <c r="P2872" i="12"/>
  <c r="O2873" i="12"/>
  <c r="O2874" i="12"/>
  <c r="P2873" i="12"/>
  <c r="P2874" i="12"/>
  <c r="O2875" i="12"/>
  <c r="O2876" i="12"/>
  <c r="P2875" i="12"/>
  <c r="O2877" i="12"/>
  <c r="P2876" i="12"/>
  <c r="O2878" i="12"/>
  <c r="P2877" i="12"/>
  <c r="P2878" i="12"/>
  <c r="O2879" i="12"/>
  <c r="P2879" i="12"/>
  <c r="O2880" i="12"/>
  <c r="O2881" i="12"/>
  <c r="P2880" i="12"/>
  <c r="O2882" i="12"/>
  <c r="P2881" i="12"/>
  <c r="O2883" i="12"/>
  <c r="P2882" i="12"/>
  <c r="O2884" i="12"/>
  <c r="P2883" i="12"/>
  <c r="O2885" i="12"/>
  <c r="P2884" i="12"/>
  <c r="O2886" i="12"/>
  <c r="P2885" i="12"/>
  <c r="O2887" i="12"/>
  <c r="P2886" i="12"/>
  <c r="P2887" i="12"/>
  <c r="O2888" i="12"/>
  <c r="P2888" i="12"/>
  <c r="O2889" i="12"/>
  <c r="P2889" i="12"/>
  <c r="O2890" i="12"/>
  <c r="P2890" i="12"/>
  <c r="O2891" i="12"/>
  <c r="P2891" i="12"/>
  <c r="O2892" i="12"/>
  <c r="P2892" i="12"/>
  <c r="O2893" i="12"/>
  <c r="P2893" i="12"/>
  <c r="O2894" i="12"/>
  <c r="P2894" i="12"/>
  <c r="O2895" i="12"/>
  <c r="P2895" i="12"/>
  <c r="O2896" i="12"/>
  <c r="P2896" i="12"/>
  <c r="O2897" i="12"/>
  <c r="O2898" i="12"/>
  <c r="P2897" i="12"/>
  <c r="O2899" i="12"/>
  <c r="P2898" i="12"/>
  <c r="P2899" i="12"/>
  <c r="O2900" i="12"/>
  <c r="P2900" i="12"/>
  <c r="O2901" i="12"/>
  <c r="P2901" i="12"/>
  <c r="O2902" i="12"/>
  <c r="P2902" i="12"/>
  <c r="O2903" i="12"/>
  <c r="O2904" i="12"/>
  <c r="P2903" i="12"/>
  <c r="P2904" i="12"/>
  <c r="O2905" i="12"/>
  <c r="P2905" i="12"/>
  <c r="O2906" i="12"/>
  <c r="O2907" i="12"/>
  <c r="P2906" i="12"/>
  <c r="P2907" i="12"/>
  <c r="O2908" i="12"/>
  <c r="P2908" i="12"/>
  <c r="O2909" i="12"/>
  <c r="P2909" i="12"/>
  <c r="O2910" i="12"/>
  <c r="P2910" i="12"/>
  <c r="O2911" i="12"/>
  <c r="O2912" i="12"/>
  <c r="P2911" i="12"/>
  <c r="P2912" i="12"/>
  <c r="O2913" i="12"/>
  <c r="O2914" i="12"/>
  <c r="P2913" i="12"/>
  <c r="P2914" i="12"/>
  <c r="O2915" i="12"/>
  <c r="P2915" i="12"/>
  <c r="O2916" i="12"/>
  <c r="P2916" i="12"/>
  <c r="O2917" i="12"/>
  <c r="O2918" i="12"/>
  <c r="P2917" i="12"/>
  <c r="P2918" i="12"/>
  <c r="O2919" i="12"/>
  <c r="P2919" i="12"/>
  <c r="O2920" i="12"/>
  <c r="P2920" i="12"/>
  <c r="O2921" i="12"/>
  <c r="O2922" i="12"/>
  <c r="P2921" i="12"/>
  <c r="P2922" i="12"/>
  <c r="O2923" i="12"/>
  <c r="P2923" i="12"/>
  <c r="O2924" i="12"/>
  <c r="P2924" i="12"/>
  <c r="O2925" i="12"/>
  <c r="P2925" i="12"/>
  <c r="O2926" i="12"/>
  <c r="P2926" i="12"/>
  <c r="O2927" i="12"/>
  <c r="P2927" i="12"/>
  <c r="O2928" i="12"/>
  <c r="O2929" i="12"/>
  <c r="P2928" i="12"/>
  <c r="O2930" i="12"/>
  <c r="P2929" i="12"/>
  <c r="O2931" i="12"/>
  <c r="P2930" i="12"/>
  <c r="P2931" i="12"/>
  <c r="O2932" i="12"/>
  <c r="O2933" i="12"/>
  <c r="P2932" i="12"/>
  <c r="P2933" i="12"/>
  <c r="O2934" i="12"/>
  <c r="P2934" i="12"/>
  <c r="O2935" i="12"/>
  <c r="P2935" i="12"/>
  <c r="O2936" i="12"/>
  <c r="O2937" i="12"/>
  <c r="P2936" i="12"/>
  <c r="P2937" i="12"/>
  <c r="O2938" i="12"/>
  <c r="P2938" i="12"/>
  <c r="O2939" i="12"/>
  <c r="O2940" i="12"/>
  <c r="P2939" i="12"/>
  <c r="O2941" i="12"/>
  <c r="P2940" i="12"/>
  <c r="O2942" i="12"/>
  <c r="P2941" i="12"/>
  <c r="P2942" i="12"/>
  <c r="O2943" i="12"/>
  <c r="O2944" i="12"/>
  <c r="P2943" i="12"/>
  <c r="P2944" i="12"/>
  <c r="O2945" i="12"/>
  <c r="P2945" i="12"/>
  <c r="O2946" i="12"/>
  <c r="O2947" i="12"/>
  <c r="P2946" i="12"/>
  <c r="P2947" i="12"/>
  <c r="O2948" i="12"/>
  <c r="O2949" i="12"/>
  <c r="P2948" i="12"/>
  <c r="O2950" i="12"/>
  <c r="P2949" i="12"/>
  <c r="P2950" i="12"/>
  <c r="O2951" i="12"/>
  <c r="O2952" i="12"/>
  <c r="P2951" i="12"/>
  <c r="P2952" i="12"/>
  <c r="O2953" i="12"/>
  <c r="P2953" i="12"/>
  <c r="O2954" i="12"/>
  <c r="P2954" i="12"/>
  <c r="O2955" i="12"/>
  <c r="P2955" i="12"/>
  <c r="O2956" i="12"/>
  <c r="O2957" i="12"/>
  <c r="P2956" i="12"/>
  <c r="O2958" i="12"/>
  <c r="P2957" i="12"/>
  <c r="O2959" i="12"/>
  <c r="P2958" i="12"/>
  <c r="O2960" i="12"/>
  <c r="P2959" i="12"/>
  <c r="P2960" i="12"/>
  <c r="O2961" i="12"/>
  <c r="O2962" i="12"/>
  <c r="P2961" i="12"/>
  <c r="P2962" i="12"/>
  <c r="O2963" i="12"/>
  <c r="P2963" i="12"/>
  <c r="O2964" i="12"/>
  <c r="P2964" i="12"/>
  <c r="O2965" i="12"/>
  <c r="O2966" i="12"/>
  <c r="P2965" i="12"/>
  <c r="P2966" i="12"/>
  <c r="O2967" i="12"/>
  <c r="O2968" i="12"/>
  <c r="P2967" i="12"/>
  <c r="O2969" i="12"/>
  <c r="P2968" i="12"/>
  <c r="P2969" i="12"/>
  <c r="O2970" i="12"/>
  <c r="P2970" i="12"/>
  <c r="O2971" i="12"/>
  <c r="P2971" i="12"/>
  <c r="O2972" i="12"/>
  <c r="P2972" i="12"/>
  <c r="O2973" i="12"/>
  <c r="P2973" i="12"/>
  <c r="O2974" i="12"/>
  <c r="P2974" i="12"/>
  <c r="O2975" i="12"/>
  <c r="O2976" i="12"/>
  <c r="P2975" i="12"/>
  <c r="P2976" i="12"/>
  <c r="O2977" i="12"/>
  <c r="P2977" i="12"/>
  <c r="O2978" i="12"/>
  <c r="O2979" i="12"/>
  <c r="P2978" i="12"/>
  <c r="P2979" i="12"/>
  <c r="O2980" i="12"/>
  <c r="P2980" i="12"/>
  <c r="O2981" i="12"/>
  <c r="P2981" i="12"/>
  <c r="O2982" i="12"/>
  <c r="P2982" i="12"/>
  <c r="O2983" i="12"/>
  <c r="P2983" i="12"/>
  <c r="O2984" i="12"/>
  <c r="P2984" i="12"/>
  <c r="O2985" i="12"/>
  <c r="O2986" i="12"/>
  <c r="P2985" i="12"/>
  <c r="P2986" i="12"/>
  <c r="O2987" i="12"/>
  <c r="O2988" i="12"/>
  <c r="P2987" i="12"/>
  <c r="P2988" i="12"/>
  <c r="O2989" i="12"/>
  <c r="P2989" i="12"/>
  <c r="O2990" i="12"/>
  <c r="O2991" i="12"/>
  <c r="P2990" i="12"/>
  <c r="P2991" i="12"/>
  <c r="O2992" i="12"/>
  <c r="O2993" i="12"/>
  <c r="P2992" i="12"/>
  <c r="P2993" i="12"/>
  <c r="O2994" i="12"/>
  <c r="O2995" i="12"/>
  <c r="P2994" i="12"/>
  <c r="O2996" i="12"/>
  <c r="P2995" i="12"/>
  <c r="P2996" i="12"/>
  <c r="O2997" i="12"/>
  <c r="O2998" i="12"/>
  <c r="P2997" i="12"/>
  <c r="O2999" i="12"/>
  <c r="P2998" i="12"/>
  <c r="P2999" i="12"/>
  <c r="O3000" i="12"/>
  <c r="P3000" i="12"/>
  <c r="O3001" i="12"/>
  <c r="O3002" i="12"/>
  <c r="P3001" i="12"/>
  <c r="P3002" i="12"/>
  <c r="O3003" i="12"/>
  <c r="P3003" i="12"/>
  <c r="O3004" i="12"/>
  <c r="P3004" i="12"/>
  <c r="O3005" i="12"/>
  <c r="O3006" i="12"/>
  <c r="P3005" i="12"/>
  <c r="P3006" i="12"/>
  <c r="O3007" i="12"/>
  <c r="P3007" i="12"/>
  <c r="O3008" i="12"/>
  <c r="P3008" i="12"/>
  <c r="O3009" i="12"/>
  <c r="O3010" i="12"/>
  <c r="P3009" i="12"/>
  <c r="P3010" i="12"/>
  <c r="O3011" i="12"/>
  <c r="P3011" i="12"/>
  <c r="O3012" i="12"/>
  <c r="P3012" i="12"/>
  <c r="O3013" i="12"/>
  <c r="P3013" i="12"/>
  <c r="O3014" i="12"/>
  <c r="O3015" i="12"/>
  <c r="P3014" i="12"/>
  <c r="P3015" i="12"/>
  <c r="O3016" i="12"/>
  <c r="P3016" i="12"/>
  <c r="O3017" i="12"/>
  <c r="O3018" i="12"/>
  <c r="P3017" i="12"/>
  <c r="P3018" i="12"/>
  <c r="O3019" i="12"/>
  <c r="O3020" i="12"/>
  <c r="P3019" i="12"/>
  <c r="O3021" i="12"/>
  <c r="P3020" i="12"/>
  <c r="O3022" i="12"/>
  <c r="P3021" i="12"/>
  <c r="O3023" i="12"/>
  <c r="P3022" i="12"/>
  <c r="O3024" i="12"/>
  <c r="P3023" i="12"/>
  <c r="P3024" i="12"/>
  <c r="O3025" i="12"/>
  <c r="P3025" i="12"/>
  <c r="O3026" i="12"/>
  <c r="O3027" i="12"/>
  <c r="P3026" i="12"/>
  <c r="P3027" i="12"/>
  <c r="O3028" i="12"/>
  <c r="P3028" i="12"/>
  <c r="O3029" i="12"/>
  <c r="P3029" i="12"/>
  <c r="O3030" i="12"/>
  <c r="O3031" i="12"/>
  <c r="P3030" i="12"/>
  <c r="P3031" i="12"/>
  <c r="O3032" i="12"/>
  <c r="P3032" i="12"/>
  <c r="O3033" i="12"/>
  <c r="O3034" i="12"/>
  <c r="P3033" i="12"/>
  <c r="O3035" i="12"/>
  <c r="P3034" i="12"/>
  <c r="P3035" i="12"/>
  <c r="O3036" i="12"/>
  <c r="O3037" i="12"/>
  <c r="P3036" i="12"/>
  <c r="P3037" i="12"/>
  <c r="O3038" i="12"/>
  <c r="P3038" i="12"/>
  <c r="O3039" i="12"/>
  <c r="O3040" i="12"/>
  <c r="P3039" i="12"/>
  <c r="P3040" i="12"/>
  <c r="O3041" i="12"/>
  <c r="P3041" i="12"/>
  <c r="O3042" i="12"/>
  <c r="P3042" i="12"/>
  <c r="O3043" i="12"/>
  <c r="O3044" i="12"/>
  <c r="P3043" i="12"/>
  <c r="P3044" i="12"/>
  <c r="O3045" i="12"/>
  <c r="O3046" i="12"/>
  <c r="P3045" i="12"/>
  <c r="P3046" i="12"/>
  <c r="O3047" i="12"/>
  <c r="O3048" i="12"/>
  <c r="P3047" i="12"/>
  <c r="P3048" i="12"/>
  <c r="O3049" i="12"/>
  <c r="P3049" i="12"/>
  <c r="O3050" i="12"/>
  <c r="P3050" i="12"/>
  <c r="O3051" i="12"/>
  <c r="O3052" i="12"/>
  <c r="P3051" i="12"/>
  <c r="O3053" i="12"/>
  <c r="P3052" i="12"/>
  <c r="P3053" i="12"/>
  <c r="O3054" i="12"/>
  <c r="P3054" i="12"/>
  <c r="O3055" i="12"/>
  <c r="P3055" i="12"/>
  <c r="O3056" i="12"/>
  <c r="P3056" i="12"/>
  <c r="O3057" i="12"/>
  <c r="P3057" i="12"/>
  <c r="O3058" i="12"/>
  <c r="P3058" i="12"/>
  <c r="O3059" i="12"/>
  <c r="O3060" i="12"/>
  <c r="P3059" i="12"/>
  <c r="P3060" i="12"/>
  <c r="O3061" i="12"/>
  <c r="O3062" i="12"/>
  <c r="P3061" i="12"/>
  <c r="P3062" i="12"/>
  <c r="O3063" i="12"/>
  <c r="P3063" i="12"/>
  <c r="O3064" i="12"/>
  <c r="P3064" i="12"/>
  <c r="O3065" i="12"/>
  <c r="P3065" i="12"/>
  <c r="O3066" i="12"/>
  <c r="O3067" i="12"/>
  <c r="P3066" i="12"/>
  <c r="O3068" i="12"/>
  <c r="P3067" i="12"/>
  <c r="O3069" i="12"/>
  <c r="P3068" i="12"/>
  <c r="O3070" i="12"/>
  <c r="P3069" i="12"/>
  <c r="O3071" i="12"/>
  <c r="P3070" i="12"/>
  <c r="P3071" i="12"/>
  <c r="O3072" i="12"/>
  <c r="P3072" i="12"/>
  <c r="O3073" i="12"/>
  <c r="P3073" i="12"/>
  <c r="O3074" i="12"/>
  <c r="P3074" i="12"/>
  <c r="O3075" i="12"/>
  <c r="O3076" i="12"/>
  <c r="P3075" i="12"/>
  <c r="P3076" i="12"/>
  <c r="O3077" i="12"/>
  <c r="P3077" i="12"/>
  <c r="O3078" i="12"/>
  <c r="O3079" i="12"/>
  <c r="P3078" i="12"/>
  <c r="O3080" i="12"/>
  <c r="P3079" i="12"/>
  <c r="P3080" i="12"/>
  <c r="O3081" i="12"/>
  <c r="P3081" i="12"/>
  <c r="O3082" i="12"/>
  <c r="P3082" i="12"/>
  <c r="O3083" i="12"/>
  <c r="O3084" i="12"/>
  <c r="P3083" i="12"/>
  <c r="O3085" i="12"/>
  <c r="P3084" i="12"/>
  <c r="O3086" i="12"/>
  <c r="P3085" i="12"/>
  <c r="P3086" i="12"/>
  <c r="O3087" i="12"/>
  <c r="O3088" i="12"/>
  <c r="P3087" i="12"/>
  <c r="P3088" i="12"/>
  <c r="O3089" i="12"/>
  <c r="O3090" i="12"/>
  <c r="P3089" i="12"/>
  <c r="O3091" i="12"/>
  <c r="P3090" i="12"/>
  <c r="O3092" i="12"/>
  <c r="P3091" i="12"/>
  <c r="P3092" i="12"/>
  <c r="O3093" i="12"/>
  <c r="P3093" i="12"/>
  <c r="O3094" i="12"/>
  <c r="P3094" i="12"/>
  <c r="O3095" i="12"/>
  <c r="O3096" i="12"/>
  <c r="P3095" i="12"/>
  <c r="O3097" i="12"/>
  <c r="P3096" i="12"/>
  <c r="O3098" i="12"/>
  <c r="P3097" i="12"/>
  <c r="P3098" i="12"/>
  <c r="O3099" i="12"/>
  <c r="O3100" i="12"/>
  <c r="P3099" i="12"/>
  <c r="O3101" i="12"/>
  <c r="P3100" i="12"/>
  <c r="P3101" i="12"/>
  <c r="O3102" i="12"/>
  <c r="O3103" i="12"/>
  <c r="P3102" i="12"/>
  <c r="O3104" i="12"/>
  <c r="P3103" i="12"/>
  <c r="O3105" i="12"/>
  <c r="P3104" i="12"/>
  <c r="O3106" i="12"/>
  <c r="P3105" i="12"/>
  <c r="O3107" i="12"/>
  <c r="P3106" i="12"/>
  <c r="O3108" i="12"/>
  <c r="P3107" i="12"/>
  <c r="P3108" i="12"/>
  <c r="O3109" i="12"/>
  <c r="P3109" i="12"/>
  <c r="O3110" i="12"/>
  <c r="P3110" i="12"/>
  <c r="O3111" i="12"/>
  <c r="O3112" i="12"/>
  <c r="P3111" i="12"/>
  <c r="O3113" i="12"/>
  <c r="P3112" i="12"/>
  <c r="O3114" i="12"/>
  <c r="P3113" i="12"/>
  <c r="P3114" i="12"/>
  <c r="O3115" i="12"/>
  <c r="O3116" i="12"/>
  <c r="P3115" i="12"/>
  <c r="P3116" i="12"/>
  <c r="O3117" i="12"/>
  <c r="P3117" i="12"/>
  <c r="O3118" i="12"/>
  <c r="O3119" i="12"/>
  <c r="P3118" i="12"/>
  <c r="O3120" i="12"/>
  <c r="P3119" i="12"/>
  <c r="O3121" i="12"/>
  <c r="P3120" i="12"/>
  <c r="O3122" i="12"/>
  <c r="P3121" i="12"/>
  <c r="P3122" i="12"/>
  <c r="O3123" i="12"/>
  <c r="O3124" i="12"/>
  <c r="P3123" i="12"/>
  <c r="O3125" i="12"/>
  <c r="P3124" i="12"/>
  <c r="O3126" i="12"/>
  <c r="P3125" i="12"/>
  <c r="P3126" i="12"/>
  <c r="O3127" i="12"/>
  <c r="O3128" i="12"/>
  <c r="P3127" i="12"/>
  <c r="P3128" i="12"/>
  <c r="O3129" i="12"/>
  <c r="O3130" i="12"/>
  <c r="P3129" i="12"/>
  <c r="O3131" i="12"/>
  <c r="P3130" i="12"/>
  <c r="O3132" i="12"/>
  <c r="P3131" i="12"/>
  <c r="O3133" i="12"/>
  <c r="P3132" i="12"/>
  <c r="O3134" i="12"/>
  <c r="P3133" i="12"/>
  <c r="O3135" i="12"/>
  <c r="P3134" i="12"/>
  <c r="P3135" i="12"/>
  <c r="O3136" i="12"/>
  <c r="P3136" i="12"/>
  <c r="O3137" i="12"/>
  <c r="O3138" i="12"/>
  <c r="P3137" i="12"/>
  <c r="O3139" i="12"/>
  <c r="P3138" i="12"/>
  <c r="P3139" i="12"/>
  <c r="O3140" i="12"/>
  <c r="O3141" i="12"/>
  <c r="P3140" i="12"/>
  <c r="O3142" i="12"/>
  <c r="P3141" i="12"/>
  <c r="P3142" i="12"/>
  <c r="O3143" i="12"/>
  <c r="O3144" i="12"/>
  <c r="P3143" i="12"/>
  <c r="O3145" i="12"/>
  <c r="P3144" i="12"/>
  <c r="O3146" i="12"/>
  <c r="P3145" i="12"/>
  <c r="O3147" i="12"/>
  <c r="P3146" i="12"/>
  <c r="O3148" i="12"/>
  <c r="P3147" i="12"/>
  <c r="P3148" i="12"/>
  <c r="O3149" i="12"/>
  <c r="P3149" i="12"/>
  <c r="O3150" i="12"/>
  <c r="O3151" i="12"/>
  <c r="P3150" i="12"/>
  <c r="O3152" i="12"/>
  <c r="P3151" i="12"/>
  <c r="P3152" i="12"/>
  <c r="O3153" i="12"/>
  <c r="O3154" i="12"/>
  <c r="P3153" i="12"/>
  <c r="O3155" i="12"/>
  <c r="P3154" i="12"/>
  <c r="O3156" i="12"/>
  <c r="P3155" i="12"/>
  <c r="P3156" i="12"/>
  <c r="O3157" i="12"/>
  <c r="P3157" i="12"/>
  <c r="O3158" i="12"/>
  <c r="O3159" i="12"/>
  <c r="P3158" i="12"/>
  <c r="P3159" i="12"/>
  <c r="O3160" i="12"/>
  <c r="P3160" i="12"/>
  <c r="O3161" i="12"/>
  <c r="O3162" i="12"/>
  <c r="P3161" i="12"/>
  <c r="P3162" i="12"/>
  <c r="O3163" i="12"/>
  <c r="O3164" i="12"/>
  <c r="P3163" i="12"/>
  <c r="P3164" i="12"/>
  <c r="O3165" i="12"/>
  <c r="O3166" i="12"/>
  <c r="P3165" i="12"/>
  <c r="O3167" i="12"/>
  <c r="P3166" i="12"/>
  <c r="O3168" i="12"/>
  <c r="P3167" i="12"/>
  <c r="O3169" i="12"/>
  <c r="P3168" i="12"/>
  <c r="P3169" i="12"/>
  <c r="O3170" i="12"/>
  <c r="O3171" i="12"/>
  <c r="P3170" i="12"/>
  <c r="P3171" i="12"/>
  <c r="O3172" i="12"/>
  <c r="O3173" i="12"/>
  <c r="P3172" i="12"/>
  <c r="O3174" i="12"/>
  <c r="P3173" i="12"/>
  <c r="O3175" i="12"/>
  <c r="P3174" i="12"/>
  <c r="P3175" i="12"/>
  <c r="O3176" i="12"/>
  <c r="P3176" i="12"/>
  <c r="O3177" i="12"/>
  <c r="O3178" i="12"/>
  <c r="P3177" i="12"/>
  <c r="P3178" i="12"/>
  <c r="O3179" i="12"/>
  <c r="P3179" i="12"/>
  <c r="O3180" i="12"/>
  <c r="O3181" i="12"/>
  <c r="P3180" i="12"/>
  <c r="P3181" i="12"/>
  <c r="O3182" i="12"/>
  <c r="P3182" i="12"/>
  <c r="O3183" i="12"/>
  <c r="P3183" i="12"/>
  <c r="O3184" i="12"/>
  <c r="O3185" i="12"/>
  <c r="P3184" i="12"/>
  <c r="O3186" i="12"/>
  <c r="P3185" i="12"/>
  <c r="P3186" i="12"/>
  <c r="O3187" i="12"/>
  <c r="P3187" i="12"/>
  <c r="O3188" i="12"/>
  <c r="P3188" i="12"/>
  <c r="O3189" i="12"/>
  <c r="P3189" i="12"/>
  <c r="O3190" i="12"/>
  <c r="P3190" i="12"/>
  <c r="O3191" i="12"/>
  <c r="P3191" i="12"/>
  <c r="O3192" i="12"/>
  <c r="P3192" i="12"/>
  <c r="O3193" i="12"/>
  <c r="P3193" i="12"/>
  <c r="O3194" i="12"/>
  <c r="O3195" i="12"/>
  <c r="P3194" i="12"/>
  <c r="P3195" i="12"/>
  <c r="O3196" i="12"/>
  <c r="P3196" i="12"/>
  <c r="O3197" i="12"/>
  <c r="P3197" i="12"/>
  <c r="O3198" i="12"/>
  <c r="P3198" i="12"/>
  <c r="O3199" i="12"/>
  <c r="P3199" i="12"/>
  <c r="O3200" i="12"/>
  <c r="O3201" i="12"/>
  <c r="P3200" i="12"/>
  <c r="O3202" i="12"/>
  <c r="P3201" i="12"/>
  <c r="O3203" i="12"/>
  <c r="P3202" i="12"/>
  <c r="O3204" i="12"/>
  <c r="P3203" i="12"/>
  <c r="P3204" i="12"/>
  <c r="O3205" i="12"/>
  <c r="P3205" i="12"/>
  <c r="O3206" i="12"/>
  <c r="O3207" i="12"/>
  <c r="P3206" i="12"/>
  <c r="O3208" i="12"/>
  <c r="P3207" i="12"/>
  <c r="O3209" i="12"/>
  <c r="P3208" i="12"/>
  <c r="O3210" i="12"/>
  <c r="P3209" i="12"/>
  <c r="O3211" i="12"/>
  <c r="P3210" i="12"/>
  <c r="P3211" i="12"/>
  <c r="O3212" i="12"/>
  <c r="O3213" i="12"/>
  <c r="P3212" i="12"/>
  <c r="O3214" i="12"/>
  <c r="P3213" i="12"/>
  <c r="P3214" i="12"/>
  <c r="O3215" i="12"/>
  <c r="O3216" i="12"/>
  <c r="P3215" i="12"/>
  <c r="O3217" i="12"/>
  <c r="P3216" i="12"/>
  <c r="O3218" i="12"/>
  <c r="P3217" i="12"/>
  <c r="O3219" i="12"/>
  <c r="P3218" i="12"/>
  <c r="P3219" i="12"/>
  <c r="O3220" i="12"/>
  <c r="P3220" i="12"/>
  <c r="O3221" i="12"/>
  <c r="O3222" i="12"/>
  <c r="P3221" i="12"/>
  <c r="P3222" i="12"/>
  <c r="O3223" i="12"/>
  <c r="P3223" i="12"/>
  <c r="O3224" i="12"/>
  <c r="P3224" i="12"/>
  <c r="O3225" i="12"/>
  <c r="O3226" i="12"/>
  <c r="P3225" i="12"/>
  <c r="O3227" i="12"/>
  <c r="P3226" i="12"/>
  <c r="O3228" i="12"/>
  <c r="P3227" i="12"/>
  <c r="O3229" i="12"/>
  <c r="P3228" i="12"/>
  <c r="P3229" i="12"/>
  <c r="O3230" i="12"/>
  <c r="P3230" i="12"/>
  <c r="O3231" i="12"/>
  <c r="O3232" i="12"/>
  <c r="P3231" i="12"/>
  <c r="O3233" i="12"/>
  <c r="P3232" i="12"/>
  <c r="P3233" i="12"/>
  <c r="O3234" i="12"/>
  <c r="O3235" i="12"/>
  <c r="P3234" i="12"/>
  <c r="O3236" i="12"/>
  <c r="P3235" i="12"/>
  <c r="O3237" i="12"/>
  <c r="P3236" i="12"/>
  <c r="O3238" i="12"/>
  <c r="P3237" i="12"/>
  <c r="P3238" i="12"/>
  <c r="O3239" i="12"/>
  <c r="P3239" i="12"/>
  <c r="O3240" i="12"/>
  <c r="P3240" i="12"/>
  <c r="O3241" i="12"/>
  <c r="P3241" i="12"/>
  <c r="O3242" i="12"/>
  <c r="P3242" i="12"/>
  <c r="O3243" i="12"/>
  <c r="O3244" i="12"/>
  <c r="P3243" i="12"/>
  <c r="P3244" i="12"/>
  <c r="O3245" i="12"/>
  <c r="P3245" i="12"/>
  <c r="O3246" i="12"/>
  <c r="O3247" i="12"/>
  <c r="P3246" i="12"/>
  <c r="P3247" i="12"/>
  <c r="O3248" i="12"/>
  <c r="O3249" i="12"/>
  <c r="P3248" i="12"/>
  <c r="P3249" i="12"/>
  <c r="O3250" i="12"/>
  <c r="O3251" i="12"/>
  <c r="P3250" i="12"/>
  <c r="P3251" i="12"/>
  <c r="O3252" i="12"/>
  <c r="O3253" i="12"/>
  <c r="P3252" i="12"/>
  <c r="O3254" i="12"/>
  <c r="P3253" i="12"/>
  <c r="O3255" i="12"/>
  <c r="P3254" i="12"/>
  <c r="P3255" i="12"/>
  <c r="O3256" i="12"/>
  <c r="P3256" i="12"/>
  <c r="O3257" i="12"/>
  <c r="O3258" i="12"/>
  <c r="P3257" i="12"/>
  <c r="O3259" i="12"/>
  <c r="P3258" i="12"/>
  <c r="O3260" i="12"/>
  <c r="P3259" i="12"/>
  <c r="O3261" i="12"/>
  <c r="P3260" i="12"/>
  <c r="O3262" i="12"/>
  <c r="P3261" i="12"/>
  <c r="O3263" i="12"/>
  <c r="P3262" i="12"/>
  <c r="O3264" i="12"/>
  <c r="P3263" i="12"/>
  <c r="O3265" i="12"/>
  <c r="P3264" i="12"/>
  <c r="O3266" i="12"/>
  <c r="P3265" i="12"/>
  <c r="P3266" i="12"/>
  <c r="O3267" i="12"/>
  <c r="P3267" i="12"/>
  <c r="O3268" i="12"/>
  <c r="P3268" i="12"/>
  <c r="O3269" i="12"/>
  <c r="O3270" i="12"/>
  <c r="P3269" i="12"/>
  <c r="O3271" i="12"/>
  <c r="P3270" i="12"/>
  <c r="P3271" i="12"/>
  <c r="O3272" i="12"/>
  <c r="O3273" i="12"/>
  <c r="P3272" i="12"/>
  <c r="P3273" i="12"/>
  <c r="O3274" i="12"/>
  <c r="O3275" i="12"/>
  <c r="P3274" i="12"/>
  <c r="P3275" i="12"/>
  <c r="O3276" i="12"/>
  <c r="P3276" i="12"/>
  <c r="O3277" i="12"/>
  <c r="P3277" i="12"/>
  <c r="O3278" i="12"/>
  <c r="P3278" i="12"/>
  <c r="O3279" i="12"/>
  <c r="P3279" i="12"/>
  <c r="O3280" i="12"/>
  <c r="P3280" i="12"/>
  <c r="O3281" i="12"/>
  <c r="O3282" i="12"/>
  <c r="P3281" i="12"/>
  <c r="P3282" i="12"/>
  <c r="O3283" i="12"/>
  <c r="P3283" i="12"/>
  <c r="O3284" i="12"/>
  <c r="O3285" i="12"/>
  <c r="P3284" i="12"/>
  <c r="P3285" i="12"/>
  <c r="O3286" i="12"/>
  <c r="P3286" i="12"/>
  <c r="O3287" i="12"/>
  <c r="O3288" i="12"/>
  <c r="P3287" i="12"/>
  <c r="P3288" i="12"/>
  <c r="O3289" i="12"/>
  <c r="P3289" i="12"/>
  <c r="O3290" i="12"/>
  <c r="P3290" i="12"/>
  <c r="O3291" i="12"/>
  <c r="P3291" i="12"/>
  <c r="O3292" i="12"/>
  <c r="O3293" i="12"/>
  <c r="P3292" i="12"/>
  <c r="P3293" i="12"/>
  <c r="O3294" i="12"/>
  <c r="P3294" i="12"/>
  <c r="O3295" i="12"/>
  <c r="P3295" i="12"/>
  <c r="O3296" i="12"/>
  <c r="O3297" i="12"/>
  <c r="P3296" i="12"/>
  <c r="P3297" i="12"/>
  <c r="O3298" i="12"/>
  <c r="P3298" i="12"/>
  <c r="O3299" i="12"/>
  <c r="P3299" i="12"/>
  <c r="O3300" i="12"/>
  <c r="O3301" i="12"/>
  <c r="P3300" i="12"/>
  <c r="P3301" i="12"/>
  <c r="O3302" i="12"/>
  <c r="O3303" i="12"/>
  <c r="P3302" i="12"/>
  <c r="O3304" i="12"/>
  <c r="P3303" i="12"/>
  <c r="O3305" i="12"/>
  <c r="P3304" i="12"/>
  <c r="P3305" i="12"/>
  <c r="O3306" i="12"/>
  <c r="O3307" i="12"/>
  <c r="P3306" i="12"/>
  <c r="P3307" i="12"/>
  <c r="O3308" i="12"/>
  <c r="O3309" i="12"/>
  <c r="P3308" i="12"/>
  <c r="P3309" i="12"/>
  <c r="O3310" i="12"/>
  <c r="O3311" i="12"/>
  <c r="P3310" i="12"/>
  <c r="O3312" i="12"/>
  <c r="P3311" i="12"/>
  <c r="P3312" i="12"/>
  <c r="O3313" i="12"/>
  <c r="P3313" i="12"/>
  <c r="O3314" i="12"/>
  <c r="O3315" i="12"/>
  <c r="P3314" i="12"/>
  <c r="O3316" i="12"/>
  <c r="P3315" i="12"/>
  <c r="O3317" i="12"/>
  <c r="P3316" i="12"/>
  <c r="O3318" i="12"/>
  <c r="P3317" i="12"/>
  <c r="O3319" i="12"/>
  <c r="P3318" i="12"/>
  <c r="P3319" i="12"/>
  <c r="O3320" i="12"/>
  <c r="O3321" i="12"/>
  <c r="P3320" i="12"/>
  <c r="O3322" i="12"/>
  <c r="P3321" i="12"/>
  <c r="O3323" i="12"/>
  <c r="P3322" i="12"/>
  <c r="O3324" i="12"/>
  <c r="P3323" i="12"/>
  <c r="P3324" i="12"/>
  <c r="O3325" i="12"/>
  <c r="O3326" i="12"/>
  <c r="P3325" i="12"/>
  <c r="O3327" i="12"/>
  <c r="P3326" i="12"/>
  <c r="O3328" i="12"/>
  <c r="P3327" i="12"/>
  <c r="P3328" i="12"/>
  <c r="O3329" i="12"/>
  <c r="P3329" i="12"/>
  <c r="O3330" i="12"/>
  <c r="P3330" i="12"/>
  <c r="O3331" i="12"/>
  <c r="P3331" i="12"/>
  <c r="O3332" i="12"/>
  <c r="P3332" i="12"/>
  <c r="O3333" i="12"/>
  <c r="O3334" i="12"/>
  <c r="P3333" i="12"/>
  <c r="O3335" i="12"/>
  <c r="P3334" i="12"/>
  <c r="O3336" i="12"/>
  <c r="P3335" i="12"/>
  <c r="O3337" i="12"/>
  <c r="P3336" i="12"/>
  <c r="O3338" i="12"/>
  <c r="P3337" i="12"/>
  <c r="P3338" i="12"/>
  <c r="O3339" i="12"/>
  <c r="O3340" i="12"/>
  <c r="P3339" i="12"/>
  <c r="O3341" i="12"/>
  <c r="P3340" i="12"/>
  <c r="P3341" i="12"/>
  <c r="O3342" i="12"/>
  <c r="O3343" i="12"/>
  <c r="P3342" i="12"/>
  <c r="P3343" i="12"/>
  <c r="O3344" i="12"/>
  <c r="P3344" i="12"/>
  <c r="O3345" i="12"/>
  <c r="P3345" i="12"/>
  <c r="O3346" i="12"/>
  <c r="O3347" i="12"/>
  <c r="P3346" i="12"/>
  <c r="O3348" i="12"/>
  <c r="P3347" i="12"/>
  <c r="O3349" i="12"/>
  <c r="P3348" i="12"/>
  <c r="P3349" i="12"/>
  <c r="O3350" i="12"/>
  <c r="O3351" i="12"/>
  <c r="P3350" i="12"/>
  <c r="P3351" i="12"/>
  <c r="O3352" i="12"/>
  <c r="P3352" i="12"/>
  <c r="O3353" i="12"/>
  <c r="O3354" i="12"/>
  <c r="P3353" i="12"/>
  <c r="O3355" i="12"/>
  <c r="P3354" i="12"/>
  <c r="O3356" i="12"/>
  <c r="P3355" i="12"/>
  <c r="P3356" i="12"/>
  <c r="O3357" i="12"/>
  <c r="P3357" i="12"/>
  <c r="O3358" i="12"/>
  <c r="P3358" i="12"/>
  <c r="O3359" i="12"/>
  <c r="P3359" i="12"/>
  <c r="O3360" i="12"/>
  <c r="P3360" i="12"/>
  <c r="O3361" i="12"/>
  <c r="P3361" i="12"/>
  <c r="O3362" i="12"/>
  <c r="P3362" i="12"/>
  <c r="O3363" i="12"/>
  <c r="P3363" i="12"/>
  <c r="O3364" i="12"/>
  <c r="P3364" i="12"/>
  <c r="O3365" i="12"/>
  <c r="O3366" i="12"/>
  <c r="P3365" i="12"/>
  <c r="O3367" i="12"/>
  <c r="P3366" i="12"/>
  <c r="P3367" i="12"/>
  <c r="O3368" i="12"/>
  <c r="O3369" i="12"/>
  <c r="P3368" i="12"/>
  <c r="O3370" i="12"/>
  <c r="P3369" i="12"/>
  <c r="O3371" i="12"/>
  <c r="P3370" i="12"/>
  <c r="P3371" i="12"/>
  <c r="O3372" i="12"/>
  <c r="P3372" i="12"/>
  <c r="O3373" i="12"/>
  <c r="P3373" i="12"/>
  <c r="O3374" i="12"/>
  <c r="P3374" i="12"/>
  <c r="O3375" i="12"/>
  <c r="O3376" i="12"/>
  <c r="P3375" i="12"/>
  <c r="P3376" i="12"/>
  <c r="O3377" i="12"/>
  <c r="O3378" i="12"/>
  <c r="P3377" i="12"/>
  <c r="P3378" i="12"/>
  <c r="O3379" i="12"/>
  <c r="O3380" i="12"/>
  <c r="P3379" i="12"/>
  <c r="O3381" i="12"/>
  <c r="P3380" i="12"/>
  <c r="O3382" i="12"/>
  <c r="P3381" i="12"/>
  <c r="O3383" i="12"/>
  <c r="P3382" i="12"/>
  <c r="P3383" i="12"/>
  <c r="O3384" i="12"/>
  <c r="P3384" i="12"/>
  <c r="O3385" i="12"/>
  <c r="O3386" i="12"/>
  <c r="P3385" i="12"/>
  <c r="O3387" i="12"/>
  <c r="P3386" i="12"/>
  <c r="P3387" i="12"/>
  <c r="O3388" i="12"/>
  <c r="O3389" i="12"/>
  <c r="P3388" i="12"/>
  <c r="O3390" i="12"/>
  <c r="P3389" i="12"/>
  <c r="O3391" i="12"/>
  <c r="P3390" i="12"/>
  <c r="O3392" i="12"/>
  <c r="P3391" i="12"/>
  <c r="P3392" i="12"/>
  <c r="O3393" i="12"/>
  <c r="O3394" i="12"/>
  <c r="P3393" i="12"/>
  <c r="O3395" i="12"/>
  <c r="P3394" i="12"/>
  <c r="O3396" i="12"/>
  <c r="P3395" i="12"/>
  <c r="P3396" i="12"/>
  <c r="O3397" i="12"/>
  <c r="O3398" i="12"/>
  <c r="P3397" i="12"/>
  <c r="P3398" i="12"/>
  <c r="O3399" i="12"/>
  <c r="P3399" i="12"/>
  <c r="O3400" i="12"/>
  <c r="P3400" i="12"/>
  <c r="O3401" i="12"/>
  <c r="O3402" i="12"/>
  <c r="P3401" i="12"/>
  <c r="P3402" i="12"/>
  <c r="O3403" i="12"/>
  <c r="O3404" i="12"/>
  <c r="P3403" i="12"/>
  <c r="O3405" i="12"/>
  <c r="P3404" i="12"/>
  <c r="P3405" i="12"/>
  <c r="O3406" i="12"/>
  <c r="O3407" i="12"/>
  <c r="P3406" i="12"/>
  <c r="P3407" i="12"/>
  <c r="O3408" i="12"/>
  <c r="P3408" i="12"/>
  <c r="O3409" i="12"/>
  <c r="P3409" i="12"/>
  <c r="O3410" i="12"/>
  <c r="O3411" i="12"/>
  <c r="P3410" i="12"/>
  <c r="O3412" i="12"/>
  <c r="P3411" i="12"/>
  <c r="P3412" i="12"/>
  <c r="O3413" i="12"/>
  <c r="O3414" i="12"/>
  <c r="P3413" i="12"/>
  <c r="O3415" i="12"/>
  <c r="P3414" i="12"/>
  <c r="O3416" i="12"/>
  <c r="P3415" i="12"/>
  <c r="P3416" i="12"/>
  <c r="O3417" i="12"/>
  <c r="O3418" i="12"/>
  <c r="P3417" i="12"/>
  <c r="O3419" i="12"/>
  <c r="P3418" i="12"/>
  <c r="O3420" i="12"/>
  <c r="P3419" i="12"/>
  <c r="O3421" i="12"/>
  <c r="P3420" i="12"/>
  <c r="O3422" i="12"/>
  <c r="P3421" i="12"/>
  <c r="P3422" i="12"/>
  <c r="O3423" i="12"/>
  <c r="O3424" i="12"/>
  <c r="P3423" i="12"/>
  <c r="P3424" i="12"/>
  <c r="O3425" i="12"/>
  <c r="O3426" i="12"/>
  <c r="P3425" i="12"/>
  <c r="P3426" i="12"/>
  <c r="O3427" i="12"/>
  <c r="O3428" i="12"/>
  <c r="P3427" i="12"/>
  <c r="O3429" i="12"/>
  <c r="P3428" i="12"/>
  <c r="O3430" i="12"/>
  <c r="P3429" i="12"/>
  <c r="O3431" i="12"/>
  <c r="P3430" i="12"/>
  <c r="P3431" i="12"/>
  <c r="O3432" i="12"/>
  <c r="P3432" i="12"/>
  <c r="O3433" i="12"/>
  <c r="O3434" i="12"/>
  <c r="P3433" i="12"/>
  <c r="P3434" i="12"/>
  <c r="O3435" i="12"/>
  <c r="O3436" i="12"/>
  <c r="P3435" i="12"/>
  <c r="P3436" i="12"/>
  <c r="O3437" i="12"/>
  <c r="P3437" i="12"/>
  <c r="O3438" i="12"/>
  <c r="O3439" i="12"/>
  <c r="P3438" i="12"/>
  <c r="P3439" i="12"/>
  <c r="O3440" i="12"/>
  <c r="P3440" i="12"/>
  <c r="O3441" i="12"/>
  <c r="P3441" i="12"/>
  <c r="O3442" i="12"/>
  <c r="P3442" i="12"/>
  <c r="O3443" i="12"/>
  <c r="O3444" i="12"/>
  <c r="P3443" i="12"/>
  <c r="P3444" i="12"/>
  <c r="O3445" i="12"/>
  <c r="O3446" i="12"/>
  <c r="P3445" i="12"/>
  <c r="P3446" i="12"/>
  <c r="O3447" i="12"/>
  <c r="O3448" i="12"/>
  <c r="P3447" i="12"/>
  <c r="P3448" i="12"/>
  <c r="O3449" i="12"/>
  <c r="P3449" i="12"/>
  <c r="O3450" i="12"/>
  <c r="O3451" i="12"/>
  <c r="P3450" i="12"/>
  <c r="P3451" i="12"/>
  <c r="O3452" i="12"/>
  <c r="O3453" i="12"/>
  <c r="P3452" i="12"/>
  <c r="O3454" i="12"/>
  <c r="P3453" i="12"/>
  <c r="P3454" i="12"/>
  <c r="O3455" i="12"/>
  <c r="P3455" i="12"/>
  <c r="O3456" i="12"/>
  <c r="O3457" i="12"/>
  <c r="P3456" i="12"/>
  <c r="P3457" i="12"/>
  <c r="O3458" i="12"/>
  <c r="P3458" i="12"/>
  <c r="O3459" i="12"/>
  <c r="P3459" i="12"/>
  <c r="O3460" i="12"/>
  <c r="O3461" i="12"/>
  <c r="P3460" i="12"/>
  <c r="O3462" i="12"/>
  <c r="P3461" i="12"/>
  <c r="O3463" i="12"/>
  <c r="P3462" i="12"/>
  <c r="P3463" i="12"/>
  <c r="O3464" i="12"/>
  <c r="P3464" i="12"/>
  <c r="O3465" i="12"/>
  <c r="P3465" i="12"/>
  <c r="O3466" i="12"/>
  <c r="O3467" i="12"/>
  <c r="P3466" i="12"/>
  <c r="O3468" i="12"/>
  <c r="P3467" i="12"/>
  <c r="O3469" i="12"/>
  <c r="P3468" i="12"/>
  <c r="O3470" i="12"/>
  <c r="P3469" i="12"/>
  <c r="P3470" i="12"/>
  <c r="O3471" i="12"/>
  <c r="P3471" i="12"/>
  <c r="O3472" i="12"/>
  <c r="P3472" i="12"/>
  <c r="O3473" i="12"/>
  <c r="P3473" i="12"/>
  <c r="O3474" i="12"/>
  <c r="P3474" i="12"/>
  <c r="O3475" i="12"/>
  <c r="O3476" i="12"/>
  <c r="P3475" i="12"/>
  <c r="P3476" i="12"/>
  <c r="O3477" i="12"/>
  <c r="P3477" i="12"/>
  <c r="O3478" i="12"/>
  <c r="O3479" i="12"/>
  <c r="P3478" i="12"/>
  <c r="O3480" i="12"/>
  <c r="P3479" i="12"/>
  <c r="O3481" i="12"/>
  <c r="P3480" i="12"/>
  <c r="P3481" i="12"/>
  <c r="O3482" i="12"/>
  <c r="O3483" i="12"/>
  <c r="P3482" i="12"/>
  <c r="P3483" i="12"/>
  <c r="O3484" i="12"/>
  <c r="O3485" i="12"/>
  <c r="P3484" i="12"/>
  <c r="P3485" i="12"/>
  <c r="O3486" i="12"/>
  <c r="O3487" i="12"/>
  <c r="P3486" i="12"/>
  <c r="P3487" i="12"/>
  <c r="O3488" i="12"/>
  <c r="O3489" i="12"/>
  <c r="P3488" i="12"/>
  <c r="O3490" i="12"/>
  <c r="P3489" i="12"/>
  <c r="O3491" i="12"/>
  <c r="P3490" i="12"/>
  <c r="P3491" i="12"/>
  <c r="O3492" i="12"/>
  <c r="P3492" i="12"/>
  <c r="O3493" i="12"/>
  <c r="P3493" i="12"/>
  <c r="O3494" i="12"/>
  <c r="O3495" i="12"/>
  <c r="P3494" i="12"/>
  <c r="P3495" i="12"/>
  <c r="O3496" i="12"/>
  <c r="O3497" i="12"/>
  <c r="P3496" i="12"/>
  <c r="O3498" i="12"/>
  <c r="P3497" i="12"/>
  <c r="P3498" i="12"/>
  <c r="O3499" i="12"/>
  <c r="P3499" i="12"/>
  <c r="O3500" i="12"/>
  <c r="O3501" i="12"/>
  <c r="P3500" i="12"/>
  <c r="O3502" i="12"/>
  <c r="P3501" i="12"/>
  <c r="P3502" i="12"/>
  <c r="O3503" i="12"/>
  <c r="O3504" i="12"/>
  <c r="P3503" i="12"/>
  <c r="P3504" i="12"/>
  <c r="O3505" i="12"/>
  <c r="O3506" i="12"/>
  <c r="P3505" i="12"/>
  <c r="O3507" i="12"/>
  <c r="P3506" i="12"/>
  <c r="O3508" i="12"/>
  <c r="P3507" i="12"/>
  <c r="O3509" i="12"/>
  <c r="P3508" i="12"/>
  <c r="O3510" i="12"/>
  <c r="P3509" i="12"/>
  <c r="O3511" i="12"/>
  <c r="P3510" i="12"/>
  <c r="P3511" i="12"/>
  <c r="O3512" i="12"/>
  <c r="P3512" i="12"/>
  <c r="O3513" i="12"/>
  <c r="P3513" i="12"/>
  <c r="O3514" i="12"/>
  <c r="P3514" i="12"/>
  <c r="O3515" i="12"/>
  <c r="P3515" i="12"/>
  <c r="O3516" i="12"/>
  <c r="O3517" i="12"/>
  <c r="P3516" i="12"/>
  <c r="P3517" i="12"/>
  <c r="O3518" i="12"/>
  <c r="O3519" i="12"/>
  <c r="P3518" i="12"/>
  <c r="P3519" i="12"/>
  <c r="O3520" i="12"/>
  <c r="P3520" i="12"/>
  <c r="O3521" i="12"/>
  <c r="O3522" i="12"/>
  <c r="P3521" i="12"/>
  <c r="P3522" i="12"/>
  <c r="O3523" i="12"/>
  <c r="O3524" i="12"/>
  <c r="P3523" i="12"/>
  <c r="O3525" i="12"/>
  <c r="P3524" i="12"/>
  <c r="O3526" i="12"/>
  <c r="P3525" i="12"/>
  <c r="O3527" i="12"/>
  <c r="P3526" i="12"/>
  <c r="P3527" i="12"/>
  <c r="O3528" i="12"/>
  <c r="P3528" i="12"/>
  <c r="O3529" i="12"/>
  <c r="O3530" i="12"/>
  <c r="P3529" i="12"/>
  <c r="O3531" i="12"/>
  <c r="P3530" i="12"/>
  <c r="P3531" i="12"/>
  <c r="O3532" i="12"/>
  <c r="P3532" i="12"/>
  <c r="O3533" i="12"/>
  <c r="O3534" i="12"/>
  <c r="P3533" i="12"/>
  <c r="P3534" i="12"/>
  <c r="O3535" i="12"/>
  <c r="P3535" i="12"/>
  <c r="O3536" i="12"/>
  <c r="P3536" i="12"/>
  <c r="O3537" i="12"/>
  <c r="P3537" i="12"/>
  <c r="O3538" i="12"/>
  <c r="P3538" i="12"/>
  <c r="O3539" i="12"/>
  <c r="O3540" i="12"/>
  <c r="P3539" i="12"/>
  <c r="P3540" i="12"/>
  <c r="O3541" i="12"/>
  <c r="P3541" i="12"/>
  <c r="O3542" i="12"/>
  <c r="O3543" i="12"/>
  <c r="P3542" i="12"/>
  <c r="O3544" i="12"/>
  <c r="P3543" i="12"/>
  <c r="O3545" i="12"/>
  <c r="P3544" i="12"/>
  <c r="O3546" i="12"/>
  <c r="P3545" i="12"/>
  <c r="P3546" i="12"/>
  <c r="O3547" i="12"/>
  <c r="P3547" i="12"/>
  <c r="O3548" i="12"/>
  <c r="O3549" i="12"/>
  <c r="P3548" i="12"/>
  <c r="P3549" i="12"/>
  <c r="O3550" i="12"/>
  <c r="O3551" i="12"/>
  <c r="P3550" i="12"/>
  <c r="P3551" i="12"/>
  <c r="O3552" i="12"/>
  <c r="D86" i="5" l="1"/>
  <c r="D25" i="5"/>
  <c r="D81" i="5"/>
  <c r="D88" i="5"/>
  <c r="D66" i="5"/>
  <c r="D78" i="5"/>
  <c r="D10" i="5"/>
  <c r="D115" i="5"/>
  <c r="D35" i="5"/>
  <c r="D64" i="5"/>
  <c r="D55" i="5"/>
  <c r="D85" i="5"/>
  <c r="D79" i="5"/>
  <c r="D103" i="5"/>
  <c r="D75" i="5"/>
  <c r="D108" i="5"/>
  <c r="D63" i="5"/>
  <c r="D9" i="5"/>
  <c r="D105" i="5"/>
  <c r="D116" i="5"/>
  <c r="D22" i="5"/>
  <c r="D125" i="5"/>
  <c r="D48" i="5"/>
  <c r="D77" i="5"/>
  <c r="D101" i="5"/>
  <c r="D31" i="5"/>
  <c r="D65" i="5"/>
  <c r="D37" i="5"/>
  <c r="D89" i="5"/>
  <c r="D96" i="5"/>
  <c r="D36" i="5"/>
  <c r="D40" i="5"/>
  <c r="D120" i="5"/>
  <c r="D92" i="5"/>
  <c r="D73" i="5"/>
  <c r="D5" i="5"/>
  <c r="D50" i="5"/>
  <c r="D21" i="5"/>
  <c r="D106" i="5"/>
  <c r="D98" i="5"/>
  <c r="D119" i="5"/>
  <c r="D74" i="5"/>
  <c r="D51" i="5"/>
  <c r="D102" i="5"/>
  <c r="D124" i="5"/>
  <c r="D54" i="5"/>
  <c r="D38" i="5"/>
  <c r="D97" i="5"/>
  <c r="D3" i="5"/>
  <c r="D91" i="5"/>
  <c r="D87" i="5"/>
  <c r="D7" i="5"/>
  <c r="D34" i="5"/>
  <c r="D15" i="5"/>
  <c r="D19" i="5"/>
  <c r="D68" i="5"/>
  <c r="D4" i="5"/>
  <c r="D26" i="5"/>
  <c r="D62" i="5"/>
  <c r="D82" i="5"/>
  <c r="D109" i="5"/>
  <c r="D33" i="5"/>
  <c r="D114" i="5"/>
  <c r="D8" i="5"/>
  <c r="D71" i="5"/>
  <c r="D13" i="5"/>
  <c r="D72" i="5"/>
  <c r="D67" i="5"/>
  <c r="D121" i="5"/>
  <c r="D58" i="5"/>
  <c r="D112" i="5"/>
  <c r="D122" i="5"/>
  <c r="D117" i="5"/>
  <c r="D49" i="5"/>
  <c r="D56" i="5"/>
  <c r="D53" i="5"/>
  <c r="D14" i="5"/>
  <c r="D46" i="5"/>
  <c r="D23" i="5"/>
  <c r="D90" i="5"/>
  <c r="D44" i="5"/>
  <c r="D118" i="5"/>
  <c r="D42" i="5"/>
  <c r="D95" i="5"/>
  <c r="D45" i="5"/>
  <c r="D107" i="5"/>
  <c r="D47" i="5"/>
  <c r="D52" i="5"/>
  <c r="D83" i="5"/>
  <c r="D76" i="5"/>
  <c r="D28" i="5"/>
  <c r="D11" i="5"/>
  <c r="D59" i="5"/>
  <c r="D123" i="5"/>
  <c r="D93" i="5"/>
  <c r="D2" i="5"/>
  <c r="D29" i="5"/>
  <c r="D100" i="5"/>
  <c r="D32" i="5"/>
  <c r="D41" i="5"/>
  <c r="D43" i="5"/>
  <c r="D99" i="5"/>
  <c r="D60" i="5"/>
  <c r="D27" i="5"/>
  <c r="D12" i="5"/>
  <c r="D20" i="5"/>
  <c r="D30" i="5"/>
  <c r="D104" i="5"/>
  <c r="D111" i="5"/>
  <c r="D80" i="5"/>
  <c r="D61" i="5"/>
  <c r="D70" i="5"/>
  <c r="D24" i="5"/>
  <c r="D94" i="5"/>
  <c r="D69" i="5"/>
  <c r="D113" i="5"/>
  <c r="D17" i="5"/>
  <c r="D57" i="5"/>
  <c r="D6" i="5"/>
  <c r="D126" i="5"/>
  <c r="D39" i="5"/>
  <c r="D84" i="5"/>
  <c r="D110" i="5"/>
  <c r="D16" i="5"/>
  <c r="D18" i="5"/>
  <c r="P3552" i="12"/>
  <c r="H115" i="5"/>
  <c r="E115" i="5"/>
  <c r="F115" i="5"/>
  <c r="G115" i="5"/>
  <c r="H108" i="5"/>
  <c r="E108" i="5"/>
  <c r="F108" i="5"/>
  <c r="G108" i="5"/>
  <c r="F77" i="5"/>
  <c r="H77" i="5"/>
  <c r="G77" i="5"/>
  <c r="E77" i="5"/>
  <c r="F40" i="5"/>
  <c r="H40" i="5"/>
  <c r="G40" i="5"/>
  <c r="E40" i="5"/>
  <c r="H98" i="5"/>
  <c r="F98" i="5"/>
  <c r="E98" i="5"/>
  <c r="G98" i="5"/>
  <c r="E97" i="5"/>
  <c r="F97" i="5"/>
  <c r="G97" i="5"/>
  <c r="H97" i="5"/>
  <c r="G68" i="5"/>
  <c r="E68" i="5"/>
  <c r="F68" i="5"/>
  <c r="H68" i="5"/>
  <c r="F8" i="5"/>
  <c r="H8" i="5"/>
  <c r="G8" i="5"/>
  <c r="E8" i="5"/>
  <c r="H122" i="5"/>
  <c r="F122" i="5"/>
  <c r="E122" i="5"/>
  <c r="G122" i="5"/>
  <c r="H90" i="5"/>
  <c r="G90" i="5"/>
  <c r="E90" i="5"/>
  <c r="F90" i="5"/>
  <c r="E52" i="5"/>
  <c r="G52" i="5"/>
  <c r="H52" i="5"/>
  <c r="F52" i="5"/>
  <c r="E2" i="5"/>
  <c r="G2" i="5"/>
  <c r="H2" i="5"/>
  <c r="F2" i="5"/>
  <c r="H27" i="5"/>
  <c r="G27" i="5"/>
  <c r="F27" i="5"/>
  <c r="E27" i="5"/>
  <c r="E70" i="5"/>
  <c r="G70" i="5"/>
  <c r="H70" i="5"/>
  <c r="F70" i="5"/>
  <c r="G126" i="5"/>
  <c r="F126" i="5"/>
  <c r="H126" i="5"/>
  <c r="E126" i="5"/>
  <c r="F86" i="5"/>
  <c r="H86" i="5"/>
  <c r="E86" i="5"/>
  <c r="G86" i="5"/>
  <c r="E35" i="5"/>
  <c r="G35" i="5"/>
  <c r="F35" i="5"/>
  <c r="H35" i="5"/>
  <c r="E63" i="5"/>
  <c r="F63" i="5"/>
  <c r="H63" i="5"/>
  <c r="G63" i="5"/>
  <c r="E101" i="5"/>
  <c r="H101" i="5"/>
  <c r="G101" i="5"/>
  <c r="F101" i="5"/>
  <c r="G120" i="5"/>
  <c r="H120" i="5"/>
  <c r="E120" i="5"/>
  <c r="F120" i="5"/>
  <c r="H119" i="5"/>
  <c r="F119" i="5"/>
  <c r="E119" i="5"/>
  <c r="G119" i="5"/>
  <c r="G3" i="5"/>
  <c r="H3" i="5"/>
  <c r="F3" i="5"/>
  <c r="E3" i="5"/>
  <c r="E4" i="5"/>
  <c r="F4" i="5"/>
  <c r="H4" i="5"/>
  <c r="G4" i="5"/>
  <c r="H71" i="5"/>
  <c r="F71" i="5"/>
  <c r="E71" i="5"/>
  <c r="G71" i="5"/>
  <c r="G117" i="5"/>
  <c r="H117" i="5"/>
  <c r="F117" i="5"/>
  <c r="E117" i="5"/>
  <c r="G44" i="5"/>
  <c r="H44" i="5"/>
  <c r="E44" i="5"/>
  <c r="F44" i="5"/>
  <c r="H83" i="5"/>
  <c r="E83" i="5"/>
  <c r="G83" i="5"/>
  <c r="F83" i="5"/>
  <c r="H29" i="5"/>
  <c r="F29" i="5"/>
  <c r="G29" i="5"/>
  <c r="E29" i="5"/>
  <c r="H12" i="5"/>
  <c r="E12" i="5"/>
  <c r="F12" i="5"/>
  <c r="G12" i="5"/>
  <c r="H24" i="5"/>
  <c r="G24" i="5"/>
  <c r="F24" i="5"/>
  <c r="E24" i="5"/>
  <c r="H39" i="5"/>
  <c r="G39" i="5"/>
  <c r="E39" i="5"/>
  <c r="F39" i="5"/>
  <c r="H25" i="5"/>
  <c r="G25" i="5"/>
  <c r="E25" i="5"/>
  <c r="F25" i="5"/>
  <c r="G64" i="5"/>
  <c r="E64" i="5"/>
  <c r="F64" i="5"/>
  <c r="H64" i="5"/>
  <c r="F9" i="5"/>
  <c r="G9" i="5"/>
  <c r="E9" i="5"/>
  <c r="H9" i="5"/>
  <c r="E31" i="5"/>
  <c r="H31" i="5"/>
  <c r="G31" i="5"/>
  <c r="F31" i="5"/>
  <c r="F92" i="5"/>
  <c r="G92" i="5"/>
  <c r="H92" i="5"/>
  <c r="E92" i="5"/>
  <c r="G74" i="5"/>
  <c r="H74" i="5"/>
  <c r="F74" i="5"/>
  <c r="E74" i="5"/>
  <c r="E91" i="5"/>
  <c r="H91" i="5"/>
  <c r="G91" i="5"/>
  <c r="F91" i="5"/>
  <c r="H26" i="5"/>
  <c r="F26" i="5"/>
  <c r="G26" i="5"/>
  <c r="E26" i="5"/>
  <c r="F13" i="5"/>
  <c r="H13" i="5"/>
  <c r="E13" i="5"/>
  <c r="G13" i="5"/>
  <c r="E49" i="5"/>
  <c r="H49" i="5"/>
  <c r="G49" i="5"/>
  <c r="F49" i="5"/>
  <c r="H118" i="5"/>
  <c r="G118" i="5"/>
  <c r="F118" i="5"/>
  <c r="E118" i="5"/>
  <c r="H76" i="5"/>
  <c r="F76" i="5"/>
  <c r="E76" i="5"/>
  <c r="G76" i="5"/>
  <c r="F100" i="5"/>
  <c r="E100" i="5"/>
  <c r="H100" i="5"/>
  <c r="G100" i="5"/>
  <c r="G20" i="5"/>
  <c r="H20" i="5"/>
  <c r="E20" i="5"/>
  <c r="F20" i="5"/>
  <c r="G94" i="5"/>
  <c r="E94" i="5"/>
  <c r="F94" i="5"/>
  <c r="H94" i="5"/>
  <c r="E84" i="5"/>
  <c r="F84" i="5"/>
  <c r="G84" i="5"/>
  <c r="H84" i="5"/>
  <c r="F81" i="5"/>
  <c r="E81" i="5"/>
  <c r="H81" i="5"/>
  <c r="G81" i="5"/>
  <c r="G55" i="5"/>
  <c r="H55" i="5"/>
  <c r="F55" i="5"/>
  <c r="E55" i="5"/>
  <c r="H105" i="5"/>
  <c r="E105" i="5"/>
  <c r="G105" i="5"/>
  <c r="F105" i="5"/>
  <c r="E65" i="5"/>
  <c r="F65" i="5"/>
  <c r="G65" i="5"/>
  <c r="H65" i="5"/>
  <c r="F73" i="5"/>
  <c r="E73" i="5"/>
  <c r="H73" i="5"/>
  <c r="G73" i="5"/>
  <c r="F51" i="5"/>
  <c r="G51" i="5"/>
  <c r="H51" i="5"/>
  <c r="E51" i="5"/>
  <c r="F87" i="5"/>
  <c r="E87" i="5"/>
  <c r="G87" i="5"/>
  <c r="H87" i="5"/>
  <c r="H62" i="5"/>
  <c r="F62" i="5"/>
  <c r="E62" i="5"/>
  <c r="G62" i="5"/>
  <c r="E72" i="5"/>
  <c r="F72" i="5"/>
  <c r="G72" i="5"/>
  <c r="H72" i="5"/>
  <c r="G56" i="5"/>
  <c r="H56" i="5"/>
  <c r="E56" i="5"/>
  <c r="F56" i="5"/>
  <c r="H42" i="5"/>
  <c r="F42" i="5"/>
  <c r="E42" i="5"/>
  <c r="G42" i="5"/>
  <c r="G28" i="5"/>
  <c r="F28" i="5"/>
  <c r="E28" i="5"/>
  <c r="H28" i="5"/>
  <c r="E32" i="5"/>
  <c r="G32" i="5"/>
  <c r="H32" i="5"/>
  <c r="F32" i="5"/>
  <c r="E30" i="5"/>
  <c r="G30" i="5"/>
  <c r="H30" i="5"/>
  <c r="F30" i="5"/>
  <c r="E69" i="5"/>
  <c r="H69" i="5"/>
  <c r="F69" i="5"/>
  <c r="G69" i="5"/>
  <c r="E110" i="5"/>
  <c r="H110" i="5"/>
  <c r="F110" i="5"/>
  <c r="G110" i="5"/>
  <c r="G88" i="5"/>
  <c r="E88" i="5"/>
  <c r="H88" i="5"/>
  <c r="F88" i="5"/>
  <c r="H85" i="5"/>
  <c r="F85" i="5"/>
  <c r="G85" i="5"/>
  <c r="E85" i="5"/>
  <c r="F116" i="5"/>
  <c r="H116" i="5"/>
  <c r="G116" i="5"/>
  <c r="E116" i="5"/>
  <c r="E37" i="5"/>
  <c r="G37" i="5"/>
  <c r="F37" i="5"/>
  <c r="H37" i="5"/>
  <c r="G5" i="5"/>
  <c r="F5" i="5"/>
  <c r="E5" i="5"/>
  <c r="H5" i="5"/>
  <c r="H102" i="5"/>
  <c r="G102" i="5"/>
  <c r="E102" i="5"/>
  <c r="F102" i="5"/>
  <c r="H7" i="5"/>
  <c r="G7" i="5"/>
  <c r="E7" i="5"/>
  <c r="F7" i="5"/>
  <c r="E82" i="5"/>
  <c r="G82" i="5"/>
  <c r="H82" i="5"/>
  <c r="F82" i="5"/>
  <c r="G67" i="5"/>
  <c r="H67" i="5"/>
  <c r="E67" i="5"/>
  <c r="F67" i="5"/>
  <c r="H53" i="5"/>
  <c r="E53" i="5"/>
  <c r="G53" i="5"/>
  <c r="F53" i="5"/>
  <c r="H95" i="5"/>
  <c r="E95" i="5"/>
  <c r="G95" i="5"/>
  <c r="F95" i="5"/>
  <c r="F11" i="5"/>
  <c r="E11" i="5"/>
  <c r="G11" i="5"/>
  <c r="H11" i="5"/>
  <c r="E41" i="5"/>
  <c r="G41" i="5"/>
  <c r="H41" i="5"/>
  <c r="F41" i="5"/>
  <c r="E104" i="5"/>
  <c r="F104" i="5"/>
  <c r="G104" i="5"/>
  <c r="H104" i="5"/>
  <c r="F113" i="5"/>
  <c r="E113" i="5"/>
  <c r="H113" i="5"/>
  <c r="G113" i="5"/>
  <c r="F16" i="5"/>
  <c r="E16" i="5"/>
  <c r="H16" i="5"/>
  <c r="G16" i="5"/>
  <c r="H66" i="5"/>
  <c r="G66" i="5"/>
  <c r="F66" i="5"/>
  <c r="E66" i="5"/>
  <c r="G79" i="5"/>
  <c r="H79" i="5"/>
  <c r="F79" i="5"/>
  <c r="E79" i="5"/>
  <c r="H22" i="5"/>
  <c r="F22" i="5"/>
  <c r="G22" i="5"/>
  <c r="E22" i="5"/>
  <c r="H89" i="5"/>
  <c r="E89" i="5"/>
  <c r="F89" i="5"/>
  <c r="G89" i="5"/>
  <c r="G50" i="5"/>
  <c r="H50" i="5"/>
  <c r="E50" i="5"/>
  <c r="F50" i="5"/>
  <c r="E124" i="5"/>
  <c r="F124" i="5"/>
  <c r="H124" i="5"/>
  <c r="G124" i="5"/>
  <c r="F34" i="5"/>
  <c r="E34" i="5"/>
  <c r="H34" i="5"/>
  <c r="G34" i="5"/>
  <c r="G109" i="5"/>
  <c r="H109" i="5"/>
  <c r="F109" i="5"/>
  <c r="E109" i="5"/>
  <c r="F121" i="5"/>
  <c r="E121" i="5"/>
  <c r="H121" i="5"/>
  <c r="G121" i="5"/>
  <c r="G14" i="5"/>
  <c r="H14" i="5"/>
  <c r="E14" i="5"/>
  <c r="F14" i="5"/>
  <c r="E45" i="5"/>
  <c r="F45" i="5"/>
  <c r="H45" i="5"/>
  <c r="G45" i="5"/>
  <c r="E59" i="5"/>
  <c r="F59" i="5"/>
  <c r="H59" i="5"/>
  <c r="G59" i="5"/>
  <c r="G43" i="5"/>
  <c r="H43" i="5"/>
  <c r="E43" i="5"/>
  <c r="F43" i="5"/>
  <c r="H111" i="5"/>
  <c r="F111" i="5"/>
  <c r="G111" i="5"/>
  <c r="E111" i="5"/>
  <c r="E17" i="5"/>
  <c r="H17" i="5"/>
  <c r="G17" i="5"/>
  <c r="F17" i="5"/>
  <c r="E18" i="5"/>
  <c r="F18" i="5"/>
  <c r="H18" i="5"/>
  <c r="G18" i="5"/>
  <c r="E78" i="5"/>
  <c r="F78" i="5"/>
  <c r="G78" i="5"/>
  <c r="H78" i="5"/>
  <c r="F103" i="5"/>
  <c r="E103" i="5"/>
  <c r="H103" i="5"/>
  <c r="G103" i="5"/>
  <c r="H125" i="5"/>
  <c r="G125" i="5"/>
  <c r="F125" i="5"/>
  <c r="E125" i="5"/>
  <c r="G96" i="5"/>
  <c r="E96" i="5"/>
  <c r="H96" i="5"/>
  <c r="F96" i="5"/>
  <c r="G21" i="5"/>
  <c r="F21" i="5"/>
  <c r="H21" i="5"/>
  <c r="E21" i="5"/>
  <c r="H54" i="5"/>
  <c r="F54" i="5"/>
  <c r="E54" i="5"/>
  <c r="G54" i="5"/>
  <c r="G15" i="5"/>
  <c r="H15" i="5"/>
  <c r="F15" i="5"/>
  <c r="E15" i="5"/>
  <c r="E33" i="5"/>
  <c r="H33" i="5"/>
  <c r="G33" i="5"/>
  <c r="F33" i="5"/>
  <c r="F58" i="5"/>
  <c r="H58" i="5"/>
  <c r="E58" i="5"/>
  <c r="G58" i="5"/>
  <c r="G46" i="5"/>
  <c r="E46" i="5"/>
  <c r="F46" i="5"/>
  <c r="H46" i="5"/>
  <c r="G107" i="5"/>
  <c r="E107" i="5"/>
  <c r="F107" i="5"/>
  <c r="H107" i="5"/>
  <c r="F123" i="5"/>
  <c r="G123" i="5"/>
  <c r="H123" i="5"/>
  <c r="E123" i="5"/>
  <c r="H99" i="5"/>
  <c r="E99" i="5"/>
  <c r="F99" i="5"/>
  <c r="G99" i="5"/>
  <c r="E80" i="5"/>
  <c r="H80" i="5"/>
  <c r="F80" i="5"/>
  <c r="G80" i="5"/>
  <c r="H57" i="5"/>
  <c r="G57" i="5"/>
  <c r="E57" i="5"/>
  <c r="F57" i="5"/>
  <c r="G10" i="5"/>
  <c r="H10" i="5"/>
  <c r="F10" i="5"/>
  <c r="E10" i="5"/>
  <c r="G75" i="5"/>
  <c r="E75" i="5"/>
  <c r="F75" i="5"/>
  <c r="H75" i="5"/>
  <c r="H48" i="5"/>
  <c r="F48" i="5"/>
  <c r="G48" i="5"/>
  <c r="E48" i="5"/>
  <c r="E36" i="5"/>
  <c r="H36" i="5"/>
  <c r="F36" i="5"/>
  <c r="G36" i="5"/>
  <c r="G106" i="5"/>
  <c r="E106" i="5"/>
  <c r="F106" i="5"/>
  <c r="H106" i="5"/>
  <c r="H38" i="5"/>
  <c r="E38" i="5"/>
  <c r="F38" i="5"/>
  <c r="G38" i="5"/>
  <c r="E19" i="5"/>
  <c r="H19" i="5"/>
  <c r="G19" i="5"/>
  <c r="F19" i="5"/>
  <c r="G114" i="5"/>
  <c r="E114" i="5"/>
  <c r="H114" i="5"/>
  <c r="F114" i="5"/>
  <c r="F112" i="5"/>
  <c r="G112" i="5"/>
  <c r="H112" i="5"/>
  <c r="E112" i="5"/>
  <c r="G23" i="5"/>
  <c r="E23" i="5"/>
  <c r="H23" i="5"/>
  <c r="F23" i="5"/>
  <c r="G47" i="5"/>
  <c r="E47" i="5"/>
  <c r="F47" i="5"/>
  <c r="H47" i="5"/>
  <c r="E93" i="5"/>
  <c r="F93" i="5"/>
  <c r="H93" i="5"/>
  <c r="G93" i="5"/>
  <c r="G60" i="5"/>
  <c r="E60" i="5"/>
  <c r="H60" i="5"/>
  <c r="F60" i="5"/>
  <c r="F61" i="5"/>
  <c r="H61" i="5"/>
  <c r="G61" i="5"/>
  <c r="E61" i="5"/>
  <c r="F6" i="5"/>
  <c r="G6" i="5"/>
  <c r="E6" i="5"/>
  <c r="H6" i="5"/>
  <c r="D14" i="6" l="1"/>
  <c r="R16" i="12"/>
  <c r="Q16" i="12"/>
  <c r="Q19" i="12" a="1"/>
  <c r="Q2535" i="12" l="1"/>
  <c r="Q1763" i="12"/>
  <c r="Q892" i="12"/>
  <c r="Q640" i="12"/>
  <c r="Q237" i="12"/>
  <c r="Q304" i="12"/>
  <c r="Q1225" i="12"/>
  <c r="Q3334" i="12"/>
  <c r="Q3243" i="12"/>
  <c r="Q912" i="12"/>
  <c r="Q2460" i="12"/>
  <c r="Q2166" i="12"/>
  <c r="Q3476" i="12"/>
  <c r="Q3498" i="12"/>
  <c r="Q3048" i="12"/>
  <c r="Q2567" i="12"/>
  <c r="Q1903" i="12"/>
  <c r="Q2923" i="12"/>
  <c r="Q3068" i="12"/>
  <c r="Q431" i="12"/>
  <c r="Q2532" i="12"/>
  <c r="Q344" i="12"/>
  <c r="Q2285" i="12"/>
  <c r="Q943" i="12"/>
  <c r="Q798" i="12"/>
  <c r="Q1569" i="12"/>
  <c r="Q3479" i="12"/>
  <c r="Q1134" i="12"/>
  <c r="Q2026" i="12"/>
  <c r="Q2921" i="12"/>
  <c r="Q1943" i="12"/>
  <c r="Q2774" i="12"/>
  <c r="Q608" i="12"/>
  <c r="Q3227" i="12"/>
  <c r="Q1786" i="12"/>
  <c r="Q1227" i="12"/>
  <c r="Q333" i="12"/>
  <c r="Q1244" i="12"/>
  <c r="Q2182" i="12"/>
  <c r="Q3429" i="12"/>
  <c r="Q1067" i="12"/>
  <c r="Q765" i="12"/>
  <c r="Q1727" i="12"/>
  <c r="Q2624" i="12"/>
  <c r="Q1402" i="12"/>
  <c r="Q643" i="12"/>
  <c r="Q2967" i="12"/>
  <c r="Q2226" i="12"/>
  <c r="Q3231" i="12"/>
  <c r="Q3465" i="12"/>
  <c r="Q1195" i="12"/>
  <c r="Q1888" i="12"/>
  <c r="Q805" i="12"/>
  <c r="Q196" i="12"/>
  <c r="Q3382" i="12"/>
  <c r="Q2116" i="12"/>
  <c r="Q2193" i="12"/>
  <c r="Q2539" i="12"/>
  <c r="Q2211" i="12"/>
  <c r="Q240" i="12"/>
  <c r="Q591" i="12"/>
  <c r="Q2528" i="12"/>
  <c r="Q3163" i="12"/>
  <c r="Q1014" i="12"/>
  <c r="Q667" i="12"/>
  <c r="Q919" i="12"/>
  <c r="Q1082" i="12"/>
  <c r="Q1907" i="12"/>
  <c r="Q1224" i="12"/>
  <c r="Q3315" i="12"/>
  <c r="Q3349" i="12"/>
  <c r="Q2718" i="12"/>
  <c r="Q1074" i="12"/>
  <c r="Q898" i="12"/>
  <c r="Q2707" i="12"/>
  <c r="Q2237" i="12"/>
  <c r="Q1362" i="12"/>
  <c r="Q2961" i="12"/>
  <c r="Q3450" i="12"/>
  <c r="Q1394" i="12"/>
  <c r="Q780" i="12"/>
  <c r="Q1500" i="12"/>
  <c r="Q700" i="12"/>
  <c r="Q2085" i="12"/>
  <c r="Q732" i="12"/>
  <c r="Q1310" i="12"/>
  <c r="Q3098" i="12"/>
  <c r="Q1826" i="12"/>
  <c r="Q1623" i="12"/>
  <c r="Q3440" i="12"/>
  <c r="Q1583" i="12"/>
  <c r="Q3263" i="12"/>
  <c r="Q316" i="12"/>
  <c r="Q185" i="12"/>
  <c r="Q1657" i="12"/>
  <c r="Q1561" i="12"/>
  <c r="Q3266" i="12"/>
  <c r="Q2741" i="12"/>
  <c r="Q200" i="12"/>
  <c r="Q521" i="12"/>
  <c r="Q2056" i="12"/>
  <c r="Q217" i="12"/>
  <c r="Q2941" i="12"/>
  <c r="Q2094" i="12"/>
  <c r="Q3529" i="12"/>
  <c r="Q738" i="12"/>
  <c r="Q995" i="12"/>
  <c r="Q3005" i="12"/>
  <c r="Q1396" i="12"/>
  <c r="Q3431" i="12"/>
  <c r="Q1928" i="12"/>
  <c r="Q1430" i="12"/>
  <c r="Q816" i="12"/>
  <c r="Q1308" i="12"/>
  <c r="Q1621" i="12"/>
  <c r="Q102" i="12"/>
  <c r="Q2315" i="12"/>
  <c r="Q2754" i="12"/>
  <c r="Q613" i="12"/>
  <c r="Q1979" i="12"/>
  <c r="Q3089" i="12"/>
  <c r="Q2295" i="12"/>
  <c r="Q3262" i="12"/>
  <c r="Q924" i="12"/>
  <c r="Q2606" i="12"/>
  <c r="Q579" i="12"/>
  <c r="Q917" i="12"/>
  <c r="Q65" i="12"/>
  <c r="Q3176" i="12"/>
  <c r="Q165" i="12"/>
  <c r="Q2381" i="12"/>
  <c r="Q702" i="12"/>
  <c r="Q1401" i="12"/>
  <c r="Q2540" i="12"/>
  <c r="Q2431" i="12"/>
  <c r="Q279" i="12"/>
  <c r="Q2937" i="12"/>
  <c r="Q404" i="12"/>
  <c r="Q2755" i="12"/>
  <c r="Q825" i="12"/>
  <c r="Q2360" i="12"/>
  <c r="Q1921" i="12"/>
  <c r="Q2174" i="12"/>
  <c r="Q2563" i="12"/>
  <c r="Q3022" i="12"/>
  <c r="Q1126" i="12"/>
  <c r="Q575" i="12"/>
  <c r="Q2557" i="12"/>
  <c r="Q2357" i="12"/>
  <c r="Q2622" i="12"/>
  <c r="Q3145" i="12"/>
  <c r="Q2236" i="12"/>
  <c r="Q2577" i="12"/>
  <c r="Q961" i="12"/>
  <c r="Q378" i="12"/>
  <c r="Q546" i="12"/>
  <c r="Q3158" i="12"/>
  <c r="Q487" i="12"/>
  <c r="Q1593" i="12"/>
  <c r="Q2325" i="12"/>
  <c r="Q323" i="12"/>
  <c r="Q2318" i="12"/>
  <c r="Q869" i="12"/>
  <c r="Q3270" i="12"/>
  <c r="Q1259" i="12"/>
  <c r="Q2380" i="12"/>
  <c r="Q3413" i="12"/>
  <c r="Q1483" i="12"/>
  <c r="Q2463" i="12"/>
  <c r="Q1812" i="12"/>
  <c r="Q2054" i="12"/>
  <c r="Q1841" i="12"/>
  <c r="Q3171" i="12"/>
  <c r="Q3144" i="12"/>
  <c r="Q3216" i="12"/>
  <c r="Q1668" i="12"/>
  <c r="Q834" i="12"/>
  <c r="Q108" i="12"/>
  <c r="Q288" i="12"/>
  <c r="Q1051" i="12"/>
  <c r="Q1761" i="12"/>
  <c r="Q779" i="12"/>
  <c r="Q1584" i="12"/>
  <c r="Q156" i="12"/>
  <c r="Q2874" i="12"/>
  <c r="Q558" i="12"/>
  <c r="Q2204" i="12"/>
  <c r="Q514" i="12"/>
  <c r="Q3004" i="12"/>
  <c r="Q684" i="12"/>
  <c r="Q2734" i="12"/>
  <c r="Q122" i="12"/>
  <c r="Q2549" i="12"/>
  <c r="Q940" i="12"/>
  <c r="Q2230" i="12"/>
  <c r="Q795" i="12"/>
  <c r="Q1447" i="12"/>
  <c r="Q3447" i="12"/>
  <c r="Q2773" i="12"/>
  <c r="Q289" i="12"/>
  <c r="Q1326" i="12"/>
  <c r="Q895" i="12"/>
  <c r="Q2667" i="12"/>
  <c r="Q863" i="12"/>
  <c r="Q59" i="12"/>
  <c r="Q3392" i="12"/>
  <c r="Q3045" i="12"/>
  <c r="Q2935" i="12"/>
  <c r="Q134" i="12"/>
  <c r="Q24" i="12"/>
  <c r="Q3376" i="12"/>
  <c r="Q1967" i="12"/>
  <c r="Q1179" i="12"/>
  <c r="Q2714" i="12"/>
  <c r="Q3156" i="12"/>
  <c r="Q439" i="12"/>
  <c r="Q752" i="12"/>
  <c r="Q3039" i="12"/>
  <c r="Q2591" i="12"/>
  <c r="Q832" i="12"/>
  <c r="Q3500" i="12"/>
  <c r="Q90" i="12"/>
  <c r="Q1997" i="12"/>
  <c r="Q413" i="12"/>
  <c r="Q157" i="12"/>
  <c r="Q3105" i="12"/>
  <c r="Q999" i="12"/>
  <c r="Q2782" i="12"/>
  <c r="Q2395" i="12"/>
  <c r="Q1309" i="12"/>
  <c r="Q889" i="12"/>
  <c r="Q1545" i="12"/>
  <c r="Q2499" i="12"/>
  <c r="Q2466" i="12"/>
  <c r="Q3205" i="12"/>
  <c r="Q3058" i="12"/>
  <c r="Q1536" i="12"/>
  <c r="Q3496" i="12"/>
  <c r="Q2048" i="12"/>
  <c r="Q3420" i="12"/>
  <c r="Q1370" i="12"/>
  <c r="Q3063" i="12"/>
  <c r="Q1537" i="12"/>
  <c r="Q715" i="12"/>
  <c r="Q3031" i="12"/>
  <c r="Q79" i="12"/>
  <c r="Q741" i="12"/>
  <c r="Q2640" i="12"/>
  <c r="Q1210" i="12"/>
  <c r="Q1516" i="12"/>
  <c r="Q3204" i="12"/>
  <c r="Q263" i="12"/>
  <c r="Q2066" i="12"/>
  <c r="Q1377" i="12"/>
  <c r="Q1772" i="12"/>
  <c r="Q2565" i="12"/>
  <c r="Q3343" i="12"/>
  <c r="Q2947" i="12"/>
  <c r="Q209" i="12"/>
  <c r="Q427" i="12"/>
  <c r="Q2254" i="12"/>
  <c r="Q2787" i="12"/>
  <c r="Q2215" i="12"/>
  <c r="Q2119" i="12"/>
  <c r="Q258" i="12"/>
  <c r="Q58" i="12"/>
  <c r="Q2674" i="12"/>
  <c r="Q2679" i="12"/>
  <c r="Q3250" i="12"/>
  <c r="Q1169" i="12"/>
  <c r="Q2077" i="12"/>
  <c r="Q317" i="12"/>
  <c r="Q513" i="12"/>
  <c r="Q3218" i="12"/>
  <c r="Q2732" i="12"/>
  <c r="Q2263" i="12"/>
  <c r="Q280" i="12"/>
  <c r="Q2553" i="12"/>
  <c r="Q3123" i="12"/>
  <c r="Q1596" i="12"/>
  <c r="Q791" i="12"/>
  <c r="Q2110" i="12"/>
  <c r="Q339" i="12"/>
  <c r="Q2329" i="12"/>
  <c r="Q620" i="12"/>
  <c r="Q3518" i="12"/>
  <c r="Q1197" i="12"/>
  <c r="Q1024" i="12"/>
  <c r="Q3178" i="12"/>
  <c r="Q647" i="12"/>
  <c r="Q234" i="12"/>
  <c r="Q624" i="12"/>
  <c r="Q762" i="12"/>
  <c r="Q2039" i="12"/>
  <c r="Q2213" i="12"/>
  <c r="Q1248" i="12"/>
  <c r="Q890" i="12"/>
  <c r="Q1845" i="12"/>
  <c r="Q1629" i="12"/>
  <c r="Q543" i="12"/>
  <c r="Q1486" i="12"/>
  <c r="Q266" i="12"/>
  <c r="Q3097" i="12"/>
  <c r="Q1908" i="12"/>
  <c r="Q2320" i="12"/>
  <c r="Q1725" i="12"/>
  <c r="Q221" i="12"/>
  <c r="Q3297" i="12"/>
  <c r="Q214" i="12"/>
  <c r="Q1682" i="12"/>
  <c r="Q854" i="12"/>
  <c r="Q402" i="12"/>
  <c r="Q3166" i="12"/>
  <c r="Q2043" i="12"/>
  <c r="Q2377" i="12"/>
  <c r="Q2152" i="12"/>
  <c r="Q2333" i="12"/>
  <c r="Q1618" i="12"/>
  <c r="Q3059" i="12"/>
  <c r="Q1358" i="12"/>
  <c r="Q2072" i="12"/>
  <c r="Q1317" i="12"/>
  <c r="Q2974" i="12"/>
  <c r="Q2729" i="12"/>
  <c r="Q1964" i="12"/>
  <c r="Q362" i="12"/>
  <c r="Q1570" i="12"/>
  <c r="Q284" i="12"/>
  <c r="Q1316" i="12"/>
  <c r="Q2247" i="12"/>
  <c r="Q1946" i="12"/>
  <c r="Q1532" i="12"/>
  <c r="Q653" i="12"/>
  <c r="Q1307" i="12"/>
  <c r="Q2299" i="12"/>
  <c r="Q2904" i="12"/>
  <c r="Q3393" i="12"/>
  <c r="Q2636" i="12"/>
  <c r="Q2415" i="12"/>
  <c r="Q1006" i="12"/>
  <c r="Q2856" i="12"/>
  <c r="Q1989" i="12"/>
  <c r="Q2659" i="12"/>
  <c r="Q1418" i="12"/>
  <c r="Q1164" i="12"/>
  <c r="Q2927" i="12"/>
  <c r="Q997" i="12"/>
  <c r="Q2457" i="12"/>
  <c r="Q3083" i="12"/>
  <c r="Q2271" i="12"/>
  <c r="Q1932" i="12"/>
  <c r="Q1253" i="12"/>
  <c r="Q3464" i="12"/>
  <c r="Q2897" i="12"/>
  <c r="Q3293" i="12"/>
  <c r="Q1520" i="12"/>
  <c r="Q3210" i="12"/>
  <c r="Q938" i="12"/>
  <c r="Q545" i="12"/>
  <c r="Q449" i="12"/>
  <c r="Q2608" i="12"/>
  <c r="Q1359" i="12"/>
  <c r="Q265" i="12"/>
  <c r="Q71" i="12"/>
  <c r="Q3228" i="12"/>
  <c r="Q2062" i="12"/>
  <c r="Q1417" i="12"/>
  <c r="Q2779" i="12"/>
  <c r="Q1097" i="12"/>
  <c r="Q1512" i="12"/>
  <c r="Q551" i="12"/>
  <c r="Q2939" i="12"/>
  <c r="Q2806" i="12"/>
  <c r="Q2859" i="12"/>
  <c r="Q2061" i="12"/>
  <c r="Q621" i="12"/>
  <c r="Q1775" i="12"/>
  <c r="Q364" i="12"/>
  <c r="Q1906" i="12"/>
  <c r="Q641" i="12"/>
  <c r="Q1718" i="12"/>
  <c r="Q627" i="12"/>
  <c r="Q2871" i="12"/>
  <c r="Q3043" i="12"/>
  <c r="Q3050" i="12"/>
  <c r="Q118" i="12"/>
  <c r="Q2472" i="12"/>
  <c r="Q1834" i="12"/>
  <c r="Q508" i="12"/>
  <c r="Q2621" i="12"/>
  <c r="Q2010" i="12"/>
  <c r="Q1599" i="12"/>
  <c r="Q2456" i="12"/>
  <c r="Q3141" i="12"/>
  <c r="Q2740" i="12"/>
  <c r="Q1344" i="12"/>
  <c r="Q1592" i="12"/>
  <c r="Q670" i="12"/>
  <c r="Q797" i="12"/>
  <c r="Q128" i="12"/>
  <c r="Q2479" i="12"/>
  <c r="Q3309" i="12"/>
  <c r="Q660" i="12"/>
  <c r="Q1769" i="12"/>
  <c r="Q1515" i="12"/>
  <c r="Q929" i="12"/>
  <c r="Q1829" i="12"/>
  <c r="Q3473" i="12"/>
  <c r="Q1089" i="12"/>
  <c r="Q1246" i="12"/>
  <c r="Q2509" i="12"/>
  <c r="Q485" i="12"/>
  <c r="Q2753" i="12"/>
  <c r="Q1729" i="12"/>
  <c r="Q3033" i="12"/>
  <c r="Q115" i="12"/>
  <c r="Q119" i="12"/>
  <c r="Q3195" i="12"/>
  <c r="Q1079" i="12"/>
  <c r="Q462" i="12"/>
  <c r="Q123" i="12"/>
  <c r="Q980" i="12"/>
  <c r="Q1052" i="12"/>
  <c r="Q3209" i="12"/>
  <c r="Q658" i="12"/>
  <c r="Q1281" i="12"/>
  <c r="Q64" i="12"/>
  <c r="Q3541" i="12"/>
  <c r="Q1346" i="12"/>
  <c r="Q1914" i="12"/>
  <c r="Q2839" i="12"/>
  <c r="Q631" i="12"/>
  <c r="Q2242" i="12"/>
  <c r="Q3298" i="12"/>
  <c r="Q530" i="12"/>
  <c r="Q2619" i="12"/>
  <c r="Q2245" i="12"/>
  <c r="Q529" i="12"/>
  <c r="Q2397" i="12"/>
  <c r="Q2554" i="12"/>
  <c r="Q1142" i="12"/>
  <c r="Q566" i="12"/>
  <c r="Q2498" i="12"/>
  <c r="Q817" i="12"/>
  <c r="Q2398" i="12"/>
  <c r="Q40" i="12"/>
  <c r="Q2860" i="12"/>
  <c r="Q2162" i="12"/>
  <c r="Q2530" i="12"/>
  <c r="Q761" i="12"/>
  <c r="Q1328" i="12"/>
  <c r="Q3331" i="12"/>
  <c r="Q202" i="12"/>
  <c r="Q451" i="12"/>
  <c r="Q201" i="12"/>
  <c r="Q1072" i="12"/>
  <c r="Q2931" i="12"/>
  <c r="Q2280" i="12"/>
  <c r="Q1399" i="12"/>
  <c r="Q1726" i="12"/>
  <c r="Q2711" i="12"/>
  <c r="Q1470" i="12"/>
  <c r="Q3514" i="12"/>
  <c r="Q3452" i="12"/>
  <c r="Q3234" i="12"/>
  <c r="Q388" i="12"/>
  <c r="Q2155" i="12"/>
  <c r="Q2207" i="12"/>
  <c r="Q1965" i="12"/>
  <c r="Q2635" i="12"/>
  <c r="Q81" i="12"/>
  <c r="Q571" i="12"/>
  <c r="Q3175" i="12"/>
  <c r="Q1092" i="12"/>
  <c r="Q725" i="12"/>
  <c r="Q2005" i="12"/>
  <c r="Q3026" i="12"/>
  <c r="Q2338" i="12"/>
  <c r="Q391" i="12"/>
  <c r="Q504" i="12"/>
  <c r="Q1703" i="12"/>
  <c r="Q1008" i="12"/>
  <c r="Q2106" i="12"/>
  <c r="Q792" i="12"/>
  <c r="Q1266" i="12"/>
  <c r="Q2578" i="12"/>
  <c r="Q1891" i="12"/>
  <c r="Q875" i="12"/>
  <c r="Q248" i="12"/>
  <c r="Q2286" i="12"/>
  <c r="Q823" i="12"/>
  <c r="Q2240" i="12"/>
  <c r="Q517" i="12"/>
  <c r="Q1935" i="12"/>
  <c r="Q1814" i="12"/>
  <c r="Q2402" i="12"/>
  <c r="Q2538" i="12"/>
  <c r="Q475" i="12"/>
  <c r="Q1104" i="12"/>
  <c r="Q2011" i="12"/>
  <c r="Q1819" i="12"/>
  <c r="Q749" i="12"/>
  <c r="Q2452" i="12"/>
  <c r="Q2392" i="12"/>
  <c r="Q2850" i="12"/>
  <c r="Q3067" i="12"/>
  <c r="Q2045" i="12"/>
  <c r="Q2700" i="12"/>
  <c r="Q2049" i="12"/>
  <c r="Q1918" i="12"/>
  <c r="Q32" i="12"/>
  <c r="Q407" i="12"/>
  <c r="Q2317" i="12"/>
  <c r="Q1288" i="12"/>
  <c r="Q1646" i="12"/>
  <c r="Q401" i="12"/>
  <c r="Q1019" i="12"/>
  <c r="Q3238" i="12"/>
  <c r="Q2656" i="12"/>
  <c r="Q629" i="12"/>
  <c r="Q1953" i="12"/>
  <c r="Q3466" i="12"/>
  <c r="Q837" i="12"/>
  <c r="Q2041" i="12"/>
  <c r="Q843" i="12"/>
  <c r="Q3065" i="12"/>
  <c r="Q1773" i="12"/>
  <c r="Q48" i="12"/>
  <c r="Q3131" i="12"/>
  <c r="Q2637" i="12"/>
  <c r="Q1852" i="12"/>
  <c r="Q1147" i="12"/>
  <c r="Q212" i="12"/>
  <c r="Q564" i="12"/>
  <c r="Q2414" i="12"/>
  <c r="Q1168" i="12"/>
  <c r="Q1876" i="12"/>
  <c r="Q2702" i="12"/>
  <c r="Q2689" i="12"/>
  <c r="Q3457" i="12"/>
  <c r="Q1723" i="12"/>
  <c r="Q1502" i="12"/>
  <c r="Q1479" i="12"/>
  <c r="Q3377" i="12"/>
  <c r="Q1497" i="12"/>
  <c r="Q1628" i="12"/>
  <c r="Q594" i="12"/>
  <c r="Q1016" i="12"/>
  <c r="Q420" i="12"/>
  <c r="Q1411" i="12"/>
  <c r="Q2778" i="12"/>
  <c r="Q1439" i="12"/>
  <c r="Q2376" i="12"/>
  <c r="Q3399" i="12"/>
  <c r="Q806" i="12"/>
  <c r="Q1352" i="12"/>
  <c r="Q3247" i="12"/>
  <c r="Q636" i="12"/>
  <c r="Q1701" i="12"/>
  <c r="Q3317" i="12"/>
  <c r="Q409" i="12"/>
  <c r="Q2202" i="12"/>
  <c r="Q764" i="12"/>
  <c r="Q3046" i="12"/>
  <c r="Q2677" i="12"/>
  <c r="Q1021" i="12"/>
  <c r="Q2344" i="12"/>
  <c r="Q2052" i="12"/>
  <c r="Q3444" i="12"/>
  <c r="Q331" i="12"/>
  <c r="Q2239" i="12"/>
  <c r="Q1704" i="12"/>
  <c r="Q330" i="12"/>
  <c r="Q3018" i="12"/>
  <c r="Q2422" i="12"/>
  <c r="Q2733" i="12"/>
  <c r="Q1437" i="12"/>
  <c r="Q2712" i="12"/>
  <c r="Q661" i="12"/>
  <c r="Q911" i="12"/>
  <c r="Q2804" i="12"/>
  <c r="Q1056" i="12"/>
  <c r="Q540" i="12"/>
  <c r="Q3528" i="12"/>
  <c r="Q1405" i="12"/>
  <c r="Q1514" i="12"/>
  <c r="Q3072" i="12"/>
  <c r="Q3405" i="12"/>
  <c r="Q2311" i="12"/>
  <c r="Q2027" i="12"/>
  <c r="Q1915" i="12"/>
  <c r="Q913" i="12"/>
  <c r="Q1889" i="12"/>
  <c r="Q193" i="12"/>
  <c r="Q3342" i="12"/>
  <c r="Q3519" i="12"/>
  <c r="Q2682" i="12"/>
  <c r="Q1714" i="12"/>
  <c r="Q2253" i="12"/>
  <c r="Q2906" i="12"/>
  <c r="Q50" i="12"/>
  <c r="Q2858" i="12"/>
  <c r="Q2296" i="12"/>
  <c r="Q891" i="12"/>
  <c r="Q724" i="12"/>
  <c r="Q249" i="12"/>
  <c r="Q2911" i="12"/>
  <c r="Q3149" i="12"/>
  <c r="Q2560" i="12"/>
  <c r="Q351" i="12"/>
  <c r="Q1081" i="12"/>
  <c r="Q1645" i="12"/>
  <c r="Q1610" i="12"/>
  <c r="Q1849" i="12"/>
  <c r="Q147" i="12"/>
  <c r="Q1777" i="12"/>
  <c r="Q790" i="12"/>
  <c r="Q693" i="12"/>
  <c r="Q25" i="12"/>
  <c r="Q3035" i="12"/>
  <c r="Q1534" i="12"/>
  <c r="Q3198" i="12"/>
  <c r="Q3366" i="12"/>
  <c r="Q1228" i="12"/>
  <c r="Q480" i="12"/>
  <c r="Q3467" i="12"/>
  <c r="Q271" i="12"/>
  <c r="Q30" i="12"/>
  <c r="Q1743" i="12"/>
  <c r="Q2447" i="12"/>
  <c r="Q243" i="12"/>
  <c r="Q2878" i="12"/>
  <c r="Q871" i="12"/>
  <c r="Q416" i="12"/>
  <c r="Q555" i="12"/>
  <c r="Q835" i="12"/>
  <c r="Q189" i="12"/>
  <c r="Q595" i="12"/>
  <c r="Q2133" i="12"/>
  <c r="Q2603" i="12"/>
  <c r="Q623" i="12"/>
  <c r="Q3003" i="12"/>
  <c r="Q3236" i="12"/>
  <c r="Q1983" i="12"/>
  <c r="Q3042" i="12"/>
  <c r="Q3030" i="12"/>
  <c r="Q2309" i="12"/>
  <c r="Q1831" i="12"/>
  <c r="Q1494" i="12"/>
  <c r="Q329" i="12"/>
  <c r="Q151" i="12"/>
  <c r="Q821" i="12"/>
  <c r="Q1145" i="12"/>
  <c r="Q1580" i="12"/>
  <c r="Q3183" i="12"/>
  <c r="Q2583" i="12"/>
  <c r="Q3060" i="12"/>
  <c r="Q1640" i="12"/>
  <c r="Q380" i="12"/>
  <c r="Q3308" i="12"/>
  <c r="Q2442" i="12"/>
  <c r="Q1392" i="12"/>
  <c r="Q672" i="12"/>
  <c r="Q3520" i="12"/>
  <c r="Q2547" i="12"/>
  <c r="Q1698" i="12"/>
  <c r="Q2426" i="12"/>
  <c r="Q550" i="12"/>
  <c r="Q57" i="12"/>
  <c r="Q2279" i="12"/>
  <c r="Q2035" i="12"/>
  <c r="Q1461" i="12"/>
  <c r="Q729" i="12"/>
  <c r="Q228" i="12"/>
  <c r="Q1922" i="12"/>
  <c r="Q2194" i="12"/>
  <c r="Q1013" i="12"/>
  <c r="Q1742" i="12"/>
  <c r="Q2512" i="12"/>
  <c r="Q941" i="12"/>
  <c r="Q2065" i="12"/>
  <c r="Q2468" i="12"/>
  <c r="Q86" i="12"/>
  <c r="Q809" i="12"/>
  <c r="Q3011" i="12"/>
  <c r="Q2649" i="12"/>
  <c r="Q35" i="12"/>
  <c r="Q953" i="12"/>
  <c r="Q1991" i="12"/>
  <c r="Q603" i="12"/>
  <c r="Q441" i="12"/>
  <c r="Q3099" i="12"/>
  <c r="Q2666" i="12"/>
  <c r="Q2785" i="12"/>
  <c r="Q2419" i="12"/>
  <c r="Q2321" i="12"/>
  <c r="Q1564" i="12"/>
  <c r="Q1807" i="12"/>
  <c r="Q186" i="12"/>
  <c r="Q3483" i="12"/>
  <c r="Q205" i="12"/>
  <c r="Q2981" i="12"/>
  <c r="Q1560" i="12"/>
  <c r="Q1937" i="12"/>
  <c r="Q2900" i="12"/>
  <c r="Q1548" i="12"/>
  <c r="Q2434" i="12"/>
  <c r="Q1010" i="12"/>
  <c r="Q2497" i="12"/>
  <c r="Q2525" i="12"/>
  <c r="Q1239" i="12"/>
  <c r="Q956" i="12"/>
  <c r="Q54" i="12"/>
  <c r="Q3409" i="12"/>
  <c r="Q320" i="12"/>
  <c r="Q465" i="12"/>
  <c r="Q747" i="12"/>
  <c r="Q2589" i="12"/>
  <c r="Q1681" i="12"/>
  <c r="Q1274" i="12"/>
  <c r="Q262" i="12"/>
  <c r="Q2873" i="12"/>
  <c r="Q306" i="12"/>
  <c r="Q1762" i="12"/>
  <c r="Q1652" i="12"/>
  <c r="Q2362" i="12"/>
  <c r="Q1249" i="12"/>
  <c r="Q1947" i="12"/>
  <c r="Q2572" i="12"/>
  <c r="Q1602" i="12"/>
  <c r="Q2907" i="12"/>
  <c r="Q2082" i="12"/>
  <c r="Q371" i="12"/>
  <c r="Q2842" i="12"/>
  <c r="Q3241" i="12"/>
  <c r="Q2264" i="12"/>
  <c r="Q3539" i="12"/>
  <c r="Q2792" i="12"/>
  <c r="Q2644" i="12"/>
  <c r="Q769" i="12"/>
  <c r="Q3080" i="12"/>
  <c r="Q682" i="12"/>
  <c r="Q1505" i="12"/>
  <c r="Q154" i="12"/>
  <c r="Q1468" i="12"/>
  <c r="Q251" i="12"/>
  <c r="Q2440" i="12"/>
  <c r="Q2101" i="12"/>
  <c r="Q960" i="12"/>
  <c r="Q922" i="12"/>
  <c r="Q1119" i="12"/>
  <c r="Q2727" i="12"/>
  <c r="Q1798" i="12"/>
  <c r="Q528" i="12"/>
  <c r="Q1711" i="12"/>
  <c r="Q1427" i="12"/>
  <c r="Q1117" i="12"/>
  <c r="Q2609" i="12"/>
  <c r="Q1095" i="12"/>
  <c r="Q1408" i="12"/>
  <c r="Q853" i="12"/>
  <c r="Q3494" i="12"/>
  <c r="Q534" i="12"/>
  <c r="Q1863" i="12"/>
  <c r="Q1588" i="12"/>
  <c r="Q498" i="12"/>
  <c r="Q1994" i="12"/>
  <c r="Q3368" i="12"/>
  <c r="Q1787" i="12"/>
  <c r="Q168" i="12"/>
  <c r="Q1223" i="12"/>
  <c r="Q3101" i="12"/>
  <c r="Q1446" i="12"/>
  <c r="Q2484" i="12"/>
  <c r="Q3332" i="12"/>
  <c r="Q1957" i="12"/>
  <c r="Q706" i="12"/>
  <c r="Q1156" i="12"/>
  <c r="Q1212" i="12"/>
  <c r="Q2692" i="12"/>
  <c r="Q3474" i="12"/>
  <c r="Q3540" i="12"/>
  <c r="Q3127" i="12"/>
  <c r="Q1939" i="12"/>
  <c r="Q3550" i="12"/>
  <c r="Q1460" i="12"/>
  <c r="Q2117" i="12"/>
  <c r="Q3007" i="12"/>
  <c r="Q470" i="12"/>
  <c r="Q2097" i="12"/>
  <c r="Q3321" i="12"/>
  <c r="Q2019" i="12"/>
  <c r="Q1463" i="12"/>
  <c r="Q481" i="12"/>
  <c r="Q3524" i="12"/>
  <c r="Q3438" i="12"/>
  <c r="Q1838" i="12"/>
  <c r="Q3357" i="12"/>
  <c r="Q2949" i="12"/>
  <c r="Q3304" i="12"/>
  <c r="Q1667" i="12"/>
  <c r="Q332" i="12"/>
  <c r="Q2770" i="12"/>
  <c r="Q3125" i="12"/>
  <c r="Q1899" i="12"/>
  <c r="Q2008" i="12"/>
  <c r="Q2676" i="12"/>
  <c r="Q1880" i="12"/>
  <c r="Q2233" i="12"/>
  <c r="Q3188" i="12"/>
  <c r="Q1648" i="12"/>
  <c r="Q1445" i="12"/>
  <c r="Q2450" i="12"/>
  <c r="Q1325" i="12"/>
  <c r="Q2403" i="12"/>
  <c r="Q3351" i="12"/>
  <c r="Q3014" i="12"/>
  <c r="Q2031" i="12"/>
  <c r="Q739" i="12"/>
  <c r="Q138" i="12"/>
  <c r="Q2803" i="12"/>
  <c r="Q1901" i="12"/>
  <c r="Q3212" i="12"/>
  <c r="Q1585" i="12"/>
  <c r="Q650" i="12"/>
  <c r="Q1029" i="12"/>
  <c r="Q557" i="12"/>
  <c r="Q3066" i="12"/>
  <c r="Q763" i="12"/>
  <c r="Q2087" i="12"/>
  <c r="Q2886" i="12"/>
  <c r="Q815" i="12"/>
  <c r="Q2865" i="12"/>
  <c r="Q390" i="12"/>
  <c r="Q2069" i="12"/>
  <c r="Q2037" i="12"/>
  <c r="Q75" i="12"/>
  <c r="Q2958" i="12"/>
  <c r="Q3391" i="12"/>
  <c r="Q673" i="12"/>
  <c r="Q3449" i="12"/>
  <c r="Q914" i="12"/>
  <c r="Q3286" i="12"/>
  <c r="Q2310" i="12"/>
  <c r="Q2837" i="12"/>
  <c r="Q2840" i="12"/>
  <c r="Q3406" i="12"/>
  <c r="Q1279" i="12"/>
  <c r="Q646" i="12"/>
  <c r="Q1305" i="12"/>
  <c r="Q3028" i="12"/>
  <c r="Q1643" i="12"/>
  <c r="Q2743" i="12"/>
  <c r="Q536" i="12"/>
  <c r="Q287" i="12"/>
  <c r="Q2488" i="12"/>
  <c r="Q3265" i="12"/>
  <c r="Q965" i="12"/>
  <c r="Q1893" i="12"/>
  <c r="Q2795" i="12"/>
  <c r="Q580" i="12"/>
  <c r="Q2099" i="12"/>
  <c r="Q1371" i="12"/>
  <c r="Q755" i="12"/>
  <c r="Q42" i="12"/>
  <c r="Q1167" i="12"/>
  <c r="Q800" i="12"/>
  <c r="Q2914" i="12"/>
  <c r="Q349" i="12"/>
  <c r="Q3206" i="12"/>
  <c r="Q2570" i="12"/>
  <c r="Q293" i="12"/>
  <c r="Q3207" i="12"/>
  <c r="Q2748" i="12"/>
  <c r="Q1105" i="12"/>
  <c r="Q1057" i="12"/>
  <c r="Q1233" i="12"/>
  <c r="Q523" i="12"/>
  <c r="Q2407" i="12"/>
  <c r="Q1832" i="12"/>
  <c r="Q1923" i="12"/>
  <c r="Q2775" i="12"/>
  <c r="Q3159" i="12"/>
  <c r="Q1572" i="12"/>
  <c r="Q169" i="12"/>
  <c r="Q2767" i="12"/>
  <c r="Q1796" i="12"/>
  <c r="Q2071" i="12"/>
  <c r="Q94" i="12"/>
  <c r="Q1754" i="12"/>
  <c r="Q955" i="12"/>
  <c r="Q3226" i="12"/>
  <c r="Q1756" i="12"/>
  <c r="Q1878" i="12"/>
  <c r="Q2495" i="12"/>
  <c r="Q2841" i="12"/>
  <c r="Q337" i="12"/>
  <c r="Q2576" i="12"/>
  <c r="Q626" i="12"/>
  <c r="Q303" i="12"/>
  <c r="Q2350" i="12"/>
  <c r="Q2627" i="12"/>
  <c r="Q1456" i="12"/>
  <c r="Q2025" i="12"/>
  <c r="Q983" i="12"/>
  <c r="Q2084" i="12"/>
  <c r="Q1240" i="12"/>
  <c r="Q2867" i="12"/>
  <c r="Q3369" i="12"/>
  <c r="Q2526" i="12"/>
  <c r="Q2451" i="12"/>
  <c r="Q1252" i="12"/>
  <c r="Q852" i="12"/>
  <c r="Q3396" i="12"/>
  <c r="Q1087" i="12"/>
  <c r="Q788" i="12"/>
  <c r="Q2156" i="12"/>
  <c r="Q3305" i="12"/>
  <c r="Q1792" i="12"/>
  <c r="Q1216" i="12"/>
  <c r="Q2895" i="12"/>
  <c r="Q2243" i="12"/>
  <c r="Q1567" i="12"/>
  <c r="Q678" i="12"/>
  <c r="Q395" i="12"/>
  <c r="Q1705" i="12"/>
  <c r="Q2762" i="12"/>
  <c r="Q2518" i="12"/>
  <c r="Q153" i="12"/>
  <c r="Q1952" i="12"/>
  <c r="Q1257" i="12"/>
  <c r="Q756" i="12"/>
  <c r="Q2893" i="12"/>
  <c r="Q3421" i="12"/>
  <c r="Q1803" i="12"/>
  <c r="Q1022" i="12"/>
  <c r="Q1332" i="12"/>
  <c r="Q1492" i="12"/>
  <c r="Q1083" i="12"/>
  <c r="Q2172" i="12"/>
  <c r="Q43" i="12"/>
  <c r="Q2651" i="12"/>
  <c r="Q2307" i="12"/>
  <c r="Q695" i="12"/>
  <c r="Q60" i="12"/>
  <c r="Q3486" i="12"/>
  <c r="Q1028" i="12"/>
  <c r="Q3184" i="12"/>
  <c r="Q705" i="12"/>
  <c r="Q948" i="12"/>
  <c r="Q1919" i="12"/>
  <c r="Q1373" i="12"/>
  <c r="Q1071" i="12"/>
  <c r="Q635" i="12"/>
  <c r="Q1553" i="12"/>
  <c r="Q1634" i="12"/>
  <c r="Q3313" i="12"/>
  <c r="Q1759" i="12"/>
  <c r="Q2920" i="12"/>
  <c r="Q3222" i="12"/>
  <c r="Q2261" i="12"/>
  <c r="Q2861" i="12"/>
  <c r="Q2399" i="12"/>
  <c r="Q107" i="12"/>
  <c r="Q1665" i="12"/>
  <c r="Q2401" i="12"/>
  <c r="Q2120" i="12"/>
  <c r="Q70" i="12"/>
  <c r="Q2352" i="12"/>
  <c r="Q1241" i="12"/>
  <c r="Q1258" i="12"/>
  <c r="Q1109" i="12"/>
  <c r="Q977" i="12"/>
  <c r="Q3069" i="12"/>
  <c r="Q187" i="12"/>
  <c r="Q1503" i="12"/>
  <c r="Q260" i="12"/>
  <c r="Q1539" i="12"/>
  <c r="Q2940" i="12"/>
  <c r="Q1800" i="12"/>
  <c r="Q3480" i="12"/>
  <c r="Q1433" i="12"/>
  <c r="Q860" i="12"/>
  <c r="Q1315" i="12"/>
  <c r="Q1984" i="12"/>
  <c r="Q1103" i="12"/>
  <c r="Q3187" i="12"/>
  <c r="Q2109" i="12"/>
  <c r="Q966" i="12"/>
  <c r="Q512" i="12"/>
  <c r="Q444" i="12"/>
  <c r="Q2334" i="12"/>
  <c r="Q2738" i="12"/>
  <c r="Q2201" i="12"/>
  <c r="Q878" i="12"/>
  <c r="Q2737" i="12"/>
  <c r="Q3403" i="12"/>
  <c r="Q707" i="12"/>
  <c r="Q429" i="12"/>
  <c r="Q1489" i="12"/>
  <c r="Q2371" i="12"/>
  <c r="Q2686" i="12"/>
  <c r="Q3282" i="12"/>
  <c r="Q3186" i="12"/>
  <c r="Q1360" i="12"/>
  <c r="Q2275" i="12"/>
  <c r="Q477" i="12"/>
  <c r="Q106" i="12"/>
  <c r="Q3192" i="12"/>
  <c r="Q1927" i="12"/>
  <c r="Q1293" i="12"/>
  <c r="Q2527" i="12"/>
  <c r="Q384" i="12"/>
  <c r="Q2818" i="12"/>
  <c r="Q2231" i="12"/>
  <c r="Q1477" i="12"/>
  <c r="Q2132" i="12"/>
  <c r="Q2936" i="12"/>
  <c r="Q2814" i="12"/>
  <c r="Q750" i="12"/>
  <c r="Q735" i="12"/>
  <c r="Q397" i="12"/>
  <c r="Q419" i="12"/>
  <c r="Q1063" i="12"/>
  <c r="Q1291" i="12"/>
  <c r="Q2364" i="12"/>
  <c r="Q1963" i="12"/>
  <c r="Q2013" i="12"/>
  <c r="Q1970" i="12"/>
  <c r="Q901" i="12"/>
  <c r="Q657" i="12"/>
  <c r="Q1882" i="12"/>
  <c r="Q547" i="12"/>
  <c r="Q1858" i="12"/>
  <c r="Q2278" i="12"/>
  <c r="Q563" i="12"/>
  <c r="Q3239" i="12"/>
  <c r="Q1650" i="12"/>
  <c r="Q2187" i="12"/>
  <c r="Q766" i="12"/>
  <c r="Q829" i="12"/>
  <c r="Q515" i="12"/>
  <c r="Q2476" i="12"/>
  <c r="Q2855" i="12"/>
  <c r="Q1920" i="12"/>
  <c r="Q3133" i="12"/>
  <c r="Q3106" i="12"/>
  <c r="Q2802" i="12"/>
  <c r="Q548" i="12"/>
  <c r="Q1389" i="12"/>
  <c r="Q1582" i="12"/>
  <c r="Q3367" i="12"/>
  <c r="Q3029" i="12"/>
  <c r="Q2287" i="12"/>
  <c r="Q687" i="12"/>
  <c r="Q476" i="12"/>
  <c r="Q1902" i="12"/>
  <c r="Q1043" i="12"/>
  <c r="Q2984" i="12"/>
  <c r="Q742" i="12"/>
  <c r="Q2177" i="12"/>
  <c r="Q1760" i="12"/>
  <c r="Q3531" i="12"/>
  <c r="Q3320" i="12"/>
  <c r="Q3130" i="12"/>
  <c r="Q1192" i="12"/>
  <c r="Q1853" i="12"/>
  <c r="Q1295" i="12"/>
  <c r="Q3458" i="12"/>
  <c r="Q3104" i="12"/>
  <c r="Q1851" i="12"/>
  <c r="Q737" i="12"/>
  <c r="Q2709" i="12"/>
  <c r="Q1205" i="12"/>
  <c r="Q903" i="12"/>
  <c r="Q1617" i="12"/>
  <c r="Q84" i="12"/>
  <c r="Q1385" i="12"/>
  <c r="Q3490" i="12"/>
  <c r="Q2227" i="12"/>
  <c r="Q2347" i="12"/>
  <c r="Q2112" i="12"/>
  <c r="Q565" i="12"/>
  <c r="Q1003" i="12"/>
  <c r="Q1263" i="12"/>
  <c r="Q2418" i="12"/>
  <c r="Q3078" i="12"/>
  <c r="Q1622" i="12"/>
  <c r="Q3325" i="12"/>
  <c r="Q3335" i="12"/>
  <c r="Q1286" i="12"/>
  <c r="Q1713" i="12"/>
  <c r="Q537" i="12"/>
  <c r="Q1531" i="12"/>
  <c r="Q136" i="12"/>
  <c r="Q290" i="12"/>
  <c r="Q1127" i="12"/>
  <c r="Q1287" i="12"/>
  <c r="Q947" i="12"/>
  <c r="Q175" i="12"/>
  <c r="Q2501" i="12"/>
  <c r="Q2217" i="12"/>
  <c r="Q3507" i="12"/>
  <c r="Q37" i="12"/>
  <c r="Q353" i="12"/>
  <c r="Q448" i="12"/>
  <c r="Q2351" i="12"/>
  <c r="Q1641" i="12"/>
  <c r="Q2489" i="12"/>
  <c r="Q668" i="12"/>
  <c r="Q2701" i="12"/>
  <c r="Q2290" i="12"/>
  <c r="Q307" i="12"/>
  <c r="Q2288" i="12"/>
  <c r="Q1440" i="12"/>
  <c r="Q148" i="12"/>
  <c r="Q2503" i="12"/>
  <c r="Q1821" i="12"/>
  <c r="Q1836" i="12"/>
  <c r="Q231" i="12"/>
  <c r="Q1524" i="12"/>
  <c r="Q1784" i="12"/>
  <c r="Q245" i="12"/>
  <c r="Q951" i="12"/>
  <c r="Q789" i="12"/>
  <c r="Q1959" i="12"/>
  <c r="Q3296" i="12"/>
  <c r="Q2825" i="12"/>
  <c r="Q457" i="12"/>
  <c r="Q3502" i="12"/>
  <c r="Q360" i="12"/>
  <c r="Q642" i="12"/>
  <c r="Q2788" i="12"/>
  <c r="Q1806" i="12"/>
  <c r="Q1304" i="12"/>
  <c r="Q2412" i="12"/>
  <c r="Q2915" i="12"/>
  <c r="Q516" i="12"/>
  <c r="Q944" i="12"/>
  <c r="Q3203" i="12"/>
  <c r="Q1157" i="12"/>
  <c r="Q1490" i="12"/>
  <c r="Q757" i="12"/>
  <c r="Q2843" i="12"/>
  <c r="Q358" i="12"/>
  <c r="Q1688" i="12"/>
  <c r="Q2443" i="12"/>
  <c r="Q2885" i="12"/>
  <c r="Q1686" i="12"/>
  <c r="Q2604" i="12"/>
  <c r="Q3182" i="12"/>
  <c r="Q2752" i="12"/>
  <c r="Q774" i="12"/>
  <c r="Q1867" i="12"/>
  <c r="Q3121" i="12"/>
  <c r="Q1860" i="12"/>
  <c r="Q1896" i="12"/>
  <c r="Q1044" i="12"/>
  <c r="Q2216" i="12"/>
  <c r="Q720" i="12"/>
  <c r="Q1086" i="12"/>
  <c r="Q3269" i="12"/>
  <c r="Q3470" i="12"/>
  <c r="Q638" i="12"/>
  <c r="Q56" i="12"/>
  <c r="Q162" i="12"/>
  <c r="Q3138" i="12"/>
  <c r="Q1301" i="12"/>
  <c r="Q369" i="12"/>
  <c r="Q2780" i="12"/>
  <c r="Q998" i="12"/>
  <c r="Q2979" i="12"/>
  <c r="Q652" i="12"/>
  <c r="Q97" i="12"/>
  <c r="Q22" i="12"/>
  <c r="Q2067" i="12"/>
  <c r="Q2141" i="12"/>
  <c r="Q3090" i="12"/>
  <c r="Q1883" i="12"/>
  <c r="Q2903" i="12"/>
  <c r="Q52" i="12"/>
  <c r="Q3185" i="12"/>
  <c r="Q2167" i="12"/>
  <c r="Q709" i="12"/>
  <c r="Q826" i="12"/>
  <c r="Q1093" i="12"/>
  <c r="Q1696" i="12"/>
  <c r="Q1721" i="12"/>
  <c r="Q1135" i="12"/>
  <c r="Q625" i="12"/>
  <c r="Q2590" i="12"/>
  <c r="Q292" i="12"/>
  <c r="Q967" i="12"/>
  <c r="Q45" i="12"/>
  <c r="Q2467" i="12"/>
  <c r="Q619" i="12"/>
  <c r="Q2149" i="12"/>
  <c r="Q1689" i="12"/>
  <c r="Q129" i="12"/>
  <c r="Q870" i="12"/>
  <c r="Q382" i="12"/>
  <c r="Q1533" i="12"/>
  <c r="Q2909" i="12"/>
  <c r="Q1297" i="12"/>
  <c r="Q2581" i="12"/>
  <c r="Q2763" i="12"/>
  <c r="Q3503" i="12"/>
  <c r="Q1296" i="12"/>
  <c r="Q1448" i="12"/>
  <c r="Q2568" i="12"/>
  <c r="Q1250" i="12"/>
  <c r="Q2409" i="12"/>
  <c r="Q915" i="12"/>
  <c r="Q3434" i="12"/>
  <c r="Q3495" i="12"/>
  <c r="Q2220" i="12"/>
  <c r="Q2698" i="12"/>
  <c r="Q3453" i="12"/>
  <c r="Q686" i="12"/>
  <c r="Q1143" i="12"/>
  <c r="Q453" i="12"/>
  <c r="Q928" i="12"/>
  <c r="Q313" i="12"/>
  <c r="Q1604" i="12"/>
  <c r="Q242" i="12"/>
  <c r="Q1366" i="12"/>
  <c r="Q1182" i="12"/>
  <c r="Q2068" i="12"/>
  <c r="Q2973" i="12"/>
  <c r="Q1995" i="12"/>
  <c r="Q1562" i="12"/>
  <c r="Q1639" i="12"/>
  <c r="Q1264" i="12"/>
  <c r="Q1672" i="12"/>
  <c r="Q3365" i="12"/>
  <c r="Q819" i="12"/>
  <c r="Q308" i="12"/>
  <c r="Q2063" i="12"/>
  <c r="Q2018" i="12"/>
  <c r="Q1149" i="12"/>
  <c r="Q3223" i="12"/>
  <c r="Q2972" i="12"/>
  <c r="Q2012" i="12"/>
  <c r="Q1176" i="12"/>
  <c r="Q2710" i="12"/>
  <c r="Q510" i="12"/>
  <c r="Q1518" i="12"/>
  <c r="Q3202" i="12"/>
  <c r="Q145" i="12"/>
  <c r="Q2016" i="12"/>
  <c r="Q2768" i="12"/>
  <c r="Q2558" i="12"/>
  <c r="Q325" i="12"/>
  <c r="Q2140" i="12"/>
  <c r="Q3027" i="12"/>
  <c r="Q2454" i="12"/>
  <c r="Q2298" i="12"/>
  <c r="Q1745" i="12"/>
  <c r="Q3047" i="12"/>
  <c r="Q511" i="12"/>
  <c r="Q1734" i="12"/>
  <c r="Q1144" i="12"/>
  <c r="Q669" i="12"/>
  <c r="Q434" i="12"/>
  <c r="Q314" i="12"/>
  <c r="Q794" i="12"/>
  <c r="Q1247" i="12"/>
  <c r="Q1587" i="12"/>
  <c r="Q2060" i="12"/>
  <c r="Q1284" i="12"/>
  <c r="Q98" i="12"/>
  <c r="Q1368" i="12"/>
  <c r="Q1238" i="12"/>
  <c r="Q1764" i="12"/>
  <c r="Q1415" i="12"/>
  <c r="Q987" i="12"/>
  <c r="Q1058" i="12"/>
  <c r="Q2160" i="12"/>
  <c r="Q350" i="12"/>
  <c r="Q1740" i="12"/>
  <c r="Q1719" i="12"/>
  <c r="Q744" i="12"/>
  <c r="Q489" i="12"/>
  <c r="Q3469" i="12"/>
  <c r="Q740" i="12"/>
  <c r="Q273" i="12"/>
  <c r="Q1012" i="12"/>
  <c r="Q2672" i="12"/>
  <c r="Q2913" i="12"/>
  <c r="Q1173" i="12"/>
  <c r="Q3352" i="12"/>
  <c r="Q520" i="12"/>
  <c r="Q3079" i="12"/>
  <c r="Q606" i="12"/>
  <c r="Q3451" i="12"/>
  <c r="Q1801" i="12"/>
  <c r="Q1421" i="12"/>
  <c r="Q2383" i="12"/>
  <c r="Q3511" i="12"/>
  <c r="Q1611" i="12"/>
  <c r="Q767" i="12"/>
  <c r="Q1030" i="12"/>
  <c r="Q2999" i="12"/>
  <c r="Q1311" i="12"/>
  <c r="Q3532" i="12"/>
  <c r="Q644" i="12"/>
  <c r="Q561" i="12"/>
  <c r="Q1237" i="12"/>
  <c r="Q211" i="12"/>
  <c r="Q803" i="12"/>
  <c r="Q1663" i="12"/>
  <c r="Q171" i="12"/>
  <c r="Q1790" i="12"/>
  <c r="Q711" i="12"/>
  <c r="Q1088" i="12"/>
  <c r="Q486" i="12"/>
  <c r="Q2480" i="12"/>
  <c r="Q318" i="12"/>
  <c r="Q1730" i="12"/>
  <c r="Q1091" i="12"/>
  <c r="Q1339" i="12"/>
  <c r="Q2197" i="12"/>
  <c r="Q3388" i="12"/>
  <c r="Q867" i="12"/>
  <c r="Q257" i="12"/>
  <c r="Q2076" i="12"/>
  <c r="Q845" i="12"/>
  <c r="Q190" i="12"/>
  <c r="Q2137" i="12"/>
  <c r="Q1612" i="12"/>
  <c r="Q3301" i="12"/>
  <c r="Q432" i="12"/>
  <c r="Q918" i="12"/>
  <c r="Q428" i="12"/>
  <c r="Q602" i="12"/>
  <c r="Q1260" i="12"/>
  <c r="Q338" i="12"/>
  <c r="Q254" i="12"/>
  <c r="Q3419" i="12"/>
  <c r="Q1337" i="12"/>
  <c r="Q2098" i="12"/>
  <c r="Q2721" i="12"/>
  <c r="Q1124" i="12"/>
  <c r="Q399" i="12"/>
  <c r="Q1864" i="12"/>
  <c r="Q2365" i="12"/>
  <c r="Q3549" i="12"/>
  <c r="Q2826" i="12"/>
  <c r="Q1961" i="12"/>
  <c r="Q2284" i="12"/>
  <c r="Q438" i="12"/>
  <c r="Q1073" i="12"/>
  <c r="Q3073" i="12"/>
  <c r="Q3122" i="12"/>
  <c r="Q3411" i="12"/>
  <c r="Q970" i="12"/>
  <c r="Q1068" i="12"/>
  <c r="Q1153" i="12"/>
  <c r="Q179" i="12"/>
  <c r="Q436" i="12"/>
  <c r="Q405" i="12"/>
  <c r="Q3433" i="12"/>
  <c r="Q2695" i="12"/>
  <c r="Q1174" i="12"/>
  <c r="Q1715" i="12"/>
  <c r="Q2950" i="12"/>
  <c r="Q1099" i="12"/>
  <c r="Q2103" i="12"/>
  <c r="Q2151" i="12"/>
  <c r="Q1523" i="12"/>
  <c r="Q2926" i="12"/>
  <c r="Q968" i="12"/>
  <c r="Q2924" i="12"/>
  <c r="Q352" i="12"/>
  <c r="Q2952" i="12"/>
  <c r="Q270" i="12"/>
  <c r="Q1771" i="12"/>
  <c r="Q2854" i="12"/>
  <c r="Q3482" i="12"/>
  <c r="Q524" i="12"/>
  <c r="Q982" i="12"/>
  <c r="Q2023" i="12"/>
  <c r="Q3102" i="12"/>
  <c r="Q2977" i="12"/>
  <c r="Q2200" i="12"/>
  <c r="Q3111" i="12"/>
  <c r="Q2550" i="12"/>
  <c r="Q501" i="12"/>
  <c r="Q3189" i="12"/>
  <c r="Q1695" i="12"/>
  <c r="Q976" i="12"/>
  <c r="Q2582" i="12"/>
  <c r="Q1017" i="12"/>
  <c r="Q88" i="12"/>
  <c r="Q1933" i="12"/>
  <c r="Q2485" i="12"/>
  <c r="Q659" i="12"/>
  <c r="Q801" i="12"/>
  <c r="Q721" i="12"/>
  <c r="Q799" i="12"/>
  <c r="Q1342" i="12"/>
  <c r="Q1658" i="12"/>
  <c r="Q1871" i="12"/>
  <c r="Q846" i="12"/>
  <c r="Q3023" i="12"/>
  <c r="Q1506" i="12"/>
  <c r="Q601" i="12"/>
  <c r="Q1898" i="12"/>
  <c r="Q2690" i="12"/>
  <c r="Q1204" i="12"/>
  <c r="Q99" i="12"/>
  <c r="Q3363" i="12"/>
  <c r="Q161" i="12"/>
  <c r="Q1002" i="12"/>
  <c r="Q158" i="12"/>
  <c r="Q582" i="12"/>
  <c r="Q3168" i="12"/>
  <c r="Q1009" i="12"/>
  <c r="Q110" i="12"/>
  <c r="Q2423" i="12"/>
  <c r="Q2505" i="12"/>
  <c r="Q680" i="12"/>
  <c r="Q3086" i="12"/>
  <c r="Q139" i="12"/>
  <c r="Q745" i="12"/>
  <c r="Q2047" i="12"/>
  <c r="Q936" i="12"/>
  <c r="Q3057" i="12"/>
  <c r="Q302" i="12"/>
  <c r="Q3257" i="12"/>
  <c r="Q1895" i="12"/>
  <c r="Q3407" i="12"/>
  <c r="Q3152" i="12"/>
  <c r="Q1733" i="12"/>
  <c r="Q3053" i="12"/>
  <c r="Q1341" i="12"/>
  <c r="Q538" i="12"/>
  <c r="Q297" i="12"/>
  <c r="Q310" i="12"/>
  <c r="Q2598" i="12"/>
  <c r="Q628" i="12"/>
  <c r="Q2209" i="12"/>
  <c r="Q2316" i="12"/>
  <c r="Q1847" i="12"/>
  <c r="Q29" i="12"/>
  <c r="Q2933" i="12"/>
  <c r="Q3527" i="12"/>
  <c r="Q76" i="12"/>
  <c r="Q3258" i="12"/>
  <c r="Q2970" i="12"/>
  <c r="Q2221" i="12"/>
  <c r="Q1151" i="12"/>
  <c r="Q1925" i="12"/>
  <c r="Q1504" i="12"/>
  <c r="Q2113" i="12"/>
  <c r="Q2147" i="12"/>
  <c r="Q1551" i="12"/>
  <c r="Q198" i="12"/>
  <c r="Q827" i="12"/>
  <c r="Q1865" i="12"/>
  <c r="Q880" i="12"/>
  <c r="Q1269" i="12"/>
  <c r="Q2664" i="12"/>
  <c r="Q3095" i="12"/>
  <c r="Q1975" i="12"/>
  <c r="Q3436" i="12"/>
  <c r="Q89" i="12"/>
  <c r="Q3538" i="12"/>
  <c r="Q1423" i="12"/>
  <c r="Q1954" i="12"/>
  <c r="Q2899" i="12"/>
  <c r="Q1498" i="12"/>
  <c r="Q2647" i="12"/>
  <c r="Q2719" i="12"/>
  <c r="Q33" i="12"/>
  <c r="Q250" i="12"/>
  <c r="Q2219" i="12"/>
  <c r="Q1973" i="12"/>
  <c r="Q2408" i="12"/>
  <c r="Q2268" i="12"/>
  <c r="Q255" i="12"/>
  <c r="Q1651" i="12"/>
  <c r="Q1300" i="12"/>
  <c r="Q3373" i="12"/>
  <c r="Q2605" i="12"/>
  <c r="Q1830" i="12"/>
  <c r="Q1934" i="12"/>
  <c r="Q385" i="12"/>
  <c r="Q2515" i="12"/>
  <c r="Q1837" i="12"/>
  <c r="Q2731" i="12"/>
  <c r="Q204" i="12"/>
  <c r="Q430" i="12"/>
  <c r="Q2987" i="12"/>
  <c r="Q2339" i="12"/>
  <c r="Q2000" i="12"/>
  <c r="Q2145" i="12"/>
  <c r="Q2384" i="12"/>
  <c r="Q2436" i="12"/>
  <c r="Q1789" i="12"/>
  <c r="Q873" i="12"/>
  <c r="Q2363" i="12"/>
  <c r="Q321" i="12"/>
  <c r="Q1292" i="12"/>
  <c r="Q3196" i="12"/>
  <c r="Q3389" i="12"/>
  <c r="Q1804" i="12"/>
  <c r="Q2203" i="12"/>
  <c r="Q2585" i="12"/>
  <c r="Q1453" i="12"/>
  <c r="Q559" i="12"/>
  <c r="Q2869" i="12"/>
  <c r="Q410" i="12"/>
  <c r="Q2241" i="12"/>
  <c r="Q206" i="12"/>
  <c r="Q2880" i="12"/>
  <c r="Q2810" i="12"/>
  <c r="Q2519" i="12"/>
  <c r="Q1654" i="12"/>
  <c r="Q1001" i="12"/>
  <c r="Q864" i="12"/>
  <c r="Q181" i="12"/>
  <c r="Q3139" i="12"/>
  <c r="Q1041" i="12"/>
  <c r="Q1813" i="12"/>
  <c r="Q777" i="12"/>
  <c r="Q2428" i="12"/>
  <c r="Q282" i="12"/>
  <c r="Q3094" i="12"/>
  <c r="Q2086" i="12"/>
  <c r="Q2831" i="12"/>
  <c r="Q3021" i="12"/>
  <c r="Q2629" i="12"/>
  <c r="Q2050" i="12"/>
  <c r="Q2107" i="12"/>
  <c r="Q1555" i="12"/>
  <c r="Q2654" i="12"/>
  <c r="Q1508" i="12"/>
  <c r="Q3254" i="12"/>
  <c r="Q1765" i="12"/>
  <c r="Q3100" i="12"/>
  <c r="Q2448" i="12"/>
  <c r="Q1455" i="12"/>
  <c r="Q466" i="12"/>
  <c r="Q2330" i="12"/>
  <c r="Q3461" i="12"/>
  <c r="Q562" i="12"/>
  <c r="Q2929" i="12"/>
  <c r="Q1748" i="12"/>
  <c r="Q1977" i="12"/>
  <c r="Q2181" i="12"/>
  <c r="Q2196" i="12"/>
  <c r="Q3221" i="12"/>
  <c r="Q588" i="12"/>
  <c r="Q2435" i="12"/>
  <c r="Q1808" i="12"/>
  <c r="Q3412" i="12"/>
  <c r="Q291" i="12"/>
  <c r="Q3370" i="12"/>
  <c r="Q2648" i="12"/>
  <c r="Q62" i="12"/>
  <c r="Q1541" i="12"/>
  <c r="Q67" i="12"/>
  <c r="Q2337" i="12"/>
  <c r="Q3153" i="12"/>
  <c r="Q2713" i="12"/>
  <c r="Q130" i="12"/>
  <c r="Q1525" i="12"/>
  <c r="Q2728" i="12"/>
  <c r="Q2683" i="12"/>
  <c r="Q1343" i="12"/>
  <c r="Q111" i="12"/>
  <c r="Q3211" i="12"/>
  <c r="Q3459" i="12"/>
  <c r="Q1232" i="12"/>
  <c r="Q1277" i="12"/>
  <c r="Q3375" i="12"/>
  <c r="Q804" i="12"/>
  <c r="Q1981" i="12"/>
  <c r="Q1330" i="12"/>
  <c r="Q2781" i="12"/>
  <c r="Q1833" i="12"/>
  <c r="Q920" i="12"/>
  <c r="Q2033" i="12"/>
  <c r="Q341" i="12"/>
  <c r="Q989" i="12"/>
  <c r="Q3061" i="12"/>
  <c r="Q2477" i="12"/>
  <c r="Q858" i="12"/>
  <c r="Q1788" i="12"/>
  <c r="Q1196" i="12"/>
  <c r="Q1055" i="12"/>
  <c r="Q1741" i="12"/>
  <c r="Q63" i="12"/>
  <c r="Q3091" i="12"/>
  <c r="Q830" i="12"/>
  <c r="Q2618" i="12"/>
  <c r="Q1507" i="12"/>
  <c r="Q39" i="12"/>
  <c r="Q3013" i="12"/>
  <c r="Q3385" i="12"/>
  <c r="Q1586" i="12"/>
  <c r="Q417" i="12"/>
  <c r="Q3017" i="12"/>
  <c r="Q1855" i="12"/>
  <c r="Q877" i="12"/>
  <c r="Q2805" i="12"/>
  <c r="Q256" i="12"/>
  <c r="Q902" i="12"/>
  <c r="Q1779" i="12"/>
  <c r="Q2198" i="12"/>
  <c r="Q2898" i="12"/>
  <c r="Q1884" i="12"/>
  <c r="Q2571" i="12"/>
  <c r="Q507" i="12"/>
  <c r="Q2314" i="12"/>
  <c r="Q3071" i="12"/>
  <c r="Q886" i="12"/>
  <c r="Q2038" i="12"/>
  <c r="Q842" i="12"/>
  <c r="Q319" i="12"/>
  <c r="Q2546" i="12"/>
  <c r="Q2238" i="12"/>
  <c r="Q3267" i="12"/>
  <c r="Q2400" i="12"/>
  <c r="Q1027" i="12"/>
  <c r="Q3276" i="12"/>
  <c r="Q1398" i="12"/>
  <c r="Q1538" i="12"/>
  <c r="Q2276" i="12"/>
  <c r="Q2474" i="12"/>
  <c r="Q2830" i="12"/>
  <c r="Q1106" i="12"/>
  <c r="Q610" i="12"/>
  <c r="Q758" i="12"/>
  <c r="Q868" i="12"/>
  <c r="Q519" i="12"/>
  <c r="Q442" i="12"/>
  <c r="Q1600" i="12"/>
  <c r="Q2650" i="12"/>
  <c r="Q3485" i="12"/>
  <c r="Q2652" i="12"/>
  <c r="Q77" i="12"/>
  <c r="Q2150" i="12"/>
  <c r="Q2703" i="12"/>
  <c r="Q577" i="12"/>
  <c r="Q418" i="12"/>
  <c r="Q1687" i="12"/>
  <c r="Q2832" i="12"/>
  <c r="Q142" i="12"/>
  <c r="Q488" i="12"/>
  <c r="Q848" i="12"/>
  <c r="Q3129" i="12"/>
  <c r="Q1633" i="12"/>
  <c r="Q1579" i="12"/>
  <c r="Q617" i="12"/>
  <c r="Q2960" i="12"/>
  <c r="Q1060" i="12"/>
  <c r="Q2746" i="12"/>
  <c r="Q1375" i="12"/>
  <c r="Q883" i="12"/>
  <c r="Q1861" i="12"/>
  <c r="Q3445" i="12"/>
  <c r="Q899" i="12"/>
  <c r="Q3009" i="12"/>
  <c r="Q3506" i="12"/>
  <c r="Q908" i="12"/>
  <c r="Q1857" i="12"/>
  <c r="Q1950" i="12"/>
  <c r="Q1699" i="12"/>
  <c r="Q278" i="12"/>
  <c r="Q3124" i="12"/>
  <c r="Q2966" i="12"/>
  <c r="Q3386" i="12"/>
  <c r="Q818" i="12"/>
  <c r="Q2368" i="12"/>
  <c r="Q1493" i="12"/>
  <c r="Q1384" i="12"/>
  <c r="Q674" i="12"/>
  <c r="Q645" i="12"/>
  <c r="Q2808" i="12"/>
  <c r="Q2255" i="12"/>
  <c r="Q900" i="12"/>
  <c r="Q585" i="12"/>
  <c r="Q793" i="12"/>
  <c r="Q2424" i="12"/>
  <c r="Q2617" i="12"/>
  <c r="Q1190" i="12"/>
  <c r="Q1090" i="12"/>
  <c r="Q1535" i="12"/>
  <c r="Q472" i="12"/>
  <c r="Q3515" i="12"/>
  <c r="Q1782" i="12"/>
  <c r="Q570" i="12"/>
  <c r="Q2301" i="12"/>
  <c r="Q1410" i="12"/>
  <c r="Q2875" i="12"/>
  <c r="Q1717" i="12"/>
  <c r="Q3167" i="12"/>
  <c r="Q163" i="12"/>
  <c r="Q3278" i="12"/>
  <c r="Q3112" i="12"/>
  <c r="Q2176" i="12"/>
  <c r="Q3316" i="12"/>
  <c r="Q1140" i="12"/>
  <c r="Q1848" i="12"/>
  <c r="Q347" i="12"/>
  <c r="Q3402" i="12"/>
  <c r="Q2836" i="12"/>
  <c r="Q2379" i="12"/>
  <c r="Q1208" i="12"/>
  <c r="Q2642" i="12"/>
  <c r="Q2244" i="12"/>
  <c r="Q1155" i="12"/>
  <c r="Q934" i="12"/>
  <c r="Q1376" i="12"/>
  <c r="Q542" i="12"/>
  <c r="Q2725" i="12"/>
  <c r="Q746" i="12"/>
  <c r="Q2556" i="12"/>
  <c r="Q3036" i="12"/>
  <c r="Q2820" i="12"/>
  <c r="Q2685" i="12"/>
  <c r="Q3422" i="12"/>
  <c r="Q2849" i="12"/>
  <c r="Q3110" i="12"/>
  <c r="Q3338" i="12"/>
  <c r="Q2934" i="12"/>
  <c r="Q85" i="12"/>
  <c r="Q2169" i="12"/>
  <c r="Q2185" i="12"/>
  <c r="Q3512" i="12"/>
  <c r="Q2957" i="12"/>
  <c r="Q1175" i="12"/>
  <c r="Q2722" i="12"/>
  <c r="Q2684" i="12"/>
  <c r="Q2036" i="12"/>
  <c r="Q2222" i="12"/>
  <c r="Q1700" i="12"/>
  <c r="Q1139" i="12"/>
  <c r="Q1866" i="12"/>
  <c r="Q2404" i="12"/>
  <c r="Q41" i="12"/>
  <c r="Q3354" i="12"/>
  <c r="Q1818" i="12"/>
  <c r="Q1431" i="12"/>
  <c r="Q1552" i="12"/>
  <c r="Q1404" i="12"/>
  <c r="Q1215" i="12"/>
  <c r="Q1045" i="12"/>
  <c r="Q2517" i="12"/>
  <c r="Q2994" i="12"/>
  <c r="Q1066" i="12"/>
  <c r="Q1710" i="12"/>
  <c r="Q785" i="12"/>
  <c r="Q2815" i="12"/>
  <c r="Q1198" i="12"/>
  <c r="Q3279" i="12"/>
  <c r="Q2739" i="12"/>
  <c r="Q3319" i="12"/>
  <c r="Q3103" i="12"/>
  <c r="Q1753" i="12"/>
  <c r="Q459" i="12"/>
  <c r="Q2336" i="12"/>
  <c r="Q1815" i="12"/>
  <c r="Q2444" i="12"/>
  <c r="Q3002" i="12"/>
  <c r="Q1219" i="12"/>
  <c r="Q1397" i="12"/>
  <c r="Q1720" i="12"/>
  <c r="Q598" i="12"/>
  <c r="Q1615" i="12"/>
  <c r="Q374" i="12"/>
  <c r="Q499" i="12"/>
  <c r="Q1785" i="12"/>
  <c r="Q1627" i="12"/>
  <c r="Q569" i="12"/>
  <c r="Q1428" i="12"/>
  <c r="Q2370" i="12"/>
  <c r="Q469" i="12"/>
  <c r="Q327" i="12"/>
  <c r="Q3225" i="12"/>
  <c r="Q1070" i="12"/>
  <c r="Q3548" i="12"/>
  <c r="Q2017" i="12"/>
  <c r="Q1951" i="12"/>
  <c r="Q1988" i="12"/>
  <c r="Q3155" i="12"/>
  <c r="Q277" i="12"/>
  <c r="Q471" i="12"/>
  <c r="Q3525" i="12"/>
  <c r="Q412" i="12"/>
  <c r="Q82" i="12"/>
  <c r="Q630" i="12"/>
  <c r="Q2446" i="12"/>
  <c r="Q1475" i="12"/>
  <c r="Q857" i="12"/>
  <c r="Q2281" i="12"/>
  <c r="Q2002" i="12"/>
  <c r="Q2543" i="12"/>
  <c r="Q164" i="12"/>
  <c r="Q2735" i="12"/>
  <c r="Q2378" i="12"/>
  <c r="Q696" i="12"/>
  <c r="Q112" i="12"/>
  <c r="Q1432" i="12"/>
  <c r="Q1802" i="12"/>
  <c r="Q1677" i="12"/>
  <c r="Q1123" i="12"/>
  <c r="Q2881" i="12"/>
  <c r="Q611" i="12"/>
  <c r="Q2492" i="12"/>
  <c r="Q2902" i="12"/>
  <c r="Q1496" i="12"/>
  <c r="Q1751" i="12"/>
  <c r="Q1040" i="12"/>
  <c r="Q3044" i="12"/>
  <c r="Q2716" i="12"/>
  <c r="Q1207" i="12"/>
  <c r="Q1161" i="12"/>
  <c r="Q2439" i="12"/>
  <c r="Q3330" i="12"/>
  <c r="Q2919" i="12"/>
  <c r="Q1114" i="12"/>
  <c r="Q2346" i="12"/>
  <c r="Q1294" i="12"/>
  <c r="Q1938" i="12"/>
  <c r="Q1462" i="12"/>
  <c r="Q109" i="12"/>
  <c r="Q2171" i="12"/>
  <c r="Q1509" i="12"/>
  <c r="Q1697" i="12"/>
  <c r="Q3169" i="12"/>
  <c r="Q634" i="12"/>
  <c r="Q2611" i="12"/>
  <c r="Q411" i="12"/>
  <c r="Q1320" i="12"/>
  <c r="Q2124" i="12"/>
  <c r="Q3120" i="12"/>
  <c r="Q2249" i="12"/>
  <c r="Q36" i="12"/>
  <c r="Q2327" i="12"/>
  <c r="Q2100" i="12"/>
  <c r="Q328" i="12"/>
  <c r="Q2872" i="12"/>
  <c r="Q2982" i="12"/>
  <c r="Q1034" i="12"/>
  <c r="Q2034" i="12"/>
  <c r="Q1724" i="12"/>
  <c r="Q2870" i="12"/>
  <c r="Q3135" i="12"/>
  <c r="Q2555" i="12"/>
  <c r="Q784" i="12"/>
  <c r="Q3213" i="12"/>
  <c r="Q2759" i="12"/>
  <c r="Q1929" i="12"/>
  <c r="Q281" i="12"/>
  <c r="Q2375" i="12"/>
  <c r="Q1481" i="12"/>
  <c r="Q1136" i="12"/>
  <c r="Q2687" i="12"/>
  <c r="Q49" i="12"/>
  <c r="Q440" i="12"/>
  <c r="Q2042" i="12"/>
  <c r="Q689" i="12"/>
  <c r="Q1160" i="12"/>
  <c r="Q392" i="12"/>
  <c r="Q753" i="12"/>
  <c r="Q722" i="12"/>
  <c r="Q822" i="12"/>
  <c r="Q3537" i="12"/>
  <c r="Q1999" i="12"/>
  <c r="Q2959" i="12"/>
  <c r="Q587" i="12"/>
  <c r="Q876" i="12"/>
  <c r="Q1478" i="12"/>
  <c r="Q3006" i="12"/>
  <c r="Q1690" i="12"/>
  <c r="Q1993" i="12"/>
  <c r="Q1694" i="12"/>
  <c r="Q1459" i="12"/>
  <c r="Q1042" i="12"/>
  <c r="Q2473" i="12"/>
  <c r="Q691" i="12"/>
  <c r="Q299" i="12"/>
  <c r="Q1649" i="12"/>
  <c r="Q2322" i="12"/>
  <c r="Q1872" i="12"/>
  <c r="Q3505" i="12"/>
  <c r="Q568" i="12"/>
  <c r="Q2246" i="12"/>
  <c r="Q3193" i="12"/>
  <c r="Q3379" i="12"/>
  <c r="Q1912" i="12"/>
  <c r="Q3214" i="12"/>
  <c r="Q531" i="12"/>
  <c r="Q3536" i="12"/>
  <c r="Q3140" i="12"/>
  <c r="Q3224" i="12"/>
  <c r="Q2374" i="12"/>
  <c r="Q2102" i="12"/>
  <c r="Q2772" i="12"/>
  <c r="Q2148" i="12"/>
  <c r="Q398" i="12"/>
  <c r="Q210" i="12"/>
  <c r="Q3448" i="12"/>
  <c r="Q2694" i="12"/>
  <c r="Q1101" i="12"/>
  <c r="Q3190" i="12"/>
  <c r="Q1429" i="12"/>
  <c r="Q3303" i="12"/>
  <c r="Q2992" i="12"/>
  <c r="Q394" i="12"/>
  <c r="Q2411" i="12"/>
  <c r="Q2600" i="12"/>
  <c r="Q2199" i="12"/>
  <c r="Q862" i="12"/>
  <c r="Q622" i="12"/>
  <c r="Q590" i="12"/>
  <c r="Q3290" i="12"/>
  <c r="Q1985" i="12"/>
  <c r="Q1968" i="12"/>
  <c r="Q1556" i="12"/>
  <c r="Q666" i="12"/>
  <c r="Q312" i="12"/>
  <c r="Q3318" i="12"/>
  <c r="Q3197" i="12"/>
  <c r="Q311" i="12"/>
  <c r="Q734" i="12"/>
  <c r="Q1549" i="12"/>
  <c r="Q1122" i="12"/>
  <c r="Q743" i="12"/>
  <c r="Q2303" i="12"/>
  <c r="Q2645" i="12"/>
  <c r="Q905" i="12"/>
  <c r="Q688" i="12"/>
  <c r="Q931" i="12"/>
  <c r="Q2496" i="12"/>
  <c r="Q3074" i="12"/>
  <c r="Q2138" i="12"/>
  <c r="Q874" i="12"/>
  <c r="Q2784" i="12"/>
  <c r="Q117" i="12"/>
  <c r="Q2393" i="12"/>
  <c r="Q104" i="12"/>
  <c r="Q226" i="12"/>
  <c r="Q3425" i="12"/>
  <c r="Q2896" i="12"/>
  <c r="Q1566" i="12"/>
  <c r="Q839" i="12"/>
  <c r="Q3306" i="12"/>
  <c r="Q2615" i="12"/>
  <c r="Q885" i="12"/>
  <c r="Q3372" i="12"/>
  <c r="Q3283" i="12"/>
  <c r="Q632" i="12"/>
  <c r="Q1400" i="12"/>
  <c r="Q140" i="12"/>
  <c r="Q3307" i="12"/>
  <c r="Q3499" i="12"/>
  <c r="Q3075" i="12"/>
  <c r="Q733" i="12"/>
  <c r="Q2319" i="12"/>
  <c r="Q2857" i="12"/>
  <c r="Q2373" i="12"/>
  <c r="Q2266" i="12"/>
  <c r="Q3437" i="12"/>
  <c r="Q2218" i="12"/>
  <c r="Q872" i="12"/>
  <c r="Q2980" i="12"/>
  <c r="Q1930" i="12"/>
  <c r="Q1873" i="12"/>
  <c r="Q1485" i="12"/>
  <c r="Q1414" i="12"/>
  <c r="Q74" i="12"/>
  <c r="Q978" i="12"/>
  <c r="Q1540" i="12"/>
  <c r="Q422" i="12"/>
  <c r="Q2306" i="12"/>
  <c r="Q1214" i="12"/>
  <c r="Q1053" i="12"/>
  <c r="Q1577" i="12"/>
  <c r="Q3082" i="12"/>
  <c r="Q375" i="12"/>
  <c r="Q1966" i="12"/>
  <c r="Q3510" i="12"/>
  <c r="Q1185" i="12"/>
  <c r="Q1177" i="12"/>
  <c r="Q1736" i="12"/>
  <c r="Q2493" i="12"/>
  <c r="Q783" i="12"/>
  <c r="Q1276" i="12"/>
  <c r="Q213" i="12"/>
  <c r="Q3294" i="12"/>
  <c r="Q208" i="12"/>
  <c r="Q2879" i="12"/>
  <c r="Q1844" i="12"/>
  <c r="Q3233" i="12"/>
  <c r="Q3199" i="12"/>
  <c r="Q820" i="12"/>
  <c r="Q247" i="12"/>
  <c r="Q167" i="12"/>
  <c r="Q2007" i="12"/>
  <c r="Q120" i="12"/>
  <c r="Q1755" i="12"/>
  <c r="Q3456" i="12"/>
  <c r="Q2051" i="12"/>
  <c r="Q3012" i="12"/>
  <c r="Q3146" i="12"/>
  <c r="Q96" i="12"/>
  <c r="Q3126" i="12"/>
  <c r="Q1910" i="12"/>
  <c r="Q3501" i="12"/>
  <c r="Q3157" i="12"/>
  <c r="Q3513" i="12"/>
  <c r="Q1125" i="12"/>
  <c r="Q894" i="12"/>
  <c r="Q1137" i="12"/>
  <c r="Q2868" i="12"/>
  <c r="Q2632" i="12"/>
  <c r="Q2993" i="12"/>
  <c r="Q283" i="12"/>
  <c r="Q199" i="12"/>
  <c r="Q1474" i="12"/>
  <c r="Q2273" i="12"/>
  <c r="Q87" i="12"/>
  <c r="Q1473" i="12"/>
  <c r="Q1280" i="12"/>
  <c r="Q979" i="12"/>
  <c r="Q1558" i="12"/>
  <c r="Q3353" i="12"/>
  <c r="Q3284" i="12"/>
  <c r="Q3358" i="12"/>
  <c r="Q1420" i="12"/>
  <c r="Q1112" i="12"/>
  <c r="Q637" i="12"/>
  <c r="Q3154" i="12"/>
  <c r="Q1211" i="12"/>
  <c r="Q361" i="12"/>
  <c r="Q1054" i="12"/>
  <c r="Q3087" i="12"/>
  <c r="Q1278" i="12"/>
  <c r="Q3364" i="12"/>
  <c r="Q1546" i="12"/>
  <c r="Q2798" i="12"/>
  <c r="Q433" i="12"/>
  <c r="Q1768" i="12"/>
  <c r="Q1172" i="12"/>
  <c r="Q930" i="12"/>
  <c r="Q3387" i="12"/>
  <c r="Q2975" i="12"/>
  <c r="Q971" i="12"/>
  <c r="Q2765" i="12"/>
  <c r="Q3302" i="12"/>
  <c r="Q1590" i="12"/>
  <c r="Q3172" i="12"/>
  <c r="Q460" i="12"/>
  <c r="Q1958" i="12"/>
  <c r="Q2790" i="12"/>
  <c r="Q1926" i="12"/>
  <c r="Q2410" i="12"/>
  <c r="Q1712" i="12"/>
  <c r="Q1245" i="12"/>
  <c r="Q1529" i="12"/>
  <c r="Q3054" i="12"/>
  <c r="Q1735" i="12"/>
  <c r="Q3179" i="12"/>
  <c r="Q726" i="12"/>
  <c r="Q1120" i="12"/>
  <c r="Q2108" i="12"/>
  <c r="Q787" i="12"/>
  <c r="Q348" i="12"/>
  <c r="Q2195" i="12"/>
  <c r="Q2168" i="12"/>
  <c r="Q1331" i="12"/>
  <c r="Q2846" i="12"/>
  <c r="Q131" i="12"/>
  <c r="Q1443" i="12"/>
  <c r="Q1075" i="12"/>
  <c r="Q1962" i="12"/>
  <c r="Q483" i="12"/>
  <c r="Q276" i="12"/>
  <c r="Q495" i="12"/>
  <c r="Q2623" i="12"/>
  <c r="Q3273" i="12"/>
  <c r="Q1678" i="12"/>
  <c r="Q881" i="12"/>
  <c r="Q716" i="12"/>
  <c r="Q612" i="12"/>
  <c r="Q1367" i="12"/>
  <c r="Q1230" i="12"/>
  <c r="Q535" i="12"/>
  <c r="Q2715" i="12"/>
  <c r="Q655" i="12"/>
  <c r="Q2064" i="12"/>
  <c r="Q396" i="12"/>
  <c r="Q377" i="12"/>
  <c r="Q343" i="12"/>
  <c r="Q3443" i="12"/>
  <c r="Q3177" i="12"/>
  <c r="Q683" i="12"/>
  <c r="Q1050" i="12"/>
  <c r="Q2807" i="12"/>
  <c r="Q2297" i="12"/>
  <c r="Q786" i="12"/>
  <c r="Q1391" i="12"/>
  <c r="Q1875" i="12"/>
  <c r="Q1614" i="12"/>
  <c r="Q3345" i="12"/>
  <c r="Q1413" i="12"/>
  <c r="Q3084" i="12"/>
  <c r="Q748" i="12"/>
  <c r="Q3108" i="12"/>
  <c r="Q31" i="12"/>
  <c r="Q2930" i="12"/>
  <c r="Q1683" i="12"/>
  <c r="Q2665" i="12"/>
  <c r="Q46" i="12"/>
  <c r="Q2191" i="12"/>
  <c r="Q904" i="12"/>
  <c r="Q2708" i="12"/>
  <c r="Q2304" i="12"/>
  <c r="Q2075" i="12"/>
  <c r="Q3517" i="12"/>
  <c r="Q3546" i="12"/>
  <c r="Q53" i="12"/>
  <c r="Q2534" i="12"/>
  <c r="Q1598" i="12"/>
  <c r="Q2487" i="12"/>
  <c r="Q694" i="12"/>
  <c r="Q2616" i="12"/>
  <c r="Q1794" i="12"/>
  <c r="Q3424" i="12"/>
  <c r="Q1595" i="12"/>
  <c r="Q1229" i="12"/>
  <c r="Q576" i="12"/>
  <c r="Q2586" i="12"/>
  <c r="Q1805" i="12"/>
  <c r="Q1944" i="12"/>
  <c r="Q2024" i="12"/>
  <c r="Q1059" i="12"/>
  <c r="Q1619" i="12"/>
  <c r="Q446" i="12"/>
  <c r="Q2730" i="12"/>
  <c r="Q760" i="12"/>
  <c r="Q2720" i="12"/>
  <c r="Q3428" i="12"/>
  <c r="Q2573" i="12"/>
  <c r="Q2277" i="12"/>
  <c r="Q3432" i="12"/>
  <c r="Q2917" i="12"/>
  <c r="Q807" i="12"/>
  <c r="Q182" i="12"/>
  <c r="Q1666" i="12"/>
  <c r="Q3232" i="12"/>
  <c r="Q127" i="12"/>
  <c r="Q2074" i="12"/>
  <c r="Q697" i="12"/>
  <c r="Q3415" i="12"/>
  <c r="Q1510" i="12"/>
  <c r="Q664" i="12"/>
  <c r="Q141" i="12"/>
  <c r="Q2597" i="12"/>
  <c r="Q957" i="12"/>
  <c r="Q939" i="12"/>
  <c r="Q3107" i="12"/>
  <c r="Q305" i="12"/>
  <c r="Q1750" i="12"/>
  <c r="Q227" i="12"/>
  <c r="Q954" i="12"/>
  <c r="Q3378" i="12"/>
  <c r="Q363" i="12"/>
  <c r="Q423" i="12"/>
  <c r="Q1969" i="12"/>
  <c r="Q3491" i="12"/>
  <c r="Q1108" i="12"/>
  <c r="Q2816" i="12"/>
  <c r="Q2490" i="12"/>
  <c r="Q1487" i="12"/>
  <c r="Q2776" i="12"/>
  <c r="Q3259" i="12"/>
  <c r="Q567" i="12"/>
  <c r="Q1007" i="12"/>
  <c r="Q2828" i="12"/>
  <c r="Q1322" i="12"/>
  <c r="Q2163" i="12"/>
  <c r="Q1148" i="12"/>
  <c r="Q2178" i="12"/>
  <c r="Q544" i="12"/>
  <c r="Q3344" i="12"/>
  <c r="Q1319" i="12"/>
  <c r="Q950" i="12"/>
  <c r="Q1749" i="12"/>
  <c r="Q1659" i="12"/>
  <c r="Q2989" i="12"/>
  <c r="Q522" i="12"/>
  <c r="Q2179" i="12"/>
  <c r="Q1521" i="12"/>
  <c r="Q1116" i="12"/>
  <c r="Q2332" i="12"/>
  <c r="Q2983" i="12"/>
  <c r="Q414" i="12"/>
  <c r="Q68" i="12"/>
  <c r="Q2996" i="12"/>
  <c r="Q493" i="12"/>
  <c r="Q3049" i="12"/>
  <c r="Q1038" i="12"/>
  <c r="Q1422" i="12"/>
  <c r="Q2761" i="12"/>
  <c r="Q3208" i="12"/>
  <c r="Q1329" i="12"/>
  <c r="Q1722" i="12"/>
  <c r="Q437" i="12"/>
  <c r="Q1578" i="12"/>
  <c r="Q2079" i="12"/>
  <c r="Q2235" i="12"/>
  <c r="Q1004" i="12"/>
  <c r="Q527" i="12"/>
  <c r="Q1187" i="12"/>
  <c r="Q2965" i="12"/>
  <c r="Q309" i="12"/>
  <c r="Q272" i="12"/>
  <c r="Q2630" i="12"/>
  <c r="Q3426" i="12"/>
  <c r="Q2260" i="12"/>
  <c r="Q1887" i="12"/>
  <c r="Q532" i="12"/>
  <c r="Q1626" i="12"/>
  <c r="Q83" i="12"/>
  <c r="Q2020" i="12"/>
  <c r="Q2142" i="12"/>
  <c r="Q812" i="12"/>
  <c r="Q2956" i="12"/>
  <c r="Q3323" i="12"/>
  <c r="Q2995" i="12"/>
  <c r="Q2587" i="12"/>
  <c r="Q1644" i="12"/>
  <c r="Q554" i="12"/>
  <c r="Q2705" i="12"/>
  <c r="Q294" i="12"/>
  <c r="Q3497" i="12"/>
  <c r="Q1324" i="12"/>
  <c r="Q3201" i="12"/>
  <c r="Q2827" i="12"/>
  <c r="Q731" i="12"/>
  <c r="Q593" i="12"/>
  <c r="Q2022" i="12"/>
  <c r="Q751" i="12"/>
  <c r="Q942" i="12"/>
  <c r="Q2078" i="12"/>
  <c r="Q1193" i="12"/>
  <c r="Q1936" i="12"/>
  <c r="Q2786" i="12"/>
  <c r="Q1381" i="12"/>
  <c r="Q1209" i="12"/>
  <c r="Q2126" i="12"/>
  <c r="Q1435" i="12"/>
  <c r="Q1162" i="12"/>
  <c r="Q194" i="12"/>
  <c r="Q2626" i="12"/>
  <c r="Q782" i="12"/>
  <c r="Q925" i="12"/>
  <c r="Q1840" i="12"/>
  <c r="Q1191" i="12"/>
  <c r="Q2657" i="12"/>
  <c r="Q2643" i="12"/>
  <c r="Q1976" i="12"/>
  <c r="Q229" i="12"/>
  <c r="Q2671" i="12"/>
  <c r="Q1978" i="12"/>
  <c r="Q1354" i="12"/>
  <c r="Q1039" i="12"/>
  <c r="Q1221" i="12"/>
  <c r="Q2461" i="12"/>
  <c r="Q2462" i="12"/>
  <c r="Q618" i="12"/>
  <c r="Q1251" i="12"/>
  <c r="Q2115" i="12"/>
  <c r="Q2136" i="12"/>
  <c r="Q3246" i="12"/>
  <c r="Q73" i="12"/>
  <c r="Q2704" i="12"/>
  <c r="Q1213" i="12"/>
  <c r="Q1685" i="12"/>
  <c r="Q1850" i="12"/>
  <c r="Q2863" i="12"/>
  <c r="Q1186" i="12"/>
  <c r="Q1542" i="12"/>
  <c r="Q604" i="12"/>
  <c r="Q1547" i="12"/>
  <c r="Q2308" i="12"/>
  <c r="Q2250" i="12"/>
  <c r="Q810" i="12"/>
  <c r="Q1854" i="12"/>
  <c r="Q1527" i="12"/>
  <c r="Q1302" i="12"/>
  <c r="Q768" i="12"/>
  <c r="Q710" i="12"/>
  <c r="Q1138" i="12"/>
  <c r="Q1793" i="12"/>
  <c r="Q1990" i="12"/>
  <c r="Q3240" i="12"/>
  <c r="Q3088" i="12"/>
  <c r="Q1361" i="12"/>
  <c r="Q1972" i="12"/>
  <c r="Q1747" i="12"/>
  <c r="Q549" i="12"/>
  <c r="Q2599" i="12"/>
  <c r="Q1573" i="12"/>
  <c r="Q2588" i="12"/>
  <c r="Q3016" i="12"/>
  <c r="Q1559" i="12"/>
  <c r="Q3521" i="12"/>
  <c r="Q2963" i="12"/>
  <c r="Q2040" i="12"/>
  <c r="Q2416" i="12"/>
  <c r="Q241" i="12"/>
  <c r="Q2574" i="12"/>
  <c r="Q2165" i="12"/>
  <c r="Q2388" i="12"/>
  <c r="Q2612" i="12"/>
  <c r="Q1635" i="12"/>
  <c r="Q455" i="12"/>
  <c r="Q3248" i="12"/>
  <c r="Q1739" i="12"/>
  <c r="Q833" i="12"/>
  <c r="Q3408" i="12"/>
  <c r="Q3348" i="12"/>
  <c r="Q3255" i="12"/>
  <c r="Q2551" i="12"/>
  <c r="Q2258" i="12"/>
  <c r="Q2128" i="12"/>
  <c r="Q3038" i="12"/>
  <c r="Q2188" i="12"/>
  <c r="Q847" i="12"/>
  <c r="Q92" i="12"/>
  <c r="Q1482" i="12"/>
  <c r="Q1426" i="12"/>
  <c r="Q113" i="12"/>
  <c r="Q3041" i="12"/>
  <c r="Q2764" i="12"/>
  <c r="Q2267" i="12"/>
  <c r="Q2154" i="12"/>
  <c r="Q2341" i="12"/>
  <c r="Q2262" i="12"/>
  <c r="Q1189" i="12"/>
  <c r="Q1062" i="12"/>
  <c r="Q1890" i="12"/>
  <c r="Q2335" i="12"/>
  <c r="Q1313" i="12"/>
  <c r="Q2646" i="12"/>
  <c r="Q223" i="12"/>
  <c r="Q2793" i="12"/>
  <c r="Q2257" i="12"/>
  <c r="Q1862" i="12"/>
  <c r="Q2184" i="12"/>
  <c r="Q400" i="12"/>
  <c r="Q1576" i="12"/>
  <c r="Q2812" i="12"/>
  <c r="Q3311" i="12"/>
  <c r="Q2639" i="12"/>
  <c r="Q1270" i="12"/>
  <c r="Q1078" i="12"/>
  <c r="Q2866" i="12"/>
  <c r="Q814" i="12"/>
  <c r="Q1163" i="12"/>
  <c r="Q781" i="12"/>
  <c r="Q3148" i="12"/>
  <c r="Q1827" i="12"/>
  <c r="Q34" i="12"/>
  <c r="Q993" i="12"/>
  <c r="Q2088" i="12"/>
  <c r="Q1159" i="12"/>
  <c r="Q23" i="12"/>
  <c r="Q994" i="12"/>
  <c r="Q2889" i="12"/>
  <c r="Q1312" i="12"/>
  <c r="Q125" i="12"/>
  <c r="Q2817" i="12"/>
  <c r="Q2413" i="12"/>
  <c r="Q578" i="12"/>
  <c r="Q1892" i="12"/>
  <c r="Q3493" i="12"/>
  <c r="Q1049" i="12"/>
  <c r="Q2579" i="12"/>
  <c r="Q2513" i="12"/>
  <c r="Q1416" i="12"/>
  <c r="Q2658" i="12"/>
  <c r="Q2985" i="12"/>
  <c r="Q69" i="12"/>
  <c r="Q1218" i="12"/>
  <c r="Q2613" i="12"/>
  <c r="Q3475" i="12"/>
  <c r="Q1625" i="12"/>
  <c r="Q1110" i="12"/>
  <c r="Q2552" i="12"/>
  <c r="Q1306" i="12"/>
  <c r="Q1530" i="12"/>
  <c r="Q2876" i="12"/>
  <c r="Q1181" i="12"/>
  <c r="Q3253" i="12"/>
  <c r="Q2259" i="12"/>
  <c r="Q2562" i="12"/>
  <c r="Q2796" i="12"/>
  <c r="Q1691" i="12"/>
  <c r="Q1267" i="12"/>
  <c r="Q2405" i="12"/>
  <c r="Q235" i="12"/>
  <c r="Q2438" i="12"/>
  <c r="Q3552" i="12"/>
  <c r="Q300" i="12"/>
  <c r="Q573" i="12"/>
  <c r="Q2601" i="12"/>
  <c r="Q958" i="12"/>
  <c r="Q61" i="12"/>
  <c r="Q454" i="12"/>
  <c r="Q1465" i="12"/>
  <c r="Q1673" i="12"/>
  <c r="Q1986" i="12"/>
  <c r="Q718" i="12"/>
  <c r="Q671" i="12"/>
  <c r="Q3414" i="12"/>
  <c r="Q2312" i="12"/>
  <c r="Q2441" i="12"/>
  <c r="Q3329" i="12"/>
  <c r="Q656" i="12"/>
  <c r="Q2864" i="12"/>
  <c r="Q1869" i="12"/>
  <c r="Q1842" i="12"/>
  <c r="Q3237" i="12"/>
  <c r="Q2471" i="12"/>
  <c r="Q1000" i="12"/>
  <c r="Q1374" i="12"/>
  <c r="Q728" i="12"/>
  <c r="Q3401" i="12"/>
  <c r="Q541" i="12"/>
  <c r="Q473" i="12"/>
  <c r="Q114" i="12"/>
  <c r="Q802" i="12"/>
  <c r="Q723" i="12"/>
  <c r="Q1778" i="12"/>
  <c r="Q796" i="12"/>
  <c r="Q3118" i="12"/>
  <c r="Q1620" i="12"/>
  <c r="Q607" i="12"/>
  <c r="Q124" i="12"/>
  <c r="Q3360" i="12"/>
  <c r="Q2161" i="12"/>
  <c r="Q2328" i="12"/>
  <c r="Q3251" i="12"/>
  <c r="Q2313" i="12"/>
  <c r="Q1900" i="12"/>
  <c r="Q3147" i="12"/>
  <c r="Q1605" i="12"/>
  <c r="Q3439" i="12"/>
  <c r="Q296" i="12"/>
  <c r="Q2882" i="12"/>
  <c r="Q2455" i="12"/>
  <c r="Q2135" i="12"/>
  <c r="Q408" i="12"/>
  <c r="Q1783" i="12"/>
  <c r="Q2180" i="12"/>
  <c r="Q149" i="12"/>
  <c r="Q2070" i="12"/>
  <c r="Q2887" i="12"/>
  <c r="Q730" i="12"/>
  <c r="Q1206" i="12"/>
  <c r="Q949" i="12"/>
  <c r="Q2131" i="12"/>
  <c r="Q2602" i="12"/>
  <c r="Q2170" i="12"/>
  <c r="Q1996" i="12"/>
  <c r="Q1154" i="12"/>
  <c r="Q1945" i="12"/>
  <c r="Q1005" i="12"/>
  <c r="Q2366" i="12"/>
  <c r="Q1464" i="12"/>
  <c r="Q1905" i="12"/>
  <c r="Q2353" i="12"/>
  <c r="Q2453" i="12"/>
  <c r="Q1383" i="12"/>
  <c r="Q2090" i="12"/>
  <c r="Q222" i="12"/>
  <c r="Q3134" i="12"/>
  <c r="Q1655" i="12"/>
  <c r="Q2655" i="12"/>
  <c r="Q2095" i="12"/>
  <c r="Q2482" i="12"/>
  <c r="Q654" i="12"/>
  <c r="Q1171" i="12"/>
  <c r="Q698" i="12"/>
  <c r="Q1323" i="12"/>
  <c r="Q121" i="12"/>
  <c r="Q1647" i="12"/>
  <c r="Q1338" i="12"/>
  <c r="Q2046" i="12"/>
  <c r="Q372" i="12"/>
  <c r="Q1799" i="12"/>
  <c r="Q1201" i="12"/>
  <c r="Q2661" i="12"/>
  <c r="Q2289" i="12"/>
  <c r="Q2058" i="12"/>
  <c r="Q1130" i="12"/>
  <c r="Q1941" i="12"/>
  <c r="Q2699" i="12"/>
  <c r="Q2833" i="12"/>
  <c r="Q2516" i="12"/>
  <c r="Q2894" i="12"/>
  <c r="Q2032" i="12"/>
  <c r="Q3463" i="12"/>
  <c r="Q2478" i="12"/>
  <c r="Q2944" i="12"/>
  <c r="Q3256" i="12"/>
  <c r="Q336" i="12"/>
  <c r="Q506" i="12"/>
  <c r="Q1364" i="12"/>
  <c r="Q2853" i="12"/>
  <c r="Q2610" i="12"/>
  <c r="Q897" i="12"/>
  <c r="Q2976" i="12"/>
  <c r="Q1419" i="12"/>
  <c r="Q2014" i="12"/>
  <c r="Q1255" i="12"/>
  <c r="Q2111" i="12"/>
  <c r="Q3128" i="12"/>
  <c r="Q991" i="12"/>
  <c r="Q1203" i="12"/>
  <c r="Q3526" i="12"/>
  <c r="Q1637" i="12"/>
  <c r="Q2524" i="12"/>
  <c r="Q2794" i="12"/>
  <c r="Q2688" i="12"/>
  <c r="Q3220" i="12"/>
  <c r="Q135" i="12"/>
  <c r="Q2080" i="12"/>
  <c r="Q1080" i="12"/>
  <c r="Q447" i="12"/>
  <c r="Q1458" i="12"/>
  <c r="Q383" i="12"/>
  <c r="Q3516" i="12"/>
  <c r="Q232" i="12"/>
  <c r="Q856" i="12"/>
  <c r="Q3446" i="12"/>
  <c r="Q132" i="12"/>
  <c r="Q1816" i="12"/>
  <c r="Q3462" i="12"/>
  <c r="Q2354" i="12"/>
  <c r="Q191" i="12"/>
  <c r="Q2349" i="12"/>
  <c r="Q2270" i="12"/>
  <c r="Q3430" i="12"/>
  <c r="Q170" i="12"/>
  <c r="Q322" i="12"/>
  <c r="Q239" i="12"/>
  <c r="Q2302" i="12"/>
  <c r="Q1452" i="12"/>
  <c r="Q974" i="12"/>
  <c r="Q1451" i="12"/>
  <c r="Q945" i="12"/>
  <c r="Q1261" i="12"/>
  <c r="Q1386" i="12"/>
  <c r="Q1129" i="12"/>
  <c r="Q143" i="12"/>
  <c r="Q1609" i="12"/>
  <c r="Q3346" i="12"/>
  <c r="Q1642" i="12"/>
  <c r="Q2396" i="12"/>
  <c r="Q3287" i="12"/>
  <c r="Q137" i="12"/>
  <c r="Q584" i="12"/>
  <c r="Q3544" i="12"/>
  <c r="Q3114" i="12"/>
  <c r="Q3285" i="12"/>
  <c r="Q1480" i="12"/>
  <c r="Q298" i="12"/>
  <c r="Q984" i="12"/>
  <c r="Q1200" i="12"/>
  <c r="Q1885" i="12"/>
  <c r="Q962" i="12"/>
  <c r="Q3341" i="12"/>
  <c r="Q2427" i="12"/>
  <c r="Q704" i="12"/>
  <c r="Q424" i="12"/>
  <c r="Q1450" i="12"/>
  <c r="Q592" i="12"/>
  <c r="Q443" i="12"/>
  <c r="Q2511" i="12"/>
  <c r="Q1843" i="12"/>
  <c r="Q1608" i="12"/>
  <c r="Q1716" i="12"/>
  <c r="Q3136" i="12"/>
  <c r="Q2458" i="12"/>
  <c r="Q1327" i="12"/>
  <c r="Q1835" i="12"/>
  <c r="Q2908" i="12"/>
  <c r="Q2507" i="12"/>
  <c r="Q3423" i="12"/>
  <c r="Q1692" i="12"/>
  <c r="Q2544" i="12"/>
  <c r="Q679" i="12"/>
  <c r="Q556" i="12"/>
  <c r="Q105" i="12"/>
  <c r="Q1018" i="12"/>
  <c r="Q479" i="12"/>
  <c r="Q2932" i="12"/>
  <c r="Q2925" i="12"/>
  <c r="Q2663" i="12"/>
  <c r="Q1393" i="12"/>
  <c r="Q703" i="12"/>
  <c r="Q2459" i="12"/>
  <c r="Q381" i="12"/>
  <c r="Q1152" i="12"/>
  <c r="Q2121" i="12"/>
  <c r="Q2173" i="12"/>
  <c r="Q1076" i="12"/>
  <c r="Q1102" i="12"/>
  <c r="Q1738" i="12"/>
  <c r="Q2942" i="12"/>
  <c r="Q95" i="12"/>
  <c r="Q2225" i="12"/>
  <c r="Q2234" i="12"/>
  <c r="Q458" i="12"/>
  <c r="Q2673" i="12"/>
  <c r="Q326" i="12"/>
  <c r="Q2990" i="12"/>
  <c r="Q2386" i="12"/>
  <c r="Q1407" i="12"/>
  <c r="Q393" i="12"/>
  <c r="Q3300" i="12"/>
  <c r="Q2954" i="12"/>
  <c r="Q150" i="12"/>
  <c r="Q921" i="12"/>
  <c r="Q3543" i="12"/>
  <c r="Q2500" i="12"/>
  <c r="Q1365" i="12"/>
  <c r="Q3194" i="12"/>
  <c r="Q2437" i="12"/>
  <c r="Q220" i="12"/>
  <c r="Q2901" i="12"/>
  <c r="Q100" i="12"/>
  <c r="Q2620" i="12"/>
  <c r="Q1166" i="12"/>
  <c r="Q1084" i="12"/>
  <c r="Q3150" i="12"/>
  <c r="Q2232" i="12"/>
  <c r="Q2594" i="12"/>
  <c r="Q3384" i="12"/>
  <c r="Q174" i="12"/>
  <c r="Q1363" i="12"/>
  <c r="Q3355" i="12"/>
  <c r="Q727" i="12"/>
  <c r="Q1061" i="12"/>
  <c r="Q2192" i="12"/>
  <c r="Q2800" i="12"/>
  <c r="Q1098" i="12"/>
  <c r="Q525" i="12"/>
  <c r="Q3161" i="12"/>
  <c r="Q1746" i="12"/>
  <c r="Q1199" i="12"/>
  <c r="Q719" i="12"/>
  <c r="Q426" i="12"/>
  <c r="Q648" i="12"/>
  <c r="Q923" i="12"/>
  <c r="Q3509" i="12"/>
  <c r="Q3116" i="12"/>
  <c r="Q1679" i="12"/>
  <c r="Q651" i="12"/>
  <c r="Q2502" i="12"/>
  <c r="Q1356" i="12"/>
  <c r="Q909" i="12"/>
  <c r="Q717" i="12"/>
  <c r="Q560" i="12"/>
  <c r="Q2669" i="12"/>
  <c r="Q463" i="12"/>
  <c r="Q3272" i="12"/>
  <c r="Q1774" i="12"/>
  <c r="Q1568" i="12"/>
  <c r="Q1334" i="12"/>
  <c r="Q1597" i="12"/>
  <c r="Q2675" i="12"/>
  <c r="Q2356" i="12"/>
  <c r="Q811" i="12"/>
  <c r="Q195" i="12"/>
  <c r="Q1350" i="12"/>
  <c r="Q3442" i="12"/>
  <c r="Q1744" i="12"/>
  <c r="Q553" i="12"/>
  <c r="Q184" i="12"/>
  <c r="Q246" i="12"/>
  <c r="Q3056" i="12"/>
  <c r="Q2766" i="12"/>
  <c r="Q1870" i="12"/>
  <c r="Q1526" i="12"/>
  <c r="Q2819" i="12"/>
  <c r="Q261" i="12"/>
  <c r="Q368" i="12"/>
  <c r="Q3085" i="12"/>
  <c r="Q1379" i="12"/>
  <c r="Q1960" i="12"/>
  <c r="Q3076" i="12"/>
  <c r="Q218" i="12"/>
  <c r="Q215" i="12"/>
  <c r="Q2340" i="12"/>
  <c r="Q1235" i="12"/>
  <c r="Q552" i="12"/>
  <c r="Q533" i="12"/>
  <c r="Q500" i="12"/>
  <c r="Q3471" i="12"/>
  <c r="Q2968" i="12"/>
  <c r="Q1544" i="12"/>
  <c r="Q1032" i="12"/>
  <c r="Q3162" i="12"/>
  <c r="Q269" i="12"/>
  <c r="Q2969" i="12"/>
  <c r="Q1607" i="12"/>
  <c r="Q2531" i="12"/>
  <c r="Q1466" i="12"/>
  <c r="Q1268" i="12"/>
  <c r="Q1023" i="12"/>
  <c r="Q2844" i="12"/>
  <c r="Q662" i="12"/>
  <c r="Q1476" i="12"/>
  <c r="Q421" i="12"/>
  <c r="Q1693" i="12"/>
  <c r="Q838" i="12"/>
  <c r="Q975" i="12"/>
  <c r="Q1036" i="12"/>
  <c r="Q3487" i="12"/>
  <c r="Q2653" i="12"/>
  <c r="Q21" i="12"/>
  <c r="Q2660" i="12"/>
  <c r="Q1113" i="12"/>
  <c r="Q937" i="12"/>
  <c r="Q1438" i="12"/>
  <c r="Q3174" i="12"/>
  <c r="Q2777" i="12"/>
  <c r="Q1406" i="12"/>
  <c r="Q2971" i="12"/>
  <c r="Q2910" i="12"/>
  <c r="Q2789" i="12"/>
  <c r="Q1285" i="12"/>
  <c r="Q2851" i="12"/>
  <c r="Q3542" i="12"/>
  <c r="Q1766" i="12"/>
  <c r="Q2638" i="12"/>
  <c r="Q1442" i="12"/>
  <c r="Q1355" i="12"/>
  <c r="Q415" i="12"/>
  <c r="Q2175" i="12"/>
  <c r="Q2988" i="12"/>
  <c r="Q197" i="12"/>
  <c r="Q2210" i="12"/>
  <c r="Q2475" i="12"/>
  <c r="Q701" i="12"/>
  <c r="Q3551" i="12"/>
  <c r="Q2229" i="12"/>
  <c r="Q935" i="12"/>
  <c r="Q2822" i="12"/>
  <c r="Q2029" i="12"/>
  <c r="Q1469" i="12"/>
  <c r="Q836" i="12"/>
  <c r="Q38" i="12"/>
  <c r="Q2294" i="12"/>
  <c r="Q2164" i="12"/>
  <c r="Q2053" i="12"/>
  <c r="Q2614" i="12"/>
  <c r="Q3395" i="12"/>
  <c r="Q1881" i="12"/>
  <c r="Q1776" i="12"/>
  <c r="Q176" i="12"/>
  <c r="Q526" i="12"/>
  <c r="Q1236" i="12"/>
  <c r="Q1395" i="12"/>
  <c r="Q855" i="12"/>
  <c r="Q1289" i="12"/>
  <c r="Q1444" i="12"/>
  <c r="Q736" i="12"/>
  <c r="Q2760" i="12"/>
  <c r="Q2248" i="12"/>
  <c r="Q2483" i="12"/>
  <c r="Q3460" i="12"/>
  <c r="Q1048" i="12"/>
  <c r="Q1811" i="12"/>
  <c r="Q1217" i="12"/>
  <c r="Q1664" i="12"/>
  <c r="Q1180" i="12"/>
  <c r="Q445" i="12"/>
  <c r="Q357" i="12"/>
  <c r="Q1828" i="12"/>
  <c r="Q2848" i="12"/>
  <c r="Q286" i="12"/>
  <c r="Q116" i="12"/>
  <c r="Q1728" i="12"/>
  <c r="Q1971" i="12"/>
  <c r="Q2928" i="12"/>
  <c r="Q1624" i="12"/>
  <c r="Q2129" i="12"/>
  <c r="Q3025" i="12"/>
  <c r="Q2208" i="12"/>
  <c r="Q373" i="12"/>
  <c r="Q233" i="12"/>
  <c r="Q335" i="12"/>
  <c r="Q1630" i="12"/>
  <c r="Q1924" i="12"/>
  <c r="Q334" i="12"/>
  <c r="Q778" i="12"/>
  <c r="Q3484" i="12"/>
  <c r="Q2382" i="12"/>
  <c r="Q2724" i="12"/>
  <c r="Q3064" i="12"/>
  <c r="Q1897" i="12"/>
  <c r="Q1856" i="12"/>
  <c r="Q884" i="12"/>
  <c r="Q2324" i="12"/>
  <c r="Q605" i="12"/>
  <c r="Q2945" i="12"/>
  <c r="Q1825" i="12"/>
  <c r="Q681" i="12"/>
  <c r="Q3092" i="12"/>
  <c r="Q3337" i="12"/>
  <c r="Q2093" i="12"/>
  <c r="Q2159" i="12"/>
  <c r="Q773" i="12"/>
  <c r="Q389" i="12"/>
  <c r="Q2892" i="12"/>
  <c r="Q616" i="12"/>
  <c r="Q1222" i="12"/>
  <c r="Q2089" i="12"/>
  <c r="Q981" i="12"/>
  <c r="Q2417" i="12"/>
  <c r="Q461" i="12"/>
  <c r="Q2274" i="12"/>
  <c r="Q1333" i="12"/>
  <c r="Q927" i="12"/>
  <c r="Q2252" i="12"/>
  <c r="Q2717" i="12"/>
  <c r="Q1047" i="12"/>
  <c r="Q808" i="12"/>
  <c r="Q55" i="12"/>
  <c r="Q2706" i="12"/>
  <c r="Q502" i="12"/>
  <c r="Q609" i="12"/>
  <c r="Q3455" i="12"/>
  <c r="Q2938" i="12"/>
  <c r="Q3151" i="12"/>
  <c r="Q2359" i="12"/>
  <c r="Q2953" i="12"/>
  <c r="Q692" i="12"/>
  <c r="Q959" i="12"/>
  <c r="Q2001" i="12"/>
  <c r="Q2997" i="12"/>
  <c r="Q3143" i="12"/>
  <c r="Q2057" i="12"/>
  <c r="Q2345" i="12"/>
  <c r="Q2300" i="12"/>
  <c r="Q1670" i="12"/>
  <c r="Q403" i="12"/>
  <c r="Q2533" i="12"/>
  <c r="Q1575" i="12"/>
  <c r="Q484" i="12"/>
  <c r="Q252" i="12"/>
  <c r="Q1662" i="12"/>
  <c r="Q2905" i="12"/>
  <c r="Q2059" i="12"/>
  <c r="Q824" i="12"/>
  <c r="Q340" i="12"/>
  <c r="Q3032" i="12"/>
  <c r="Q238" i="12"/>
  <c r="Q1822" i="12"/>
  <c r="Q2751" i="12"/>
  <c r="Q932" i="12"/>
  <c r="Q2073" i="12"/>
  <c r="Q2256" i="12"/>
  <c r="Q964" i="12"/>
  <c r="Q1035" i="12"/>
  <c r="Q1817" i="12"/>
  <c r="Q253" i="12"/>
  <c r="Q2044" i="12"/>
  <c r="Q2522" i="12"/>
  <c r="Q1133" i="12"/>
  <c r="Q2009" i="12"/>
  <c r="Q1661" i="12"/>
  <c r="Q1859" i="12"/>
  <c r="Q3336" i="12"/>
  <c r="Q236" i="12"/>
  <c r="Q2978" i="12"/>
  <c r="Q3374" i="12"/>
  <c r="Q367" i="12"/>
  <c r="Q2464" i="12"/>
  <c r="Q2723" i="12"/>
  <c r="Q1948" i="12"/>
  <c r="Q78" i="12"/>
  <c r="Q44" i="12"/>
  <c r="Q492" i="12"/>
  <c r="Q3390" i="12"/>
  <c r="Q1656" i="12"/>
  <c r="Q2391" i="12"/>
  <c r="Q379" i="12"/>
  <c r="Q1234" i="12"/>
  <c r="Q1632" i="12"/>
  <c r="Q2506" i="12"/>
  <c r="Q103" i="12"/>
  <c r="Q615" i="12"/>
  <c r="Q28" i="12"/>
  <c r="Q366" i="12"/>
  <c r="Q274" i="12"/>
  <c r="Q1069" i="12"/>
  <c r="Q1737" i="12"/>
  <c r="Q2628" i="12"/>
  <c r="Q2771" i="12"/>
  <c r="Q1283" i="12"/>
  <c r="Q2081" i="12"/>
  <c r="Q1571" i="12"/>
  <c r="Q2726" i="12"/>
  <c r="Q1731" i="12"/>
  <c r="Q849" i="12"/>
  <c r="Q3200" i="12"/>
  <c r="Q906" i="12"/>
  <c r="Q93" i="12"/>
  <c r="Q3268" i="12"/>
  <c r="Q3472" i="12"/>
  <c r="Q713" i="12"/>
  <c r="Q2143" i="12"/>
  <c r="Q1820" i="12"/>
  <c r="Q342" i="12"/>
  <c r="Q216" i="12"/>
  <c r="Q2432" i="12"/>
  <c r="Q1046" i="12"/>
  <c r="Q267" i="12"/>
  <c r="Q1441" i="12"/>
  <c r="Q1303" i="12"/>
  <c r="Q1077" i="12"/>
  <c r="Q3001" i="12"/>
  <c r="Q3119" i="12"/>
  <c r="Q2670" i="12"/>
  <c r="Q1846" i="12"/>
  <c r="Q3051" i="12"/>
  <c r="Q3181" i="12"/>
  <c r="Q708" i="12"/>
  <c r="Q1262" i="12"/>
  <c r="Q1770" i="12"/>
  <c r="Q2469" i="12"/>
  <c r="Q1184" i="12"/>
  <c r="Q1243" i="12"/>
  <c r="Q172" i="12"/>
  <c r="Q3333" i="12"/>
  <c r="Q1472" i="12"/>
  <c r="Q1909" i="12"/>
  <c r="Q3291" i="12"/>
  <c r="Q496" i="12"/>
  <c r="Q452" i="12"/>
  <c r="Q91" i="12"/>
  <c r="Q2821" i="12"/>
  <c r="Q973" i="12"/>
  <c r="Q376" i="12"/>
  <c r="Q2130" i="12"/>
  <c r="Q503" i="12"/>
  <c r="Q1674" i="12"/>
  <c r="Q1388" i="12"/>
  <c r="Q244" i="12"/>
  <c r="Q1100" i="12"/>
  <c r="Q354" i="12"/>
  <c r="Q1194" i="12"/>
  <c r="Q406" i="12"/>
  <c r="Q3488" i="12"/>
  <c r="Q1335" i="12"/>
  <c r="Q865" i="12"/>
  <c r="Q2421" i="12"/>
  <c r="Q2838" i="12"/>
  <c r="Q2114" i="12"/>
  <c r="Q3397" i="12"/>
  <c r="Q3229" i="12"/>
  <c r="Q2343" i="12"/>
  <c r="Q3260" i="12"/>
  <c r="Q1940" i="12"/>
  <c r="Q177" i="12"/>
  <c r="Q907" i="12"/>
  <c r="Q387" i="12"/>
  <c r="Q3371" i="12"/>
  <c r="Q1033" i="12"/>
  <c r="Q2824" i="12"/>
  <c r="Q3093" i="12"/>
  <c r="Q2355" i="12"/>
  <c r="Q2092" i="12"/>
  <c r="Q1874" i="12"/>
  <c r="Q2104" i="12"/>
  <c r="Q770" i="12"/>
  <c r="Q482" i="12"/>
  <c r="Q1684" i="12"/>
  <c r="Q759" i="12"/>
  <c r="Q1015" i="12"/>
  <c r="Q2118" i="12"/>
  <c r="Q988" i="12"/>
  <c r="Q1631" i="12"/>
  <c r="Q3362" i="12"/>
  <c r="Q3347" i="12"/>
  <c r="Q1348" i="12"/>
  <c r="Q3535" i="12"/>
  <c r="Q2323" i="12"/>
  <c r="Q188" i="12"/>
  <c r="Q207" i="12"/>
  <c r="Q3547" i="12"/>
  <c r="Q3191" i="12"/>
  <c r="Q1425" i="12"/>
  <c r="Q1501" i="12"/>
  <c r="Q2991" i="12"/>
  <c r="Q19" i="12"/>
  <c r="Q859" i="12"/>
  <c r="Q3015" i="12"/>
  <c r="Q2542" i="12"/>
  <c r="Q27" i="12"/>
  <c r="Q3160" i="12"/>
  <c r="Q2283" i="12"/>
  <c r="Q180" i="12"/>
  <c r="Q2862" i="12"/>
  <c r="Q1522" i="12"/>
  <c r="Q850" i="12"/>
  <c r="Q2514" i="12"/>
  <c r="Q2631" i="12"/>
  <c r="Q3468" i="12"/>
  <c r="Q3504" i="12"/>
  <c r="Q3245" i="12"/>
  <c r="Q2756" i="12"/>
  <c r="Q268" i="12"/>
  <c r="Q1132" i="12"/>
  <c r="Q771" i="12"/>
  <c r="Q2845" i="12"/>
  <c r="Q1708" i="12"/>
  <c r="Q2521" i="12"/>
  <c r="Q1998" i="12"/>
  <c r="Q456" i="12"/>
  <c r="Q1025" i="12"/>
  <c r="Q1942" i="12"/>
  <c r="Q3394" i="12"/>
  <c r="Q1467" i="12"/>
  <c r="Q861" i="12"/>
  <c r="Q2569" i="12"/>
  <c r="Q178" i="12"/>
  <c r="Q2292" i="12"/>
  <c r="Q1974" i="12"/>
  <c r="Q2004" i="12"/>
  <c r="Q572" i="12"/>
  <c r="Q2183" i="12"/>
  <c r="Q1676" i="12"/>
  <c r="Q1353" i="12"/>
  <c r="Q2361" i="12"/>
  <c r="Q2228" i="12"/>
  <c r="Q264" i="12"/>
  <c r="Q3492" i="12"/>
  <c r="Q2592" i="12"/>
  <c r="Q866" i="12"/>
  <c r="Q583" i="12"/>
  <c r="Q2523" i="12"/>
  <c r="Q1170" i="12"/>
  <c r="Q1412" i="12"/>
  <c r="Q464" i="12"/>
  <c r="Q1601" i="12"/>
  <c r="Q663" i="12"/>
  <c r="Q3533" i="12"/>
  <c r="Q51" i="12"/>
  <c r="Q2385" i="12"/>
  <c r="Q285" i="12"/>
  <c r="Q1517" i="12"/>
  <c r="Q840" i="12"/>
  <c r="Q3024" i="12"/>
  <c r="Q3418" i="12"/>
  <c r="Q2584" i="12"/>
  <c r="Q3398" i="12"/>
  <c r="Q1318" i="12"/>
  <c r="Q1904" i="12"/>
  <c r="Q1780" i="12"/>
  <c r="Q2510" i="12"/>
  <c r="Q1992" i="12"/>
  <c r="Q1982" i="12"/>
  <c r="Q1242" i="12"/>
  <c r="Q1275" i="12"/>
  <c r="Q844" i="12"/>
  <c r="Q1911" i="12"/>
  <c r="Q1256" i="12"/>
  <c r="Q1917" i="12"/>
  <c r="Q1955" i="12"/>
  <c r="Q2564" i="12"/>
  <c r="Q2835" i="12"/>
  <c r="Q3441" i="12"/>
  <c r="Q2809" i="12"/>
  <c r="Q1563" i="12"/>
  <c r="Q3508" i="12"/>
  <c r="Q192" i="12"/>
  <c r="Q1706" i="12"/>
  <c r="Q675" i="12"/>
  <c r="Q3522" i="12"/>
  <c r="Q3280" i="12"/>
  <c r="Q101" i="12"/>
  <c r="Q2696" i="12"/>
  <c r="Q2946" i="12"/>
  <c r="Q1026" i="12"/>
  <c r="Q1810" i="12"/>
  <c r="Q2465" i="12"/>
  <c r="Q3052" i="12"/>
  <c r="Q3235" i="12"/>
  <c r="Q3008" i="12"/>
  <c r="Q1107" i="12"/>
  <c r="Q259" i="12"/>
  <c r="Q1321" i="12"/>
  <c r="Q2634" i="12"/>
  <c r="Q1877" i="12"/>
  <c r="Q173" i="12"/>
  <c r="Q2189" i="12"/>
  <c r="Q1064" i="12"/>
  <c r="Q828" i="12"/>
  <c r="Q3062" i="12"/>
  <c r="Q1702" i="12"/>
  <c r="Q600" i="12"/>
  <c r="Q295" i="12"/>
  <c r="Q933" i="12"/>
  <c r="Q1613" i="12"/>
  <c r="Q1390" i="12"/>
  <c r="Q1594" i="12"/>
  <c r="Q2372" i="12"/>
  <c r="Q2943" i="12"/>
  <c r="Q3019" i="12"/>
  <c r="Q1949" i="12"/>
  <c r="Q1916" i="12"/>
  <c r="Q1680" i="12"/>
  <c r="Q2158" i="12"/>
  <c r="Q2747" i="12"/>
  <c r="Q2890" i="12"/>
  <c r="Q2429" i="12"/>
  <c r="Q2962" i="12"/>
  <c r="Q3477" i="12"/>
  <c r="Q3113" i="12"/>
  <c r="Q633" i="12"/>
  <c r="Q2691" i="12"/>
  <c r="Q3339" i="12"/>
  <c r="Q1795" i="12"/>
  <c r="Q574" i="12"/>
  <c r="Q1349" i="12"/>
  <c r="Q3478" i="12"/>
  <c r="Q2083" i="12"/>
  <c r="Q1118" i="12"/>
  <c r="Q1372" i="12"/>
  <c r="Q1165" i="12"/>
  <c r="Q47" i="12"/>
  <c r="Q2433" i="12"/>
  <c r="Q346" i="12"/>
  <c r="Q203" i="12"/>
  <c r="Q2951" i="12"/>
  <c r="Q3277" i="12"/>
  <c r="Q146" i="12"/>
  <c r="Q1290" i="12"/>
  <c r="Q586" i="12"/>
  <c r="Q2358" i="12"/>
  <c r="Q3037" i="12"/>
  <c r="Q1150" i="12"/>
  <c r="Q2520" i="12"/>
  <c r="Q597" i="12"/>
  <c r="Q2607" i="12"/>
  <c r="Q1752" i="12"/>
  <c r="Q3324" i="12"/>
  <c r="Q1065" i="12"/>
  <c r="Q2491" i="12"/>
  <c r="Q1495" i="12"/>
  <c r="Q2123" i="12"/>
  <c r="Q2157" i="12"/>
  <c r="Q3454" i="12"/>
  <c r="Q301" i="12"/>
  <c r="Q1369" i="12"/>
  <c r="Q2125" i="12"/>
  <c r="Q2282" i="12"/>
  <c r="Q3230" i="12"/>
  <c r="Q1638" i="12"/>
  <c r="Q1299" i="12"/>
  <c r="Q315" i="12"/>
  <c r="Q1178" i="12"/>
  <c r="Q2823" i="12"/>
  <c r="Q2998" i="12"/>
  <c r="Q155" i="12"/>
  <c r="Q468" i="12"/>
  <c r="Q676" i="12"/>
  <c r="Q910" i="12"/>
  <c r="Q2205" i="12"/>
  <c r="Q1980" i="12"/>
  <c r="Q365" i="12"/>
  <c r="Q2834" i="12"/>
  <c r="Q2596" i="12"/>
  <c r="Q3070" i="12"/>
  <c r="Q589" i="12"/>
  <c r="Q2678" i="12"/>
  <c r="Q3489" i="12"/>
  <c r="Q2030" i="12"/>
  <c r="Q3380" i="12"/>
  <c r="Q1457" i="12"/>
  <c r="Q3020" i="12"/>
  <c r="Q539" i="12"/>
  <c r="Q1111" i="12"/>
  <c r="Q1913" i="12"/>
  <c r="Q3340" i="12"/>
  <c r="Q1020" i="12"/>
  <c r="Q1758" i="12"/>
  <c r="Q3252" i="12"/>
  <c r="Q435" i="12"/>
  <c r="Q1314" i="12"/>
  <c r="Q166" i="12"/>
  <c r="Q1581" i="12"/>
  <c r="Q3242" i="12"/>
  <c r="Q425" i="12"/>
  <c r="Q665" i="12"/>
  <c r="Q2122" i="12"/>
  <c r="Q1987" i="12"/>
  <c r="Q2367" i="12"/>
  <c r="Q969" i="12"/>
  <c r="Q144" i="12"/>
  <c r="Q2529" i="12"/>
  <c r="Q2662" i="12"/>
  <c r="Q754" i="12"/>
  <c r="Q2146" i="12"/>
  <c r="Q3427" i="12"/>
  <c r="Q813" i="12"/>
  <c r="Q2291" i="12"/>
  <c r="Q72" i="12"/>
  <c r="Q2055" i="12"/>
  <c r="Q2445" i="12"/>
  <c r="Q3055" i="12"/>
  <c r="Q3165" i="12"/>
  <c r="Q2561" i="12"/>
  <c r="Q3295" i="12"/>
  <c r="Q2504" i="12"/>
  <c r="Q2425" i="12"/>
  <c r="Q26" i="12"/>
  <c r="Q152" i="12"/>
  <c r="Q992" i="12"/>
  <c r="Q1732" i="12"/>
  <c r="Q3180" i="12"/>
  <c r="Q2681" i="12"/>
  <c r="Q2757" i="12"/>
  <c r="Q2134" i="12"/>
  <c r="Q359" i="12"/>
  <c r="Q3327" i="12"/>
  <c r="Q1797" i="12"/>
  <c r="Q1131" i="12"/>
  <c r="Q963" i="12"/>
  <c r="Q20" i="12"/>
  <c r="Q2736" i="12"/>
  <c r="Q467" i="12"/>
  <c r="Q3530" i="12"/>
  <c r="Q2214" i="12"/>
  <c r="Q1669" i="12"/>
  <c r="Q2223" i="12"/>
  <c r="Q2545" i="12"/>
  <c r="Q2224" i="12"/>
  <c r="Q3271" i="12"/>
  <c r="Q1606" i="12"/>
  <c r="Q1956" i="12"/>
  <c r="Q159" i="12"/>
  <c r="Q2847" i="12"/>
  <c r="Q3361" i="12"/>
  <c r="Q1031" i="12"/>
  <c r="Q2494" i="12"/>
  <c r="Q851" i="12"/>
  <c r="Q772" i="12"/>
  <c r="Q3435" i="12"/>
  <c r="Q3000" i="12"/>
  <c r="Q2508" i="12"/>
  <c r="Q2139" i="12"/>
  <c r="Q491" i="12"/>
  <c r="Q2799" i="12"/>
  <c r="Q2481" i="12"/>
  <c r="Q2369" i="12"/>
  <c r="Q2948" i="12"/>
  <c r="Q1589" i="12"/>
  <c r="Q2015" i="12"/>
  <c r="Q896" i="12"/>
  <c r="Q3292" i="12"/>
  <c r="Q478" i="12"/>
  <c r="Q1357" i="12"/>
  <c r="Q3310" i="12"/>
  <c r="Q450" i="12"/>
  <c r="Q3109" i="12"/>
  <c r="Q1158" i="12"/>
  <c r="Q1387" i="12"/>
  <c r="Q2537" i="12"/>
  <c r="Q2331" i="12"/>
  <c r="Q2745" i="12"/>
  <c r="Q1202" i="12"/>
  <c r="Q2641" i="12"/>
  <c r="Q2406" i="12"/>
  <c r="Q3383" i="12"/>
  <c r="Q2964" i="12"/>
  <c r="Q224" i="12"/>
  <c r="Q841" i="12"/>
  <c r="Q3416" i="12"/>
  <c r="Q474" i="12"/>
  <c r="Q2750" i="12"/>
  <c r="Q1345" i="12"/>
  <c r="Q3117" i="12"/>
  <c r="Q3299" i="12"/>
  <c r="Q2548" i="12"/>
  <c r="Q2541" i="12"/>
  <c r="Q230" i="12"/>
  <c r="Q1554" i="12"/>
  <c r="Q2742" i="12"/>
  <c r="Q882" i="12"/>
  <c r="Q3170" i="12"/>
  <c r="Q1128" i="12"/>
  <c r="Q2852" i="12"/>
  <c r="Q2922" i="12"/>
  <c r="Q1519" i="12"/>
  <c r="Q3142" i="12"/>
  <c r="Q1791" i="12"/>
  <c r="Q1709" i="12"/>
  <c r="Q3289" i="12"/>
  <c r="Q887" i="12"/>
  <c r="Q183" i="12"/>
  <c r="Q639" i="12"/>
  <c r="Q1254" i="12"/>
  <c r="Q3081" i="12"/>
  <c r="Q1121" i="12"/>
  <c r="Q1347" i="12"/>
  <c r="Q1660" i="12"/>
  <c r="Q1491" i="12"/>
  <c r="Q3137" i="12"/>
  <c r="Q2265" i="12"/>
  <c r="Q3264" i="12"/>
  <c r="Q2348" i="12"/>
  <c r="Q1616" i="12"/>
  <c r="Q1839" i="12"/>
  <c r="Q2272" i="12"/>
  <c r="Q2390" i="12"/>
  <c r="Q2668" i="12"/>
  <c r="Q1351" i="12"/>
  <c r="Q649" i="12"/>
  <c r="Q2783" i="12"/>
  <c r="Q2986" i="12"/>
  <c r="Q2593" i="12"/>
  <c r="Q1484" i="12"/>
  <c r="Q2697" i="12"/>
  <c r="Q1220" i="12"/>
  <c r="Q3314" i="12"/>
  <c r="Q386" i="12"/>
  <c r="Q2625" i="12"/>
  <c r="Q699" i="12"/>
  <c r="Q3096" i="12"/>
  <c r="Q1011" i="12"/>
  <c r="Q66" i="12"/>
  <c r="Q2091" i="12"/>
  <c r="Q972" i="12"/>
  <c r="Q2269" i="12"/>
  <c r="Q3410" i="12"/>
  <c r="Q2891" i="12"/>
  <c r="Q3219" i="12"/>
  <c r="Q3534" i="12"/>
  <c r="Q1824" i="12"/>
  <c r="Q1183" i="12"/>
  <c r="Q1603" i="12"/>
  <c r="Q3115" i="12"/>
  <c r="Q1781" i="12"/>
  <c r="Q879" i="12"/>
  <c r="Q596" i="12"/>
  <c r="Q677" i="12"/>
  <c r="Q2251" i="12"/>
  <c r="Q490" i="12"/>
  <c r="Q126" i="12"/>
  <c r="Q2449" i="12"/>
  <c r="Q1550" i="12"/>
  <c r="Q3359" i="12"/>
  <c r="Q2127" i="12"/>
  <c r="Q996" i="12"/>
  <c r="Q1115" i="12"/>
  <c r="Q1591" i="12"/>
  <c r="Q2918" i="12"/>
  <c r="Q219" i="12"/>
  <c r="Q2797" i="12"/>
  <c r="Q1403" i="12"/>
  <c r="Q2420" i="12"/>
  <c r="Q2680" i="12"/>
  <c r="Q3217" i="12"/>
  <c r="Q2916" i="12"/>
  <c r="Q2021" i="12"/>
  <c r="Q1231" i="12"/>
  <c r="Q2387" i="12"/>
  <c r="Q1931" i="12"/>
  <c r="Q2186" i="12"/>
  <c r="Q3040" i="12"/>
  <c r="Q2028" i="12"/>
  <c r="Q2536" i="12"/>
  <c r="Q2791" i="12"/>
  <c r="Q2888" i="12"/>
  <c r="Q3523" i="12"/>
  <c r="Q370" i="12"/>
  <c r="Q3132" i="12"/>
  <c r="Q831" i="12"/>
  <c r="Q3328" i="12"/>
  <c r="Q2749" i="12"/>
  <c r="Q1574" i="12"/>
  <c r="Q1096" i="12"/>
  <c r="Q1272" i="12"/>
  <c r="Q2430" i="12"/>
  <c r="Q2580" i="12"/>
  <c r="Q2883" i="12"/>
  <c r="Q2144" i="12"/>
  <c r="Q1265" i="12"/>
  <c r="Q986" i="12"/>
  <c r="Q1449" i="12"/>
  <c r="Q3034" i="12"/>
  <c r="Q3244" i="12"/>
  <c r="Q1378" i="12"/>
  <c r="Q775" i="12"/>
  <c r="Q1336" i="12"/>
  <c r="Q3404" i="12"/>
  <c r="Q2693" i="12"/>
  <c r="Q2566" i="12"/>
  <c r="Q3356" i="12"/>
  <c r="Q3215" i="12"/>
  <c r="Q2877" i="12"/>
  <c r="Q3281" i="12"/>
  <c r="Q2912" i="12"/>
  <c r="Q3275" i="12"/>
  <c r="Q345" i="12"/>
  <c r="Q1226" i="12"/>
  <c r="Q2829" i="12"/>
  <c r="Q1141" i="12"/>
  <c r="Q985" i="12"/>
  <c r="Q3261" i="12"/>
  <c r="Q518" i="12"/>
  <c r="Q1767" i="12"/>
  <c r="Q2342" i="12"/>
  <c r="Q2633" i="12"/>
  <c r="Q1424" i="12"/>
  <c r="Q714" i="12"/>
  <c r="Q356" i="12"/>
  <c r="Q1557" i="12"/>
  <c r="Q2486" i="12"/>
  <c r="Q2389" i="12"/>
  <c r="Q2212" i="12"/>
  <c r="Q2559" i="12"/>
  <c r="Q225" i="12"/>
  <c r="Q581" i="12"/>
  <c r="Q1037" i="12"/>
  <c r="Q80" i="12"/>
  <c r="Q3381" i="12"/>
  <c r="Q1511" i="12"/>
  <c r="Q599" i="12"/>
  <c r="Q1146" i="12"/>
  <c r="Q3326" i="12"/>
  <c r="Q1094" i="12"/>
  <c r="Q3164" i="12"/>
  <c r="Q1886" i="12"/>
  <c r="Q1488" i="12"/>
  <c r="Q1471" i="12"/>
  <c r="Q893" i="12"/>
  <c r="Q3010" i="12"/>
  <c r="Q1282" i="12"/>
  <c r="Q685" i="12"/>
  <c r="Q3400" i="12"/>
  <c r="Q2190" i="12"/>
  <c r="Q2884" i="12"/>
  <c r="Q1879" i="12"/>
  <c r="Q2744" i="12"/>
  <c r="Q2470" i="12"/>
  <c r="Q1434" i="12"/>
  <c r="Q1671" i="12"/>
  <c r="Q2575" i="12"/>
  <c r="Q3173" i="12"/>
  <c r="Q3545" i="12"/>
  <c r="Q505" i="12"/>
  <c r="Q497" i="12"/>
  <c r="Q3249" i="12"/>
  <c r="Q324" i="12"/>
  <c r="Q2801" i="12"/>
  <c r="Q1085" i="12"/>
  <c r="Q2206" i="12"/>
  <c r="Q1340" i="12"/>
  <c r="Q2955" i="12"/>
  <c r="Q1454" i="12"/>
  <c r="Q1273" i="12"/>
  <c r="Q2758" i="12"/>
  <c r="Q2096" i="12"/>
  <c r="Q614" i="12"/>
  <c r="Q3350" i="12"/>
  <c r="Q916" i="12"/>
  <c r="Q1271" i="12"/>
  <c r="Q3417" i="12"/>
  <c r="Q1653" i="12"/>
  <c r="Q3077" i="12"/>
  <c r="Q509" i="12"/>
  <c r="Q1436" i="12"/>
  <c r="Q1894" i="12"/>
  <c r="Q1543" i="12"/>
  <c r="Q2813" i="12"/>
  <c r="Q355" i="12"/>
  <c r="Q1380" i="12"/>
  <c r="Q1675" i="12"/>
  <c r="Q1188" i="12"/>
  <c r="Q1809" i="12"/>
  <c r="Q160" i="12"/>
  <c r="Q2153" i="12"/>
  <c r="Q2811" i="12"/>
  <c r="Q990" i="12"/>
  <c r="Q1868" i="12"/>
  <c r="Q3288" i="12"/>
  <c r="Q3481" i="12"/>
  <c r="Q133" i="12"/>
  <c r="Q2394" i="12"/>
  <c r="Q1513" i="12"/>
  <c r="Q3274" i="12"/>
  <c r="Q2105" i="12"/>
  <c r="Q2326" i="12"/>
  <c r="Q2003" i="12"/>
  <c r="Q275" i="12"/>
  <c r="Q952" i="12"/>
  <c r="Q712" i="12"/>
  <c r="Q2006" i="12"/>
  <c r="Q926" i="12"/>
  <c r="Q3312" i="12"/>
  <c r="Q2293" i="12"/>
  <c r="Q1636" i="12"/>
  <c r="Q1707" i="12"/>
  <c r="Q3322" i="12"/>
  <c r="Q1757" i="12"/>
  <c r="Q2769" i="12"/>
  <c r="Q1409" i="12"/>
  <c r="Q1823" i="12"/>
  <c r="Q690" i="12"/>
  <c r="Q1298" i="12"/>
  <c r="Q494" i="12"/>
  <c r="Q1565" i="12"/>
  <c r="Q1528" i="12"/>
  <c r="Q2595" i="12"/>
  <c r="Q888" i="12"/>
  <c r="Q776" i="12"/>
  <c r="Q1499" i="12"/>
  <c r="Q2305" i="12"/>
  <c r="Q946" i="12"/>
  <c r="Q1382" i="12"/>
  <c r="C24" i="6"/>
  <c r="R19" i="12" a="1"/>
  <c r="R2501" i="12"/>
  <c r="R1502" i="12"/>
  <c r="R1853" i="12"/>
  <c r="R1177" i="12"/>
  <c r="R1967" i="12"/>
  <c r="R3449" i="12"/>
  <c r="R149" i="12"/>
  <c r="R1330" i="12"/>
  <c r="R3279" i="12"/>
  <c r="R2121" i="12"/>
  <c r="R1640" i="12"/>
  <c r="R827" i="12"/>
  <c r="R43" i="12"/>
  <c r="R1543" i="12"/>
  <c r="R189" i="12"/>
  <c r="R369" i="12"/>
  <c r="R3511" i="12"/>
  <c r="R1232" i="12"/>
  <c r="R2268" i="12"/>
  <c r="R477" i="12"/>
  <c r="R3284" i="12"/>
  <c r="R3257" i="12"/>
  <c r="R2508" i="12"/>
  <c r="R1828" i="12"/>
  <c r="R3295" i="12"/>
  <c r="R3432" i="12"/>
  <c r="R1986" i="12"/>
  <c r="R2684" i="12"/>
  <c r="R1224" i="12"/>
  <c r="R3175" i="12"/>
  <c r="R2774" i="12"/>
  <c r="R1938" i="12"/>
  <c r="R552" i="12"/>
  <c r="R749" i="12"/>
  <c r="R1915" i="12"/>
  <c r="R729" i="12"/>
  <c r="R2552" i="12"/>
  <c r="R1298" i="12"/>
  <c r="R2384" i="12"/>
  <c r="R1316" i="12"/>
  <c r="R1036" i="12"/>
  <c r="R246" i="12"/>
  <c r="R2565" i="12"/>
  <c r="R3046" i="12"/>
  <c r="R479" i="12"/>
  <c r="R3551" i="12"/>
  <c r="R567" i="12"/>
  <c r="R272" i="12"/>
  <c r="R1271" i="12"/>
  <c r="R2281" i="12"/>
  <c r="R2068" i="12"/>
  <c r="R2164" i="12"/>
  <c r="R3324" i="12"/>
  <c r="R1677" i="12"/>
  <c r="R1320" i="12"/>
  <c r="R366" i="12"/>
  <c r="R1924" i="12"/>
  <c r="R2918" i="12"/>
  <c r="R2679" i="12"/>
  <c r="R2295" i="12"/>
  <c r="R2308" i="12"/>
  <c r="R2687" i="12"/>
  <c r="R182" i="12"/>
  <c r="R641" i="12"/>
  <c r="R3393" i="12"/>
  <c r="R881" i="12"/>
  <c r="R575" i="12"/>
  <c r="R721" i="12"/>
  <c r="R3403" i="12"/>
  <c r="R3424" i="12"/>
  <c r="R2980" i="12"/>
  <c r="R1852" i="12"/>
  <c r="R3099" i="12"/>
  <c r="R1030" i="12"/>
  <c r="R1007" i="12"/>
  <c r="R2458" i="12"/>
  <c r="R1669" i="12"/>
  <c r="R2085" i="12"/>
  <c r="R2093" i="12"/>
  <c r="R2781" i="12"/>
  <c r="R1981" i="12"/>
  <c r="R1386" i="12"/>
  <c r="R1682" i="12"/>
  <c r="R3034" i="12"/>
  <c r="R2422" i="12"/>
  <c r="R1360" i="12"/>
  <c r="R2163" i="12"/>
  <c r="R2408" i="12"/>
  <c r="R1235" i="12"/>
  <c r="R1174" i="12"/>
  <c r="R1700" i="12"/>
  <c r="R2761" i="12"/>
  <c r="R3524" i="12"/>
  <c r="R2316" i="12"/>
  <c r="R757" i="12"/>
  <c r="R2811" i="12"/>
  <c r="R1270" i="12"/>
  <c r="R2611" i="12"/>
  <c r="R2331" i="12"/>
  <c r="R1182" i="12"/>
  <c r="R2968" i="12"/>
  <c r="R3447" i="12"/>
  <c r="R3220" i="12"/>
  <c r="R94" i="12"/>
  <c r="R2898" i="12"/>
  <c r="R2425" i="12"/>
  <c r="R523" i="12"/>
  <c r="R3519" i="12"/>
  <c r="R515" i="12"/>
  <c r="R2365" i="12"/>
  <c r="R533" i="12"/>
  <c r="R449" i="12"/>
  <c r="R453" i="12"/>
  <c r="R1937" i="12"/>
  <c r="R1221" i="12"/>
  <c r="R2782" i="12"/>
  <c r="R982" i="12"/>
  <c r="R185" i="12"/>
  <c r="R31" i="12"/>
  <c r="R645" i="12"/>
  <c r="R1604" i="12"/>
  <c r="R3036" i="12"/>
  <c r="R481" i="12"/>
  <c r="R2358" i="12"/>
  <c r="R2604" i="12"/>
  <c r="R2871" i="12"/>
  <c r="R1743" i="12"/>
  <c r="R3530" i="12"/>
  <c r="R1962" i="12"/>
  <c r="R983" i="12"/>
  <c r="R1466" i="12"/>
  <c r="R286" i="12"/>
  <c r="R1073" i="12"/>
  <c r="R1570" i="12"/>
  <c r="R3461" i="12"/>
  <c r="R2047" i="12"/>
  <c r="R821" i="12"/>
  <c r="R3223" i="12"/>
  <c r="R2960" i="12"/>
  <c r="R2037" i="12"/>
  <c r="R1403" i="12"/>
  <c r="R1359" i="12"/>
  <c r="R1582" i="12"/>
  <c r="R235" i="12"/>
  <c r="R2343" i="12"/>
  <c r="R3029" i="12"/>
  <c r="R268" i="12"/>
  <c r="R1713" i="12"/>
  <c r="R1814" i="12"/>
  <c r="R909" i="12"/>
  <c r="R289" i="12"/>
  <c r="R284" i="12"/>
  <c r="R1635" i="12"/>
  <c r="R96" i="12"/>
  <c r="R2266" i="12"/>
  <c r="R218" i="12"/>
  <c r="R1755" i="12"/>
  <c r="R829" i="12"/>
  <c r="R834" i="12"/>
  <c r="R3206" i="12"/>
  <c r="R2357" i="12"/>
  <c r="R1430" i="12"/>
  <c r="R2638" i="12"/>
  <c r="R2096" i="12"/>
  <c r="R2629" i="12"/>
  <c r="R3545" i="12"/>
  <c r="R1724" i="12"/>
  <c r="R2196" i="12"/>
  <c r="R1969" i="12"/>
  <c r="R2369" i="12"/>
  <c r="R2738" i="12"/>
  <c r="R1499" i="12"/>
  <c r="R1928" i="12"/>
  <c r="R24" i="12"/>
  <c r="R3274" i="12"/>
  <c r="R1819" i="12"/>
  <c r="R1507" i="12"/>
  <c r="R647" i="12"/>
  <c r="R1337" i="12"/>
  <c r="R2983" i="12"/>
  <c r="R2938" i="12"/>
  <c r="R3136" i="12"/>
  <c r="R556" i="12"/>
  <c r="R1058" i="12"/>
  <c r="R951" i="12"/>
  <c r="R1741" i="12"/>
  <c r="R709" i="12"/>
  <c r="R1066" i="12"/>
  <c r="R2802" i="12"/>
  <c r="R2348" i="12"/>
  <c r="R387" i="12"/>
  <c r="R2650" i="12"/>
  <c r="R2692" i="12"/>
  <c r="R499" i="12"/>
  <c r="R774" i="12"/>
  <c r="R1387" i="12"/>
  <c r="R3346" i="12"/>
  <c r="R1944" i="12"/>
  <c r="R2195" i="12"/>
  <c r="R1134" i="12"/>
  <c r="R75" i="12"/>
  <c r="R1200" i="12"/>
  <c r="R2483" i="12"/>
  <c r="R2211" i="12"/>
  <c r="R2595" i="12"/>
  <c r="R2143" i="12"/>
  <c r="R1631" i="12"/>
  <c r="R1575" i="12"/>
  <c r="R2715" i="12"/>
  <c r="R688" i="12"/>
  <c r="R2197" i="12"/>
  <c r="R2366" i="12"/>
  <c r="R3177" i="12"/>
  <c r="R3212" i="12"/>
  <c r="R3504" i="12"/>
  <c r="R1747" i="12"/>
  <c r="R2162" i="12"/>
  <c r="R401" i="12"/>
  <c r="R2537" i="12"/>
  <c r="R1088" i="12"/>
  <c r="R3508" i="12"/>
  <c r="R3539" i="12"/>
  <c r="R2495" i="12"/>
  <c r="R1651" i="12"/>
  <c r="R159" i="12"/>
  <c r="R2996" i="12"/>
  <c r="R3520" i="12"/>
  <c r="R2334" i="12"/>
  <c r="R2373" i="12"/>
  <c r="R270" i="12"/>
  <c r="R346" i="12"/>
  <c r="R1244" i="12"/>
  <c r="R2192" i="12"/>
  <c r="R3497" i="12"/>
  <c r="R1792" i="12"/>
  <c r="R2379" i="12"/>
  <c r="R525" i="12"/>
  <c r="R1413" i="12"/>
  <c r="R415" i="12"/>
  <c r="R2496" i="12"/>
  <c r="R1338" i="12"/>
  <c r="R3338" i="12"/>
  <c r="R1052" i="12"/>
  <c r="R1515" i="12"/>
  <c r="R2639" i="12"/>
  <c r="R3069" i="12"/>
  <c r="R3533" i="12"/>
  <c r="R2454" i="12"/>
  <c r="R2034" i="12"/>
  <c r="R2984" i="12"/>
  <c r="R2088" i="12"/>
  <c r="R2239" i="12"/>
  <c r="R1557" i="12"/>
  <c r="R1308" i="12"/>
  <c r="R2388" i="12"/>
  <c r="R3170" i="12"/>
  <c r="R1139" i="12"/>
  <c r="R2594" i="12"/>
  <c r="R2702" i="12"/>
  <c r="R3448" i="12"/>
  <c r="R3221" i="12"/>
  <c r="R1833" i="12"/>
  <c r="R484" i="12"/>
  <c r="R879" i="12"/>
  <c r="R2566" i="12"/>
  <c r="R991" i="12"/>
  <c r="R3161" i="12"/>
  <c r="R2173" i="12"/>
  <c r="R1581" i="12"/>
  <c r="R265" i="12"/>
  <c r="R306" i="12"/>
  <c r="R1099" i="12"/>
  <c r="R72" i="12"/>
  <c r="R85" i="12"/>
  <c r="R3380" i="12"/>
  <c r="R3174" i="12"/>
  <c r="R3054" i="12"/>
  <c r="R2888" i="12"/>
  <c r="R1699" i="12"/>
  <c r="R3498" i="12"/>
  <c r="R1461" i="12"/>
  <c r="R970" i="12"/>
  <c r="R483" i="12"/>
  <c r="R528" i="12"/>
  <c r="R333" i="12"/>
  <c r="R2060" i="12"/>
  <c r="R2242" i="12"/>
  <c r="R1914" i="12"/>
  <c r="R814" i="12"/>
  <c r="R2108" i="12"/>
  <c r="R1475" i="12"/>
  <c r="R1796" i="12"/>
  <c r="R2209" i="12"/>
  <c r="R2405" i="12"/>
  <c r="R1958" i="12"/>
  <c r="R2124" i="12"/>
  <c r="R3009" i="12"/>
  <c r="R2029" i="12"/>
  <c r="R191" i="12"/>
  <c r="R3400" i="12"/>
  <c r="R1794" i="12"/>
  <c r="R3269" i="12"/>
  <c r="R3500" i="12"/>
  <c r="R2829" i="12"/>
  <c r="R770" i="12"/>
  <c r="R1912" i="12"/>
  <c r="R2506" i="12"/>
  <c r="R3137" i="12"/>
  <c r="R510" i="12"/>
  <c r="R811" i="12"/>
  <c r="R3095" i="12"/>
  <c r="R1410" i="12"/>
  <c r="R1172" i="12"/>
  <c r="R1355" i="12"/>
  <c r="R2751" i="12"/>
  <c r="R2352" i="12"/>
  <c r="R1063" i="12"/>
  <c r="R2649" i="12"/>
  <c r="R2259" i="12"/>
  <c r="R1933" i="12"/>
  <c r="R954" i="12"/>
  <c r="R2982" i="12"/>
  <c r="R771" i="12"/>
  <c r="R199" i="12"/>
  <c r="R1766" i="12"/>
  <c r="R1975" i="12"/>
  <c r="R90" i="12"/>
  <c r="R899" i="12"/>
  <c r="R1181" i="12"/>
  <c r="R3104" i="12"/>
  <c r="R1102" i="12"/>
  <c r="R1862" i="12"/>
  <c r="R2456" i="12"/>
  <c r="R3256" i="12"/>
  <c r="R355" i="12"/>
  <c r="R131" i="12"/>
  <c r="R180" i="12"/>
  <c r="R2382" i="12"/>
  <c r="R1108" i="12"/>
  <c r="R3235" i="12"/>
  <c r="R152" i="12"/>
  <c r="R2600" i="12"/>
  <c r="R1896" i="12"/>
  <c r="R2607" i="12"/>
  <c r="R2931" i="12"/>
  <c r="R3455" i="12"/>
  <c r="R2935" i="12"/>
  <c r="R381" i="12"/>
  <c r="R3407" i="12"/>
  <c r="R3387" i="12"/>
  <c r="R695" i="12"/>
  <c r="R219" i="12"/>
  <c r="R2389" i="12"/>
  <c r="R653" i="12"/>
  <c r="R2652" i="12"/>
  <c r="R126" i="12"/>
  <c r="R3388" i="12"/>
  <c r="R950" i="12"/>
  <c r="R1026" i="12"/>
  <c r="R815" i="12"/>
  <c r="R875" i="12"/>
  <c r="R217" i="12"/>
  <c r="R368" i="12"/>
  <c r="R3415" i="12"/>
  <c r="R2517" i="12"/>
  <c r="R2090" i="12"/>
  <c r="R1665" i="12"/>
  <c r="R2183" i="12"/>
  <c r="R2544" i="12"/>
  <c r="R777" i="12"/>
  <c r="R2395" i="12"/>
  <c r="R2523" i="12"/>
  <c r="R2062" i="12"/>
  <c r="R326" i="12"/>
  <c r="R3126" i="12"/>
  <c r="R160" i="12"/>
  <c r="R2111" i="12"/>
  <c r="R2879" i="12"/>
  <c r="R1199" i="12"/>
  <c r="R2363" i="12"/>
  <c r="R2423" i="12"/>
  <c r="R1725" i="12"/>
  <c r="R1255" i="12"/>
  <c r="R1470" i="12"/>
  <c r="R1011" i="12"/>
  <c r="R860" i="12"/>
  <c r="R596" i="12"/>
  <c r="R405" i="12"/>
  <c r="R1273" i="12"/>
  <c r="R967" i="12"/>
  <c r="R3123" i="12"/>
  <c r="R2762" i="12"/>
  <c r="R980" i="12"/>
  <c r="R2981" i="12"/>
  <c r="R3382" i="12"/>
  <c r="R1263" i="12"/>
  <c r="R322" i="12"/>
  <c r="R920" i="12"/>
  <c r="R3003" i="12"/>
  <c r="R713" i="12"/>
  <c r="R1785" i="12"/>
  <c r="R801" i="12"/>
  <c r="R426" i="12"/>
  <c r="R547" i="12"/>
  <c r="R2134" i="12"/>
  <c r="R2264" i="12"/>
  <c r="R1484" i="12"/>
  <c r="R717" i="12"/>
  <c r="R2461" i="12"/>
  <c r="R3412" i="12"/>
  <c r="R2919" i="12"/>
  <c r="R960" i="12"/>
  <c r="R494" i="12"/>
  <c r="R1223" i="12"/>
  <c r="R1096" i="12"/>
  <c r="R1653" i="12"/>
  <c r="R300" i="12"/>
  <c r="R1599" i="12"/>
  <c r="R2670" i="12"/>
  <c r="R2249" i="12"/>
  <c r="R3291" i="12"/>
  <c r="R2293" i="12"/>
  <c r="R1356" i="12"/>
  <c r="R2139" i="12"/>
  <c r="R1297" i="12"/>
  <c r="R1198" i="12"/>
  <c r="R541" i="12"/>
  <c r="R714" i="12"/>
  <c r="R906" i="12"/>
  <c r="R2300" i="12"/>
  <c r="R1658" i="12"/>
  <c r="R1888" i="12"/>
  <c r="R2773" i="12"/>
  <c r="R2831" i="12"/>
  <c r="R3210" i="12"/>
  <c r="R2985" i="12"/>
  <c r="R413" i="12"/>
  <c r="R703" i="12"/>
  <c r="R1068" i="12"/>
  <c r="R2826" i="12"/>
  <c r="R1043" i="12"/>
  <c r="R396" i="12"/>
  <c r="R327" i="12"/>
  <c r="R1998" i="12"/>
  <c r="R2677" i="12"/>
  <c r="R2892" i="12"/>
  <c r="R2175" i="12"/>
  <c r="R2721" i="12"/>
  <c r="R2001" i="12"/>
  <c r="R2095" i="12"/>
  <c r="R1056" i="12"/>
  <c r="R1728" i="12"/>
  <c r="R1632" i="12"/>
  <c r="R1621" i="12"/>
  <c r="R1675" i="12"/>
  <c r="R607" i="12"/>
  <c r="R730" i="12"/>
  <c r="R587" i="12"/>
  <c r="R2147" i="12"/>
  <c r="R972" i="12"/>
  <c r="R833" i="12"/>
  <c r="R927" i="12"/>
  <c r="R1702" i="12"/>
  <c r="R1111" i="12"/>
  <c r="R2674" i="12"/>
  <c r="R896" i="12"/>
  <c r="R704" i="12"/>
  <c r="R2004" i="12"/>
  <c r="R2848" i="12"/>
  <c r="R3139" i="12"/>
  <c r="R1226" i="12"/>
  <c r="R872" i="12"/>
  <c r="R1107" i="12"/>
  <c r="R2727" i="12"/>
  <c r="R2118" i="12"/>
  <c r="R3121" i="12"/>
  <c r="R3103" i="12"/>
  <c r="R1806" i="12"/>
  <c r="R3200" i="12"/>
  <c r="R1690" i="12"/>
  <c r="R999" i="12"/>
  <c r="R1758" i="12"/>
  <c r="R973" i="12"/>
  <c r="R681" i="12"/>
  <c r="R1455" i="12"/>
  <c r="R2843" i="12"/>
  <c r="R2359" i="12"/>
  <c r="R1215" i="12"/>
  <c r="R1811" i="12"/>
  <c r="R892" i="12"/>
  <c r="R3078" i="12"/>
  <c r="R1124" i="12"/>
  <c r="R3135" i="12"/>
  <c r="R3277" i="12"/>
  <c r="R358" i="12"/>
  <c r="R1911" i="12"/>
  <c r="R718" i="12"/>
  <c r="R2409" i="12"/>
  <c r="R2481" i="12"/>
  <c r="R2279" i="12"/>
  <c r="R1821" i="12"/>
  <c r="R1965" i="12"/>
  <c r="R76" i="12"/>
  <c r="R1910" i="12"/>
  <c r="R3250" i="12"/>
  <c r="R2559" i="12"/>
  <c r="R1815" i="12"/>
  <c r="R522" i="12"/>
  <c r="R2663" i="12"/>
  <c r="R503" i="12"/>
  <c r="R3537" i="12"/>
  <c r="R2849" i="12"/>
  <c r="R1505" i="12"/>
  <c r="R610" i="12"/>
  <c r="R2445" i="12"/>
  <c r="R2798" i="12"/>
  <c r="R2511" i="12"/>
  <c r="R2827" i="12"/>
  <c r="R2277" i="12"/>
  <c r="R2515" i="12"/>
  <c r="R1822" i="12"/>
  <c r="R1438" i="12"/>
  <c r="R701" i="12"/>
  <c r="R2545" i="12"/>
  <c r="R866" i="12"/>
  <c r="R926" i="12"/>
  <c r="R1239" i="12"/>
  <c r="R3227" i="12"/>
  <c r="R136" i="12"/>
  <c r="R3316" i="12"/>
  <c r="R1448" i="12"/>
  <c r="R2011" i="12"/>
  <c r="R1009" i="12"/>
  <c r="R798" i="12"/>
  <c r="R3101" i="12"/>
  <c r="R1412" i="12"/>
  <c r="R1834" i="12"/>
  <c r="R41" i="12"/>
  <c r="R945" i="12"/>
  <c r="R1213" i="12"/>
  <c r="R865" i="12"/>
  <c r="R3457" i="12"/>
  <c r="R1722" i="12"/>
  <c r="R1304" i="12"/>
  <c r="R1523" i="12"/>
  <c r="R3305" i="12"/>
  <c r="R2126" i="12"/>
  <c r="R299" i="12"/>
  <c r="R524" i="12"/>
  <c r="R1855" i="12"/>
  <c r="R1548" i="12"/>
  <c r="R2131" i="12"/>
  <c r="R2129" i="12"/>
  <c r="R144" i="12"/>
  <c r="R411" i="12"/>
  <c r="R212" i="12"/>
  <c r="R1803" i="12"/>
  <c r="R2803" i="12"/>
  <c r="R2519" i="12"/>
  <c r="R876" i="12"/>
  <c r="R1193" i="12"/>
  <c r="R1531" i="12"/>
  <c r="R69" i="12"/>
  <c r="R698" i="12"/>
  <c r="R2258" i="12"/>
  <c r="R1372" i="12"/>
  <c r="R383" i="12"/>
  <c r="R190" i="12"/>
  <c r="R2851" i="12"/>
  <c r="R281" i="12"/>
  <c r="R23" i="12"/>
  <c r="R1637" i="12"/>
  <c r="R907" i="12"/>
  <c r="R2887" i="12"/>
  <c r="R169" i="12"/>
  <c r="R1984" i="12"/>
  <c r="R1626" i="12"/>
  <c r="R558" i="12"/>
  <c r="R2958" i="12"/>
  <c r="R1103" i="12"/>
  <c r="R3492" i="12"/>
  <c r="R1295" i="12"/>
  <c r="R637" i="12"/>
  <c r="R3188" i="12"/>
  <c r="R35" i="12"/>
  <c r="R171" i="12"/>
  <c r="R595" i="12"/>
  <c r="R357" i="12"/>
  <c r="R393" i="12"/>
  <c r="R1956" i="12"/>
  <c r="R2971" i="12"/>
  <c r="R2857" i="12"/>
  <c r="R2755" i="12"/>
  <c r="R1835" i="12"/>
  <c r="R162" i="12"/>
  <c r="R1285" i="12"/>
  <c r="R311" i="12"/>
  <c r="R341" i="12"/>
  <c r="R2135" i="12"/>
  <c r="R204" i="12"/>
  <c r="R759" i="12"/>
  <c r="R1680" i="12"/>
  <c r="R2512" i="12"/>
  <c r="R1925" i="12"/>
  <c r="R1793" i="12"/>
  <c r="R1237" i="12"/>
  <c r="R1168" i="12"/>
  <c r="R3495" i="12"/>
  <c r="R1795" i="12"/>
  <c r="R295" i="12"/>
  <c r="R689" i="12"/>
  <c r="R1619" i="12"/>
  <c r="R1183" i="12"/>
  <c r="R278" i="12"/>
  <c r="R583" i="12"/>
  <c r="R282" i="12"/>
  <c r="R1878" i="12"/>
  <c r="R2796" i="12"/>
  <c r="R2116" i="12"/>
  <c r="R1500" i="12"/>
  <c r="R1459" i="12"/>
  <c r="R1179" i="12"/>
  <c r="R1345" i="12"/>
  <c r="R424" i="12"/>
  <c r="R3445" i="12"/>
  <c r="R3051" i="12"/>
  <c r="R1247" i="12"/>
  <c r="R1672" i="12"/>
  <c r="R2853" i="12"/>
  <c r="R2151" i="12"/>
  <c r="R2660" i="12"/>
  <c r="R3035" i="12"/>
  <c r="R1701" i="12"/>
  <c r="R3194" i="12"/>
  <c r="R1348" i="12"/>
  <c r="R2120" i="12"/>
  <c r="R1299" i="12"/>
  <c r="R1705" i="12"/>
  <c r="R1865" i="12"/>
  <c r="R2003" i="12"/>
  <c r="R100" i="12"/>
  <c r="R3248" i="12"/>
  <c r="R2694" i="12"/>
  <c r="R2324" i="12"/>
  <c r="R2311" i="12"/>
  <c r="R161" i="12"/>
  <c r="R42" i="12"/>
  <c r="R2876" i="12"/>
  <c r="R3379" i="12"/>
  <c r="R976" i="12"/>
  <c r="R3074" i="12"/>
  <c r="R1681" i="12"/>
  <c r="R2144" i="12"/>
  <c r="R1802" i="12"/>
  <c r="R1467" i="12"/>
  <c r="R2768" i="12"/>
  <c r="R1829" i="12"/>
  <c r="R1442" i="12"/>
  <c r="R903" i="12"/>
  <c r="R3392" i="12"/>
  <c r="R2894" i="12"/>
  <c r="R3156" i="12"/>
  <c r="R1550" i="12"/>
  <c r="R750" i="12"/>
  <c r="R1799" i="12"/>
  <c r="R156" i="12"/>
  <c r="R493" i="12"/>
  <c r="R1021" i="12"/>
  <c r="R210" i="12"/>
  <c r="R2937" i="12"/>
  <c r="R2039" i="12"/>
  <c r="R53" i="12"/>
  <c r="R2729" i="12"/>
  <c r="R2202" i="12"/>
  <c r="R1040" i="12"/>
  <c r="R2531" i="12"/>
  <c r="R1721" i="12"/>
  <c r="R19" i="12"/>
  <c r="R1664" i="12"/>
  <c r="R3465" i="12"/>
  <c r="R377" i="12"/>
  <c r="R1317" i="12"/>
  <c r="R2915" i="12"/>
  <c r="R3518" i="12"/>
  <c r="R2184" i="12"/>
  <c r="R921" i="12"/>
  <c r="R3251" i="12"/>
  <c r="R344" i="12"/>
  <c r="R570" i="12"/>
  <c r="R1059" i="12"/>
  <c r="R2789" i="12"/>
  <c r="R2245" i="12"/>
  <c r="R1429" i="12"/>
  <c r="R1504" i="12"/>
  <c r="R1533" i="12"/>
  <c r="R3363" i="12"/>
  <c r="R2681" i="12"/>
  <c r="R1704" i="12"/>
  <c r="R649" i="12"/>
  <c r="R103" i="12"/>
  <c r="R1529" i="12"/>
  <c r="R2026" i="12"/>
  <c r="R3262" i="12"/>
  <c r="R1674" i="12"/>
  <c r="R3433" i="12"/>
  <c r="R1980" i="12"/>
  <c r="R929" i="12"/>
  <c r="R2854" i="12"/>
  <c r="R1506" i="12"/>
  <c r="R2608" i="12"/>
  <c r="R2370" i="12"/>
  <c r="R2824" i="12"/>
  <c r="R3011" i="12"/>
  <c r="R720" i="12"/>
  <c r="R762" i="12"/>
  <c r="R3409" i="12"/>
  <c r="R3222" i="12"/>
  <c r="R2757" i="12"/>
  <c r="R732" i="12"/>
  <c r="R2156" i="12"/>
  <c r="R778" i="12"/>
  <c r="R520" i="12"/>
  <c r="R2154" i="12"/>
  <c r="R2081" i="12"/>
  <c r="R64" i="12"/>
  <c r="R120" i="12"/>
  <c r="R2940" i="12"/>
  <c r="R1546" i="12"/>
  <c r="R186" i="12"/>
  <c r="R1974" i="12"/>
  <c r="R2190" i="12"/>
  <c r="R2253" i="12"/>
  <c r="R1250" i="12"/>
  <c r="R1710" i="12"/>
  <c r="R2585" i="12"/>
  <c r="R2240" i="12"/>
  <c r="R3467" i="12"/>
  <c r="R2576" i="12"/>
  <c r="R671" i="12"/>
  <c r="R3140" i="12"/>
  <c r="R2654" i="12"/>
  <c r="R1293" i="12"/>
  <c r="R1389" i="12"/>
  <c r="R1760" i="12"/>
  <c r="R1155" i="12"/>
  <c r="R1738" i="12"/>
  <c r="R1264" i="12"/>
  <c r="R1972" i="12"/>
  <c r="R81" i="12"/>
  <c r="R1421" i="12"/>
  <c r="R1452" i="12"/>
  <c r="R2327" i="12"/>
  <c r="R1667" i="12"/>
  <c r="R2492" i="12"/>
  <c r="R2744" i="12"/>
  <c r="R3242" i="12"/>
  <c r="R711" i="12"/>
  <c r="R3273" i="12"/>
  <c r="R359" i="12"/>
  <c r="R388" i="12"/>
  <c r="R1392" i="12"/>
  <c r="R1752" i="12"/>
  <c r="R3138" i="12"/>
  <c r="R1331" i="12"/>
  <c r="R1446" i="12"/>
  <c r="R1989" i="12"/>
  <c r="R3102" i="12"/>
  <c r="R3010" i="12"/>
  <c r="R1964" i="12"/>
  <c r="R2950" i="12"/>
  <c r="R1396" i="12"/>
  <c r="R3028" i="12"/>
  <c r="R667" i="12"/>
  <c r="R3501" i="12"/>
  <c r="R245" i="12"/>
  <c r="R233" i="12"/>
  <c r="R521" i="12"/>
  <c r="R1590" i="12"/>
  <c r="R2072" i="12"/>
  <c r="R2599" i="12"/>
  <c r="R2361" i="12"/>
  <c r="R1424" i="12"/>
  <c r="R2795" i="12"/>
  <c r="R1953" i="12"/>
  <c r="R3367" i="12"/>
  <c r="R2257" i="12"/>
  <c r="R1885" i="12"/>
  <c r="R995" i="12"/>
  <c r="R2396" i="12"/>
  <c r="R956" i="12"/>
  <c r="R1456" i="12"/>
  <c r="R2513" i="12"/>
  <c r="R2023" i="12"/>
  <c r="R2553" i="12"/>
  <c r="R3008" i="12"/>
  <c r="R2572" i="12"/>
  <c r="R2380" i="12"/>
  <c r="R1327" i="12"/>
  <c r="R288" i="12"/>
  <c r="R2460" i="12"/>
  <c r="R994" i="12"/>
  <c r="R608" i="12"/>
  <c r="R766" i="12"/>
  <c r="R203" i="12"/>
  <c r="R632" i="12"/>
  <c r="R2912" i="12"/>
  <c r="R861" i="12"/>
  <c r="R2612" i="12"/>
  <c r="R2472" i="12"/>
  <c r="R1294" i="12"/>
  <c r="R2168" i="12"/>
  <c r="R1508" i="12"/>
  <c r="R658" i="12"/>
  <c r="R1983" i="12"/>
  <c r="R838" i="12"/>
  <c r="R987" i="12"/>
  <c r="R3236" i="12"/>
  <c r="R3549" i="12"/>
  <c r="R2429" i="12"/>
  <c r="R2951" i="12"/>
  <c r="R3541" i="12"/>
  <c r="R2882" i="12"/>
  <c r="R1642" i="12"/>
  <c r="R1233" i="12"/>
  <c r="R1453" i="12"/>
  <c r="R1420" i="12"/>
  <c r="R3314" i="12"/>
  <c r="R2657" i="12"/>
  <c r="R2926" i="12"/>
  <c r="R3470" i="12"/>
  <c r="R2696" i="12"/>
  <c r="R1649" i="12"/>
  <c r="R353" i="12"/>
  <c r="R312" i="12"/>
  <c r="R3185" i="12"/>
  <c r="R748" i="12"/>
  <c r="R3489" i="12"/>
  <c r="R2462" i="12"/>
  <c r="R512" i="12"/>
  <c r="R1482" i="12"/>
  <c r="R1060" i="12"/>
  <c r="R2290" i="12"/>
  <c r="R2632" i="12"/>
  <c r="R1492" i="12"/>
  <c r="R3383" i="12"/>
  <c r="R3249" i="12"/>
  <c r="R1991" i="12"/>
  <c r="R1202" i="12"/>
  <c r="R1472" i="12"/>
  <c r="R3187" i="12"/>
  <c r="R3481" i="12"/>
  <c r="R323" i="12"/>
  <c r="R2438" i="12"/>
  <c r="R1113" i="12"/>
  <c r="R2858" i="12"/>
  <c r="R635" i="12"/>
  <c r="R127" i="12"/>
  <c r="R1954" i="12"/>
  <c r="R2078" i="12"/>
  <c r="R3426" i="12"/>
  <c r="R2998" i="12"/>
  <c r="R315" i="12"/>
  <c r="R1678" i="12"/>
  <c r="R694" i="12"/>
  <c r="R1770" i="12"/>
  <c r="R1423" i="12"/>
  <c r="R229" i="12"/>
  <c r="R3531" i="12"/>
  <c r="R910" i="12"/>
  <c r="R1220" i="12"/>
  <c r="R630" i="12"/>
  <c r="R589" i="12"/>
  <c r="R3012" i="12"/>
  <c r="R3050" i="12"/>
  <c r="R303" i="12"/>
  <c r="R1979" i="12"/>
  <c r="R3395" i="12"/>
  <c r="R205" i="12"/>
  <c r="R1393" i="12"/>
  <c r="R2321" i="12"/>
  <c r="R1589" i="12"/>
  <c r="R2908" i="12"/>
  <c r="R1587" i="12"/>
  <c r="R840" i="12"/>
  <c r="R318" i="12"/>
  <c r="R2642" i="12"/>
  <c r="R3163" i="12"/>
  <c r="R1443" i="12"/>
  <c r="R1109" i="12"/>
  <c r="R2165" i="12"/>
  <c r="R400" i="12"/>
  <c r="R79" i="12"/>
  <c r="R324" i="12"/>
  <c r="R2153" i="12"/>
  <c r="R905" i="12"/>
  <c r="R329" i="12"/>
  <c r="R2469" i="12"/>
  <c r="R309" i="12"/>
  <c r="R2997" i="12"/>
  <c r="R1254" i="12"/>
  <c r="R3285" i="12"/>
  <c r="R579" i="12"/>
  <c r="R2098" i="12"/>
  <c r="R347" i="12"/>
  <c r="R684" i="12"/>
  <c r="R1569" i="12"/>
  <c r="R1808" i="12"/>
  <c r="R1149" i="12"/>
  <c r="R2274" i="12"/>
  <c r="R2970" i="12"/>
  <c r="R3438" i="12"/>
  <c r="R134" i="12"/>
  <c r="R1121" i="12"/>
  <c r="R348" i="12"/>
  <c r="R3199" i="12"/>
  <c r="R3094" i="12"/>
  <c r="R3045" i="12"/>
  <c r="R2540" i="12"/>
  <c r="R2455" i="12"/>
  <c r="R256" i="12"/>
  <c r="R3127" i="12"/>
  <c r="R1311" i="12"/>
  <c r="R264" i="12"/>
  <c r="R3234" i="12"/>
  <c r="R188" i="12"/>
  <c r="R2790" i="12"/>
  <c r="R2317" i="12"/>
  <c r="R1025" i="12"/>
  <c r="R998" i="12"/>
  <c r="R2896" i="12"/>
  <c r="R3197" i="12"/>
  <c r="R1476" i="12"/>
  <c r="R1556" i="12"/>
  <c r="R2623" i="12"/>
  <c r="R236" i="12"/>
  <c r="R314" i="12"/>
  <c r="R3032" i="12"/>
  <c r="R1377" i="12"/>
  <c r="R91" i="12"/>
  <c r="R1106" i="12"/>
  <c r="R2500" i="12"/>
  <c r="R2510" i="12"/>
  <c r="R1932" i="12"/>
  <c r="R1487" i="12"/>
  <c r="R894" i="12"/>
  <c r="R3019" i="12"/>
  <c r="R2521" i="12"/>
  <c r="R1580" i="12"/>
  <c r="R1367" i="12"/>
  <c r="R1269" i="12"/>
  <c r="R1510" i="12"/>
  <c r="R97" i="12"/>
  <c r="R2678" i="12"/>
  <c r="R3097" i="12"/>
  <c r="R32" i="12"/>
  <c r="R1236" i="12"/>
  <c r="R1194" i="12"/>
  <c r="R2742" i="12"/>
  <c r="R310" i="12"/>
  <c r="R1119" i="12"/>
  <c r="R376" i="12"/>
  <c r="R1583" i="12"/>
  <c r="R1114" i="12"/>
  <c r="R3491" i="12"/>
  <c r="R1449" i="12"/>
  <c r="R1380" i="12"/>
  <c r="R2040" i="12"/>
  <c r="R1856" i="12"/>
  <c r="R2745" i="12"/>
  <c r="R2822" i="12"/>
  <c r="R2535" i="12"/>
  <c r="R2005" i="12"/>
  <c r="R2713" i="12"/>
  <c r="R1577" i="12"/>
  <c r="R61" i="12"/>
  <c r="R3006" i="12"/>
  <c r="R2117" i="12"/>
  <c r="R1961" i="12"/>
  <c r="R1871" i="12"/>
  <c r="R3322" i="12"/>
  <c r="R504" i="12"/>
  <c r="R2648" i="12"/>
  <c r="R708" i="12"/>
  <c r="R797" i="12"/>
  <c r="R2880" i="12"/>
  <c r="R565" i="12"/>
  <c r="R1231" i="12"/>
  <c r="R657" i="12"/>
  <c r="R1630" i="12"/>
  <c r="R2205" i="12"/>
  <c r="R1884" i="12"/>
  <c r="R2835" i="12"/>
  <c r="R990" i="12"/>
  <c r="R3402" i="12"/>
  <c r="R3478" i="12"/>
  <c r="R251" i="12"/>
  <c r="R1846" i="12"/>
  <c r="R2319" i="12"/>
  <c r="R2924" i="12"/>
  <c r="R3294" i="12"/>
  <c r="R619" i="12"/>
  <c r="R1166" i="12"/>
  <c r="R3439" i="12"/>
  <c r="R2390" i="12"/>
  <c r="R1151" i="12"/>
  <c r="R1097" i="12"/>
  <c r="R586" i="12"/>
  <c r="R2616" i="12"/>
  <c r="R1248" i="12"/>
  <c r="R582" i="12"/>
  <c r="R49" i="12"/>
  <c r="R1033" i="12"/>
  <c r="R1398" i="12"/>
  <c r="R250" i="12"/>
  <c r="R3471" i="12"/>
  <c r="R599" i="12"/>
  <c r="R1895" i="12"/>
  <c r="R3458" i="12"/>
  <c r="R1169" i="12"/>
  <c r="R1754" i="12"/>
  <c r="R2038" i="12"/>
  <c r="R1899" i="12"/>
  <c r="R623" i="12"/>
  <c r="R2619" i="12"/>
  <c r="R2046" i="12"/>
  <c r="R2815" i="12"/>
  <c r="R298" i="12"/>
  <c r="R2113" i="12"/>
  <c r="R3386" i="12"/>
  <c r="R1014" i="12"/>
  <c r="R1787" i="12"/>
  <c r="R731" i="12"/>
  <c r="R3280" i="12"/>
  <c r="R153" i="12"/>
  <c r="R1927" i="12"/>
  <c r="R187" i="12"/>
  <c r="R1234" i="12"/>
  <c r="R3420" i="12"/>
  <c r="R3333" i="12"/>
  <c r="R1373" i="12"/>
  <c r="R2420" i="12"/>
  <c r="R1695" i="12"/>
  <c r="R3332" i="12"/>
  <c r="R2260" i="12"/>
  <c r="R3166" i="12"/>
  <c r="R1736" i="12"/>
  <c r="R754" i="12"/>
  <c r="R1909" i="12"/>
  <c r="R1595" i="12"/>
  <c r="R454" i="12"/>
  <c r="R2667" i="12"/>
  <c r="R3522" i="12"/>
  <c r="R1685" i="12"/>
  <c r="R290" i="12"/>
  <c r="R1376" i="12"/>
  <c r="R2394" i="12"/>
  <c r="R728" i="12"/>
  <c r="R1186" i="12"/>
  <c r="R142" i="12"/>
  <c r="R938" i="12"/>
  <c r="R2509" i="12"/>
  <c r="R1776" i="12"/>
  <c r="R763" i="12"/>
  <c r="R2208" i="12"/>
  <c r="R2114" i="12"/>
  <c r="R662" i="12"/>
  <c r="R2446" i="12"/>
  <c r="R3406" i="12"/>
  <c r="R2994" i="12"/>
  <c r="R3209" i="12"/>
  <c r="R779" i="12"/>
  <c r="R1276" i="12"/>
  <c r="R158" i="12"/>
  <c r="R1374" i="12"/>
  <c r="R2556" i="12"/>
  <c r="R935" i="12"/>
  <c r="R1503" i="12"/>
  <c r="R2430" i="12"/>
  <c r="R2704" i="12"/>
  <c r="R1903" i="12"/>
  <c r="R2812" i="12"/>
  <c r="R1723" i="12"/>
  <c r="R566" i="12"/>
  <c r="R3349" i="12"/>
  <c r="R1584" i="12"/>
  <c r="R2484" i="12"/>
  <c r="R1094" i="12"/>
  <c r="R2714" i="12"/>
  <c r="R1210" i="12"/>
  <c r="R1383" i="12"/>
  <c r="R394" i="12"/>
  <c r="R2406" i="12"/>
  <c r="R2224" i="12"/>
  <c r="R2598" i="12"/>
  <c r="R319" i="12"/>
  <c r="R1593" i="12"/>
  <c r="R1480" i="12"/>
  <c r="R3299" i="12"/>
  <c r="R1622" i="12"/>
  <c r="R2863" i="12"/>
  <c r="R818" i="12"/>
  <c r="R1218" i="12"/>
  <c r="R1291" i="12"/>
  <c r="R1783" i="12"/>
  <c r="R3473" i="12"/>
  <c r="R1302" i="12"/>
  <c r="R1205" i="12"/>
  <c r="R1990" i="12"/>
  <c r="R2280" i="12"/>
  <c r="R1539" i="12"/>
  <c r="R342" i="12"/>
  <c r="R824" i="12"/>
  <c r="R1296" i="12"/>
  <c r="R3022" i="12"/>
  <c r="R1966" i="12"/>
  <c r="R1326" i="12"/>
  <c r="R2493" i="12"/>
  <c r="R854" i="12"/>
  <c r="R1075" i="12"/>
  <c r="R1641" i="12"/>
  <c r="R719" i="12"/>
  <c r="R783" i="12"/>
  <c r="R216" i="12"/>
  <c r="R3441" i="12"/>
  <c r="R3477" i="12"/>
  <c r="R1639" i="12"/>
  <c r="R1321" i="12"/>
  <c r="R480" i="12"/>
  <c r="R3217" i="12"/>
  <c r="R2800" i="12"/>
  <c r="R2298" i="12"/>
  <c r="R1362" i="12"/>
  <c r="R1930" i="12"/>
  <c r="R643" i="12"/>
  <c r="R1022" i="12"/>
  <c r="R3198" i="12"/>
  <c r="R3466" i="12"/>
  <c r="R2634" i="12"/>
  <c r="R563" i="12"/>
  <c r="R2697" i="12"/>
  <c r="R529" i="12"/>
  <c r="R2947" i="12"/>
  <c r="R1471" i="12"/>
  <c r="R2235" i="12"/>
  <c r="R3167" i="12"/>
  <c r="R2516" i="12"/>
  <c r="R2182" i="12"/>
  <c r="R3436" i="12"/>
  <c r="R2044" i="12"/>
  <c r="R292" i="12"/>
  <c r="R2538" i="12"/>
  <c r="R1152" i="12"/>
  <c r="R3208" i="12"/>
  <c r="R130" i="12"/>
  <c r="R1240" i="12"/>
  <c r="R555" i="12"/>
  <c r="R2622" i="12"/>
  <c r="R1342" i="12"/>
  <c r="R3186" i="12"/>
  <c r="R1261" i="12"/>
  <c r="R408" i="12"/>
  <c r="R2579" i="12"/>
  <c r="R624" i="12"/>
  <c r="R2801" i="12"/>
  <c r="R1189" i="12"/>
  <c r="R2447" i="12"/>
  <c r="R3290" i="12"/>
  <c r="R820" i="12"/>
  <c r="R463" i="12"/>
  <c r="R3021" i="12"/>
  <c r="R1158" i="12"/>
  <c r="R659" i="12"/>
  <c r="R3417" i="12"/>
  <c r="R1627" i="12"/>
  <c r="R1281" i="12"/>
  <c r="R2580" i="12"/>
  <c r="R3153" i="12"/>
  <c r="R2549" i="12"/>
  <c r="R467" i="12"/>
  <c r="R1654" i="12"/>
  <c r="R1791" i="12"/>
  <c r="R1405" i="12"/>
  <c r="R611" i="12"/>
  <c r="R2522" i="12"/>
  <c r="R2189" i="12"/>
  <c r="R740" i="12"/>
  <c r="R642" i="12"/>
  <c r="R3229" i="12"/>
  <c r="R612" i="12"/>
  <c r="R588" i="12"/>
  <c r="R2986" i="12"/>
  <c r="R2137" i="12"/>
  <c r="R3517" i="12"/>
  <c r="R213" i="12"/>
  <c r="R115" i="12"/>
  <c r="R2110" i="12"/>
  <c r="R628" i="12"/>
  <c r="R3475" i="12"/>
  <c r="R1428" i="12"/>
  <c r="R517" i="12"/>
  <c r="R1324" i="12"/>
  <c r="R1694" i="12"/>
  <c r="R2976" i="12"/>
  <c r="R2083" i="12"/>
  <c r="R1729" i="12"/>
  <c r="R3020" i="12"/>
  <c r="R2287" i="12"/>
  <c r="R1176" i="12"/>
  <c r="R2518" i="12"/>
  <c r="R1586" i="12"/>
  <c r="R1147" i="12"/>
  <c r="R166" i="12"/>
  <c r="R978" i="12"/>
  <c r="R625" i="12"/>
  <c r="R2411" i="12"/>
  <c r="R220" i="12"/>
  <c r="R1142" i="12"/>
  <c r="R1340" i="12"/>
  <c r="R50" i="12"/>
  <c r="R2381" i="12"/>
  <c r="R2152" i="12"/>
  <c r="R1256" i="12"/>
  <c r="R1402" i="12"/>
  <c r="R1883" i="12"/>
  <c r="R1206" i="12"/>
  <c r="R1553" i="12"/>
  <c r="R654" i="12"/>
  <c r="R255" i="12"/>
  <c r="R1887" i="12"/>
  <c r="R222" i="12"/>
  <c r="R1790" i="12"/>
  <c r="R692" i="12"/>
  <c r="R3081" i="12"/>
  <c r="R3435" i="12"/>
  <c r="R84" i="12"/>
  <c r="R1782" i="12"/>
  <c r="R3111" i="12"/>
  <c r="R1971" i="12"/>
  <c r="R775" i="12"/>
  <c r="R806" i="12"/>
  <c r="R3233" i="12"/>
  <c r="R106" i="12"/>
  <c r="R1252" i="12"/>
  <c r="R882" i="12"/>
  <c r="R2254" i="12"/>
  <c r="R3370" i="12"/>
  <c r="R699" i="12"/>
  <c r="R1800" i="12"/>
  <c r="R1659" i="12"/>
  <c r="R1730" i="12"/>
  <c r="R3342" i="12"/>
  <c r="R710" i="12"/>
  <c r="R3480" i="12"/>
  <c r="R2018" i="12"/>
  <c r="R3405" i="12"/>
  <c r="R1388" i="12"/>
  <c r="R2466" i="12"/>
  <c r="R2570" i="12"/>
  <c r="R1411" i="12"/>
  <c r="R1697" i="12"/>
  <c r="R1634" i="12"/>
  <c r="R70" i="12"/>
  <c r="R590" i="12"/>
  <c r="R1435" i="12"/>
  <c r="R231" i="12"/>
  <c r="R3043" i="12"/>
  <c r="R2487" i="12"/>
  <c r="R1576" i="12"/>
  <c r="R1947" i="12"/>
  <c r="R2568" i="12"/>
  <c r="R20" i="12"/>
  <c r="R3007" i="12"/>
  <c r="R1418" i="12"/>
  <c r="R2756" i="12"/>
  <c r="R1249" i="12"/>
  <c r="R1188" i="12"/>
  <c r="R977" i="12"/>
  <c r="R2286" i="12"/>
  <c r="R958" i="12"/>
  <c r="R1145" i="12"/>
  <c r="R3350" i="12"/>
  <c r="R2262" i="12"/>
  <c r="R2763" i="12"/>
  <c r="R3053" i="12"/>
  <c r="R301" i="12"/>
  <c r="R3429" i="12"/>
  <c r="R2142" i="12"/>
  <c r="R352" i="12"/>
  <c r="R1985" i="12"/>
  <c r="R3326" i="12"/>
  <c r="R1055" i="12"/>
  <c r="R1180" i="12"/>
  <c r="R1445" i="12"/>
  <c r="R2878" i="12"/>
  <c r="R2952" i="12"/>
  <c r="R2933" i="12"/>
  <c r="R121" i="12"/>
  <c r="R2962" i="12"/>
  <c r="R1923" i="12"/>
  <c r="R880" i="12"/>
  <c r="R2398" i="12"/>
  <c r="R3024" i="12"/>
  <c r="R3513" i="12"/>
  <c r="R1488" i="12"/>
  <c r="R2502" i="12"/>
  <c r="R425" i="12"/>
  <c r="R1365" i="12"/>
  <c r="R1520" i="12"/>
  <c r="R1020" i="12"/>
  <c r="R3240" i="12"/>
  <c r="R2630" i="12"/>
  <c r="R2019" i="12"/>
  <c r="R1666" i="12"/>
  <c r="R3226" i="12"/>
  <c r="R2203" i="12"/>
  <c r="R2227" i="12"/>
  <c r="R887" i="12"/>
  <c r="R2675" i="12"/>
  <c r="R1307" i="12"/>
  <c r="R2160" i="12"/>
  <c r="R2999" i="12"/>
  <c r="R768" i="12"/>
  <c r="R1287" i="12"/>
  <c r="R957" i="12"/>
  <c r="R2433" i="12"/>
  <c r="R461" i="12"/>
  <c r="R1952" i="12"/>
  <c r="R1290" i="12"/>
  <c r="R3184" i="12"/>
  <c r="R293" i="12"/>
  <c r="R2567" i="12"/>
  <c r="R2555" i="12"/>
  <c r="R3110" i="12"/>
  <c r="R1756" i="12"/>
  <c r="R1156" i="12"/>
  <c r="R585" i="12"/>
  <c r="R1129" i="12"/>
  <c r="R2289" i="12"/>
  <c r="R739" i="12"/>
  <c r="R837" i="12"/>
  <c r="R65" i="12"/>
  <c r="R2860" i="12"/>
  <c r="R1280" i="12"/>
  <c r="R2344" i="12"/>
  <c r="R2536" i="12"/>
  <c r="R712" i="12"/>
  <c r="R2378" i="12"/>
  <c r="R1869" i="12"/>
  <c r="R1781" i="12"/>
  <c r="R549" i="12"/>
  <c r="R1414" i="12"/>
  <c r="R2543" i="12"/>
  <c r="R1946" i="12"/>
  <c r="R2750" i="12"/>
  <c r="R2439" i="12"/>
  <c r="R761" i="12"/>
  <c r="R1778" i="12"/>
  <c r="R1072" i="12"/>
  <c r="R2123" i="12"/>
  <c r="R492" i="12"/>
  <c r="R3525" i="12"/>
  <c r="R2529" i="12"/>
  <c r="R2547" i="12"/>
  <c r="R3413" i="12"/>
  <c r="R1061" i="12"/>
  <c r="R810" i="12"/>
  <c r="R2342" i="12"/>
  <c r="R2312" i="12"/>
  <c r="R3159" i="12"/>
  <c r="R828" i="12"/>
  <c r="R3369" i="12"/>
  <c r="R3105" i="12"/>
  <c r="R1165" i="12"/>
  <c r="R140" i="12"/>
  <c r="R1212" i="12"/>
  <c r="R445" i="12"/>
  <c r="R1090" i="12"/>
  <c r="R679" i="12"/>
  <c r="R3336" i="12"/>
  <c r="R2340" i="12"/>
  <c r="R2021" i="12"/>
  <c r="R868" i="12"/>
  <c r="R2747" i="12"/>
  <c r="R36" i="12"/>
  <c r="R2022" i="12"/>
  <c r="R1684" i="12"/>
  <c r="R1101" i="12"/>
  <c r="R3482" i="12"/>
  <c r="R1313" i="12"/>
  <c r="R985" i="12"/>
  <c r="R2050" i="12"/>
  <c r="R3193" i="12"/>
  <c r="R228" i="12"/>
  <c r="R2948" i="12"/>
  <c r="R22" i="12"/>
  <c r="R2070" i="12"/>
  <c r="R1100" i="12"/>
  <c r="R3356" i="12"/>
  <c r="R2836" i="12"/>
  <c r="R2221" i="12"/>
  <c r="R3502" i="12"/>
  <c r="R1740" i="12"/>
  <c r="R253" i="12"/>
  <c r="R1133" i="12"/>
  <c r="R2457" i="12"/>
  <c r="R1334" i="12"/>
  <c r="R2890" i="12"/>
  <c r="R2403" i="12"/>
  <c r="R572" i="12"/>
  <c r="R2680" i="12"/>
  <c r="R2765" i="12"/>
  <c r="R1019" i="12"/>
  <c r="R1613" i="12"/>
  <c r="R3352" i="12"/>
  <c r="R2000" i="12"/>
  <c r="R3319" i="12"/>
  <c r="R384" i="12"/>
  <c r="R1763" i="12"/>
  <c r="R1753" i="12"/>
  <c r="R1777" i="12"/>
  <c r="R56" i="12"/>
  <c r="R2313" i="12"/>
  <c r="R2850" i="12"/>
  <c r="R248" i="12"/>
  <c r="R378" i="12"/>
  <c r="R996" i="12"/>
  <c r="R80" i="12"/>
  <c r="R2578" i="12"/>
  <c r="R3474" i="12"/>
  <c r="R2539" i="12"/>
  <c r="R2573" i="12"/>
  <c r="R398" i="12"/>
  <c r="R257" i="12"/>
  <c r="R2873" i="12"/>
  <c r="R943" i="12"/>
  <c r="R1163" i="12"/>
  <c r="R3047" i="12"/>
  <c r="R1540" i="12"/>
  <c r="R3144" i="12"/>
  <c r="R2051" i="12"/>
  <c r="R2006" i="12"/>
  <c r="R2198" i="12"/>
  <c r="R395" i="12"/>
  <c r="R410" i="12"/>
  <c r="R3190" i="12"/>
  <c r="R706" i="12"/>
  <c r="R433" i="12"/>
  <c r="R1136" i="12"/>
  <c r="R864" i="12"/>
  <c r="R2927" i="12"/>
  <c r="R1098" i="12"/>
  <c r="R63" i="12"/>
  <c r="R1859" i="12"/>
  <c r="R2668" i="12"/>
  <c r="R1525" i="12"/>
  <c r="R3164" i="12"/>
  <c r="R399" i="12"/>
  <c r="R304" i="12"/>
  <c r="R543" i="12"/>
  <c r="R1238" i="12"/>
  <c r="R551" i="12"/>
  <c r="R2816" i="12"/>
  <c r="R362" i="12"/>
  <c r="R2978" i="12"/>
  <c r="R2206" i="12"/>
  <c r="R2320" i="12"/>
  <c r="R2337" i="12"/>
  <c r="R1045" i="12"/>
  <c r="R1863" i="12"/>
  <c r="R3526" i="12"/>
  <c r="R1084" i="12"/>
  <c r="R2635" i="12"/>
  <c r="R226" i="12"/>
  <c r="R2624" i="12"/>
  <c r="R2012" i="12"/>
  <c r="R2296" i="12"/>
  <c r="R2158" i="12"/>
  <c r="R2779" i="12"/>
  <c r="R2218" i="12"/>
  <c r="R2020" i="12"/>
  <c r="R634" i="12"/>
  <c r="R367" i="12"/>
  <c r="R884" i="12"/>
  <c r="R1906" i="12"/>
  <c r="R2141" i="12"/>
  <c r="R591" i="12"/>
  <c r="R3312" i="12"/>
  <c r="R3296" i="12"/>
  <c r="R1454" i="12"/>
  <c r="R3389" i="12"/>
  <c r="R2769" i="12"/>
  <c r="R3499" i="12"/>
  <c r="R1742" i="12"/>
  <c r="R2392" i="12"/>
  <c r="R1495" i="12"/>
  <c r="R509" i="12"/>
  <c r="R1943" i="12"/>
  <c r="R297" i="12"/>
  <c r="R1837" i="12"/>
  <c r="R3150" i="12"/>
  <c r="R682" i="12"/>
  <c r="R234" i="12"/>
  <c r="R2717" i="12"/>
  <c r="R511" i="12"/>
  <c r="R873" i="12"/>
  <c r="R2764" i="12"/>
  <c r="R1391" i="12"/>
  <c r="R3225" i="12"/>
  <c r="R2813" i="12"/>
  <c r="R2954" i="12"/>
  <c r="R2899" i="12"/>
  <c r="R959" i="12"/>
  <c r="R1522" i="12"/>
  <c r="R2601" i="12"/>
  <c r="R3133" i="12"/>
  <c r="R2318" i="12"/>
  <c r="R60" i="12"/>
  <c r="R2569" i="12"/>
  <c r="R2356" i="12"/>
  <c r="R722" i="12"/>
  <c r="R1788" i="12"/>
  <c r="R3130" i="12"/>
  <c r="R2329" i="12"/>
  <c r="R846" i="12"/>
  <c r="R2465" i="12"/>
  <c r="R918" i="12"/>
  <c r="R2016" i="12"/>
  <c r="R3018" i="12"/>
  <c r="R922" i="12"/>
  <c r="R275" i="12"/>
  <c r="R2071" i="12"/>
  <c r="R2949" i="12"/>
  <c r="R1123" i="12"/>
  <c r="R276" i="12"/>
  <c r="R1164" i="12"/>
  <c r="R664" i="12"/>
  <c r="R3335" i="12"/>
  <c r="R2437" i="12"/>
  <c r="R2593" i="12"/>
  <c r="R1951" i="12"/>
  <c r="R192" i="12"/>
  <c r="R1416" i="12"/>
  <c r="R812" i="12"/>
  <c r="R2180" i="12"/>
  <c r="R2990" i="12"/>
  <c r="R338" i="12"/>
  <c r="R3444" i="12"/>
  <c r="R2297" i="12"/>
  <c r="R2861" i="12"/>
  <c r="R1309" i="12"/>
  <c r="R604" i="12"/>
  <c r="R1820" i="12"/>
  <c r="R1652" i="12"/>
  <c r="R2794" i="12"/>
  <c r="R1260" i="12"/>
  <c r="R2577" i="12"/>
  <c r="R3259" i="12"/>
  <c r="R1687" i="12"/>
  <c r="R1696" i="12"/>
  <c r="R1636" i="12"/>
  <c r="R3507" i="12"/>
  <c r="R2787" i="12"/>
  <c r="R1608" i="12"/>
  <c r="R809" i="12"/>
  <c r="R2419" i="12"/>
  <c r="R3372" i="12"/>
  <c r="R2837" i="12"/>
  <c r="R2436" i="12"/>
  <c r="R2106" i="12"/>
  <c r="R1719" i="12"/>
  <c r="R1889" i="12"/>
  <c r="R601" i="12"/>
  <c r="R2783" i="12"/>
  <c r="R553" i="12"/>
  <c r="R2923" i="12"/>
  <c r="R505" i="12"/>
  <c r="R633" i="12"/>
  <c r="R3065" i="12"/>
  <c r="R1368" i="12"/>
  <c r="R1718" i="12"/>
  <c r="R1178" i="12"/>
  <c r="R2706" i="12"/>
  <c r="R969" i="12"/>
  <c r="R992" i="12"/>
  <c r="R952" i="12"/>
  <c r="R953" i="12"/>
  <c r="R3117" i="12"/>
  <c r="R1081" i="12"/>
  <c r="R1207" i="12"/>
  <c r="R2435" i="12"/>
  <c r="R462" i="12"/>
  <c r="R2972" i="12"/>
  <c r="R92" i="12"/>
  <c r="R687" i="12"/>
  <c r="R128" i="12"/>
  <c r="R1406" i="12"/>
  <c r="R1229" i="12"/>
  <c r="R3155" i="12"/>
  <c r="R1457" i="12"/>
  <c r="R2709" i="12"/>
  <c r="R877" i="12"/>
  <c r="R438" i="12"/>
  <c r="R3183" i="12"/>
  <c r="R1015" i="12"/>
  <c r="R793" i="12"/>
  <c r="R3260" i="12"/>
  <c r="R3088" i="12"/>
  <c r="R3120" i="12"/>
  <c r="R2145" i="12"/>
  <c r="R1726" i="12"/>
  <c r="R2231" i="12"/>
  <c r="R2133" i="12"/>
  <c r="R1427" i="12"/>
  <c r="R916" i="12"/>
  <c r="R2712" i="12"/>
  <c r="R1688" i="12"/>
  <c r="R151" i="12"/>
  <c r="R2590" i="12"/>
  <c r="R119" i="12"/>
  <c r="R3063" i="12"/>
  <c r="R2969" i="12"/>
  <c r="R2353" i="12"/>
  <c r="R2232" i="12"/>
  <c r="R1578" i="12"/>
  <c r="R3108" i="12"/>
  <c r="R2587" i="12"/>
  <c r="R1336" i="12"/>
  <c r="R1301" i="12"/>
  <c r="R2393" i="12"/>
  <c r="R465" i="12"/>
  <c r="R2995" i="12"/>
  <c r="R2377" i="12"/>
  <c r="R2252" i="12"/>
  <c r="R3118" i="12"/>
  <c r="R3049" i="12"/>
  <c r="R2201" i="12"/>
  <c r="R1341" i="12"/>
  <c r="R1867" i="12"/>
  <c r="R1514" i="12"/>
  <c r="R2525" i="12"/>
  <c r="R1422" i="12"/>
  <c r="R3408" i="12"/>
  <c r="R469" i="12"/>
  <c r="R3216" i="12"/>
  <c r="R3430" i="12"/>
  <c r="R1949" i="12"/>
  <c r="R1921" i="12"/>
  <c r="R1023" i="12"/>
  <c r="R855" i="12"/>
  <c r="R3460" i="12"/>
  <c r="R1657" i="12"/>
  <c r="R2333" i="12"/>
  <c r="R2087" i="12"/>
  <c r="R2128" i="12"/>
  <c r="R1849" i="12"/>
  <c r="R1840" i="12"/>
  <c r="R2832" i="12"/>
  <c r="R1439" i="12"/>
  <c r="R1167" i="12"/>
  <c r="R1562" i="12"/>
  <c r="R466" i="12"/>
  <c r="R57" i="12"/>
  <c r="R937" i="12"/>
  <c r="R29" i="12"/>
  <c r="R2865" i="12"/>
  <c r="R848" i="12"/>
  <c r="R697" i="12"/>
  <c r="R1551" i="12"/>
  <c r="R776" i="12"/>
  <c r="R1284" i="12"/>
  <c r="R1354" i="12"/>
  <c r="R33" i="12"/>
  <c r="R2174" i="12"/>
  <c r="R550" i="12"/>
  <c r="R240" i="12"/>
  <c r="R198" i="12"/>
  <c r="R1171" i="12"/>
  <c r="R2045" i="12"/>
  <c r="R2132" i="12"/>
  <c r="R3377" i="12"/>
  <c r="R1824" i="12"/>
  <c r="R2636" i="12"/>
  <c r="R841" i="12"/>
  <c r="R2494" i="12"/>
  <c r="R2055" i="12"/>
  <c r="R2049" i="12"/>
  <c r="R2903" i="12"/>
  <c r="R747" i="12"/>
  <c r="R904" i="12"/>
  <c r="R890" i="12"/>
  <c r="R1477" i="12"/>
  <c r="R2326" i="12"/>
  <c r="R2237" i="12"/>
  <c r="R1509" i="12"/>
  <c r="R2463" i="12"/>
  <c r="R2488" i="12"/>
  <c r="R1977" i="12"/>
  <c r="R416" i="12"/>
  <c r="R2505" i="12"/>
  <c r="R3503" i="12"/>
  <c r="R3205" i="12"/>
  <c r="R3093" i="12"/>
  <c r="R3329" i="12"/>
  <c r="R447" i="12"/>
  <c r="R3075" i="12"/>
  <c r="R1105" i="12"/>
  <c r="R102" i="12"/>
  <c r="R2753" i="12"/>
  <c r="R3071" i="12"/>
  <c r="R194" i="12"/>
  <c r="R2194" i="12"/>
  <c r="R3152" i="12"/>
  <c r="R238" i="12"/>
  <c r="R3201" i="12"/>
  <c r="R1137" i="12"/>
  <c r="R1643" i="12"/>
  <c r="R2251" i="12"/>
  <c r="R3303" i="12"/>
  <c r="R2112" i="12"/>
  <c r="R2973" i="12"/>
  <c r="R2364" i="12"/>
  <c r="R3178" i="12"/>
  <c r="R3068" i="12"/>
  <c r="R1353" i="12"/>
  <c r="R656" i="12"/>
  <c r="R3396" i="12"/>
  <c r="R1216" i="12"/>
  <c r="R331" i="12"/>
  <c r="R2805" i="12"/>
  <c r="R1748" i="12"/>
  <c r="R1982" i="12"/>
  <c r="R516" i="12"/>
  <c r="R1976" i="12"/>
  <c r="R2921" i="12"/>
  <c r="R1823" i="12"/>
  <c r="R1037" i="12"/>
  <c r="R898" i="12"/>
  <c r="R648" i="12"/>
  <c r="R1759" i="12"/>
  <c r="R1558" i="12"/>
  <c r="R2084" i="12"/>
  <c r="R3157" i="12"/>
  <c r="R110" i="12"/>
  <c r="R546" i="12"/>
  <c r="R849" i="12"/>
  <c r="R1343" i="12"/>
  <c r="R1609" i="12"/>
  <c r="R1228" i="12"/>
  <c r="R2699" i="12"/>
  <c r="R3418" i="12"/>
  <c r="R211" i="12"/>
  <c r="R1838" i="12"/>
  <c r="R2103" i="12"/>
  <c r="R514" i="12"/>
  <c r="R734" i="12"/>
  <c r="R2349" i="12"/>
  <c r="R792" i="12"/>
  <c r="R1746" i="12"/>
  <c r="R1001" i="12"/>
  <c r="R459" i="12"/>
  <c r="R784" i="12"/>
  <c r="R1322" i="12"/>
  <c r="R1764" i="12"/>
  <c r="R1282" i="12"/>
  <c r="R470" i="12"/>
  <c r="R3195" i="12"/>
  <c r="R1064" i="12"/>
  <c r="R2893" i="12"/>
  <c r="R391" i="12"/>
  <c r="R3528" i="12"/>
  <c r="R2666" i="12"/>
  <c r="R772" i="12"/>
  <c r="R420" i="12"/>
  <c r="R3366" i="12"/>
  <c r="R54" i="12"/>
  <c r="R2868" i="12"/>
  <c r="R124" i="12"/>
  <c r="R2449" i="12"/>
  <c r="R2524" i="12"/>
  <c r="R1683" i="12"/>
  <c r="R3490" i="12"/>
  <c r="R745" i="12"/>
  <c r="R727" i="12"/>
  <c r="R1399" i="12"/>
  <c r="R652" i="12"/>
  <c r="R2528" i="12"/>
  <c r="R2883" i="12"/>
  <c r="R3272" i="12"/>
  <c r="R455" i="12"/>
  <c r="R1784" i="12"/>
  <c r="R3057" i="12"/>
  <c r="R1707" i="12"/>
  <c r="R665" i="12"/>
  <c r="R1816" i="12"/>
  <c r="R232" i="12"/>
  <c r="R3128" i="12"/>
  <c r="R2533" i="12"/>
  <c r="R1140" i="12"/>
  <c r="R404" i="12"/>
  <c r="R1597" i="12"/>
  <c r="R2906" i="12"/>
  <c r="R2562" i="12"/>
  <c r="R993" i="12"/>
  <c r="R1935" i="12"/>
  <c r="R2207" i="12"/>
  <c r="R3079" i="12"/>
  <c r="R1591" i="12"/>
  <c r="R2617" i="12"/>
  <c r="R111" i="12"/>
  <c r="R947" i="12"/>
  <c r="R2943" i="12"/>
  <c r="R2711" i="12"/>
  <c r="R1479" i="12"/>
  <c r="R2695" i="12"/>
  <c r="R519" i="12"/>
  <c r="R845" i="12"/>
  <c r="R3176" i="12"/>
  <c r="R2076" i="12"/>
  <c r="R940" i="12"/>
  <c r="R2777" i="12"/>
  <c r="R1891" i="12"/>
  <c r="R3017" i="12"/>
  <c r="R2671" i="12"/>
  <c r="R2069" i="12"/>
  <c r="R2965" i="12"/>
  <c r="R2820" i="12"/>
  <c r="R2583" i="12"/>
  <c r="R946" i="12"/>
  <c r="R1046" i="12"/>
  <c r="R170" i="12"/>
  <c r="R3114" i="12"/>
  <c r="R1812" i="12"/>
  <c r="R2602" i="12"/>
  <c r="R3113" i="12"/>
  <c r="R3364" i="12"/>
  <c r="R3368" i="12"/>
  <c r="R2157" i="12"/>
  <c r="R1526" i="12"/>
  <c r="R2193" i="12"/>
  <c r="R1110" i="12"/>
  <c r="R473" i="12"/>
  <c r="R502" i="12"/>
  <c r="R2845" i="12"/>
  <c r="R1647" i="12"/>
  <c r="R1750" i="12"/>
  <c r="R2834" i="12"/>
  <c r="R2665" i="12"/>
  <c r="R723" i="12"/>
  <c r="R3255" i="12"/>
  <c r="R808" i="12"/>
  <c r="R3056" i="12"/>
  <c r="R305" i="12"/>
  <c r="R498" i="12"/>
  <c r="R1663" i="12"/>
  <c r="R3066" i="12"/>
  <c r="R888" i="12"/>
  <c r="R1127" i="12"/>
  <c r="R3452" i="12"/>
  <c r="R2922" i="12"/>
  <c r="R2874" i="12"/>
  <c r="R2402" i="12"/>
  <c r="R1384" i="12"/>
  <c r="R758" i="12"/>
  <c r="R562" i="12"/>
  <c r="R897" i="12"/>
  <c r="R1900" i="12"/>
  <c r="R3331" i="12"/>
  <c r="R2907" i="12"/>
  <c r="R2993" i="12"/>
  <c r="R1918" i="12"/>
  <c r="R137" i="12"/>
  <c r="R2453" i="12"/>
  <c r="R197" i="12"/>
  <c r="R2371" i="12"/>
  <c r="R3182" i="12"/>
  <c r="R2276" i="12"/>
  <c r="R2115" i="12"/>
  <c r="R2220" i="12"/>
  <c r="R48" i="12"/>
  <c r="R2793" i="12"/>
  <c r="R109" i="12"/>
  <c r="R2059" i="12"/>
  <c r="R2470" i="12"/>
  <c r="R742" i="12"/>
  <c r="R1870" i="12"/>
  <c r="R1370" i="12"/>
  <c r="R3328" i="12"/>
  <c r="R2653" i="12"/>
  <c r="R3112" i="12"/>
  <c r="R1842" i="12"/>
  <c r="R1057" i="12"/>
  <c r="R923" i="12"/>
  <c r="R1433" i="12"/>
  <c r="R560" i="12"/>
  <c r="R548" i="12"/>
  <c r="R114" i="12"/>
  <c r="R2332" i="12"/>
  <c r="R200" i="12"/>
  <c r="R1086" i="12"/>
  <c r="R1050" i="12"/>
  <c r="R334" i="12"/>
  <c r="R500" i="12"/>
  <c r="R1217" i="12"/>
  <c r="R2212" i="12"/>
  <c r="R536" i="12"/>
  <c r="R1093" i="12"/>
  <c r="R3148" i="12"/>
  <c r="R568" i="12"/>
  <c r="R2302" i="12"/>
  <c r="R3345" i="12"/>
  <c r="R450" i="12"/>
  <c r="R2256" i="12"/>
  <c r="R3001" i="12"/>
  <c r="R412" i="12"/>
  <c r="R1534" i="12"/>
  <c r="R2855" i="12"/>
  <c r="R2375" i="12"/>
  <c r="R3168" i="12"/>
  <c r="R2471" i="12"/>
  <c r="R3252" i="12"/>
  <c r="R2054" i="12"/>
  <c r="R339" i="12"/>
  <c r="R2033" i="12"/>
  <c r="R3325" i="12"/>
  <c r="R3023" i="12"/>
  <c r="R1184" i="12"/>
  <c r="R3476" i="12"/>
  <c r="R915" i="12"/>
  <c r="R2917" i="12"/>
  <c r="R258" i="12"/>
  <c r="R1159" i="12"/>
  <c r="R2561" i="12"/>
  <c r="R1559" i="12"/>
  <c r="R2759" i="12"/>
  <c r="R1825" i="12"/>
  <c r="R1890" i="12"/>
  <c r="R2415" i="12"/>
  <c r="R2215" i="12"/>
  <c r="R3514" i="12"/>
  <c r="R3196" i="12"/>
  <c r="R893" i="12"/>
  <c r="R1283" i="12"/>
  <c r="R3371" i="12"/>
  <c r="R1266" i="12"/>
  <c r="R2610" i="12"/>
  <c r="R2859" i="12"/>
  <c r="R3536" i="12"/>
  <c r="R1709" i="12"/>
  <c r="R1319" i="12"/>
  <c r="R2936" i="12"/>
  <c r="R2725" i="12"/>
  <c r="R1913" i="12"/>
  <c r="R979" i="12"/>
  <c r="R615" i="12"/>
  <c r="R2792" i="12"/>
  <c r="R89" i="12"/>
  <c r="R3431" i="12"/>
  <c r="R2092" i="12"/>
  <c r="R2043" i="12"/>
  <c r="R2247" i="12"/>
  <c r="R3341" i="12"/>
  <c r="R3258" i="12"/>
  <c r="R1083" i="12"/>
  <c r="R3487" i="12"/>
  <c r="R3228" i="12"/>
  <c r="R3064" i="12"/>
  <c r="R545" i="12"/>
  <c r="R795" i="12"/>
  <c r="R3289" i="12"/>
  <c r="R172" i="12"/>
  <c r="R3096" i="12"/>
  <c r="R1567" i="12"/>
  <c r="R1000" i="12"/>
  <c r="R317" i="12"/>
  <c r="R2410" i="12"/>
  <c r="R2292" i="12"/>
  <c r="R1349" i="12"/>
  <c r="R1192" i="12"/>
  <c r="R3472" i="12"/>
  <c r="R1547" i="12"/>
  <c r="R2527" i="12"/>
  <c r="R1902" i="12"/>
  <c r="R432" i="12"/>
  <c r="R320" i="12"/>
  <c r="R2027" i="12"/>
  <c r="R669" i="12"/>
  <c r="R1490" i="12"/>
  <c r="R737" i="12"/>
  <c r="R2424" i="12"/>
  <c r="R1749" i="12"/>
  <c r="R1561" i="12"/>
  <c r="R125" i="12"/>
  <c r="R3145" i="12"/>
  <c r="R1615" i="12"/>
  <c r="R791" i="12"/>
  <c r="R3059" i="12"/>
  <c r="R446" i="12"/>
  <c r="R2955" i="12"/>
  <c r="R1082" i="12"/>
  <c r="R2914" i="12"/>
  <c r="R3288" i="12"/>
  <c r="R1440" i="12"/>
  <c r="R2228" i="12"/>
  <c r="R350" i="12"/>
  <c r="R600" i="12"/>
  <c r="R3106" i="12"/>
  <c r="R2643" i="12"/>
  <c r="R439" i="12"/>
  <c r="R530" i="12"/>
  <c r="R1513" i="12"/>
  <c r="R1496" i="12"/>
  <c r="R931" i="12"/>
  <c r="R2272" i="12"/>
  <c r="R924" i="12"/>
  <c r="R3428" i="12"/>
  <c r="R2735" i="12"/>
  <c r="R518" i="12"/>
  <c r="R622" i="12"/>
  <c r="R2234" i="12"/>
  <c r="R1598" i="12"/>
  <c r="R844" i="12"/>
  <c r="R2013" i="12"/>
  <c r="R661" i="12"/>
  <c r="R365" i="12"/>
  <c r="R1813" i="12"/>
  <c r="R196" i="12"/>
  <c r="R1541" i="12"/>
  <c r="R2432" i="12"/>
  <c r="R3330" i="12"/>
  <c r="R67" i="12"/>
  <c r="R1879" i="12"/>
  <c r="R3266" i="12"/>
  <c r="R1585" i="12"/>
  <c r="R743" i="12"/>
  <c r="R223" i="12"/>
  <c r="R968" i="12"/>
  <c r="R816" i="12"/>
  <c r="R3083" i="12"/>
  <c r="R1610" i="12"/>
  <c r="R1768" i="12"/>
  <c r="R2691" i="12"/>
  <c r="R2661" i="12"/>
  <c r="R3355" i="12"/>
  <c r="R668" i="12"/>
  <c r="R564" i="12"/>
  <c r="R135" i="12"/>
  <c r="R913" i="12"/>
  <c r="R1573" i="12"/>
  <c r="R2255" i="12"/>
  <c r="R1769" i="12"/>
  <c r="R3343" i="12"/>
  <c r="R497" i="12"/>
  <c r="R1286" i="12"/>
  <c r="R501" i="12"/>
  <c r="R3347" i="12"/>
  <c r="R1333" i="12"/>
  <c r="R2724" i="12"/>
  <c r="R2723" i="12"/>
  <c r="R2964" i="12"/>
  <c r="R1203" i="12"/>
  <c r="R2797" i="12"/>
  <c r="R1175" i="12"/>
  <c r="R2806" i="12"/>
  <c r="R859" i="12"/>
  <c r="R2503" i="12"/>
  <c r="R2988" i="12"/>
  <c r="R2606" i="12"/>
  <c r="R1904" i="12"/>
  <c r="R1369" i="12"/>
  <c r="R1603" i="12"/>
  <c r="R540" i="12"/>
  <c r="R1318" i="12"/>
  <c r="R3422" i="12"/>
  <c r="R1409" i="12"/>
  <c r="R59" i="12"/>
  <c r="R1851" i="12"/>
  <c r="R2532" i="12"/>
  <c r="R2136" i="12"/>
  <c r="R2957" i="12"/>
  <c r="R707" i="12"/>
  <c r="R3348" i="12"/>
  <c r="R243" i="12"/>
  <c r="R380" i="12"/>
  <c r="R941" i="12"/>
  <c r="R1012" i="12"/>
  <c r="R3241" i="12"/>
  <c r="R1633" i="12"/>
  <c r="R417" i="12"/>
  <c r="R1258" i="12"/>
  <c r="R780" i="12"/>
  <c r="R2177" i="12"/>
  <c r="R38" i="12"/>
  <c r="R1161" i="12"/>
  <c r="R1034" i="12"/>
  <c r="R3442" i="12"/>
  <c r="R3540" i="12"/>
  <c r="R1498" i="12"/>
  <c r="R1845" i="12"/>
  <c r="R862" i="12"/>
  <c r="R1491" i="12"/>
  <c r="R1404" i="12"/>
  <c r="R1494" i="12"/>
  <c r="R919" i="12"/>
  <c r="R3283" i="12"/>
  <c r="R2284" i="12"/>
  <c r="R2067" i="12"/>
  <c r="R986" i="12"/>
  <c r="R1005" i="12"/>
  <c r="R2730" i="12"/>
  <c r="R1065" i="12"/>
  <c r="R2900" i="12"/>
  <c r="R912" i="12"/>
  <c r="R636" i="12"/>
  <c r="R843" i="12"/>
  <c r="R1162" i="12"/>
  <c r="R1564" i="12"/>
  <c r="R1027" i="12"/>
  <c r="R1886" i="12"/>
  <c r="R2884" i="12"/>
  <c r="R626" i="12"/>
  <c r="R2091" i="12"/>
  <c r="R835" i="12"/>
  <c r="R1078" i="12"/>
  <c r="R2977" i="12"/>
  <c r="R1241" i="12"/>
  <c r="R2417" i="12"/>
  <c r="R1035" i="12"/>
  <c r="R3086" i="12"/>
  <c r="R482" i="12"/>
  <c r="R175" i="12"/>
  <c r="R436" i="12"/>
  <c r="R3496" i="12"/>
  <c r="R1940" i="12"/>
  <c r="R2499" i="12"/>
  <c r="R2301" i="12"/>
  <c r="R1881" i="12"/>
  <c r="R3550" i="12"/>
  <c r="R215" i="12"/>
  <c r="R489" i="12"/>
  <c r="R2685" i="12"/>
  <c r="R1361" i="12"/>
  <c r="R3147" i="12"/>
  <c r="R51" i="12"/>
  <c r="R3116" i="12"/>
  <c r="R891" i="12"/>
  <c r="R261" i="12"/>
  <c r="R2659" i="12"/>
  <c r="R1836" i="12"/>
  <c r="R2428" i="12"/>
  <c r="R2720" i="12"/>
  <c r="R800" i="12"/>
  <c r="R2658" i="12"/>
  <c r="R733" i="12"/>
  <c r="R2127" i="12"/>
  <c r="R2243" i="12"/>
  <c r="R262" i="12"/>
  <c r="R1051" i="12"/>
  <c r="R1757" i="12"/>
  <c r="R2925" i="12"/>
  <c r="R2979" i="12"/>
  <c r="R1714" i="12"/>
  <c r="R790" i="12"/>
  <c r="R1062" i="12"/>
  <c r="R2780" i="12"/>
  <c r="R2150" i="12"/>
  <c r="R2722" i="12"/>
  <c r="R1024" i="12"/>
  <c r="R2057" i="12"/>
  <c r="R168" i="12"/>
  <c r="R1864" i="12"/>
  <c r="R1028" i="12"/>
  <c r="R644" i="12"/>
  <c r="R2440" i="12"/>
  <c r="R68" i="12"/>
  <c r="R1104" i="12"/>
  <c r="R1112" i="12"/>
  <c r="R2959" i="12"/>
  <c r="R2676" i="12"/>
  <c r="R1517" i="12"/>
  <c r="R155" i="12"/>
  <c r="R1805" i="12"/>
  <c r="R1650" i="12"/>
  <c r="R1968" i="12"/>
  <c r="R1733" i="12"/>
  <c r="R1089" i="12"/>
  <c r="R2819" i="12"/>
  <c r="R3381" i="12"/>
  <c r="R1831" i="12"/>
  <c r="R3077" i="12"/>
  <c r="R1679" i="12"/>
  <c r="R176" i="12"/>
  <c r="R736" i="12"/>
  <c r="R3058" i="12"/>
  <c r="R123" i="12"/>
  <c r="R3373" i="12"/>
  <c r="R441" i="12"/>
  <c r="R1196" i="12"/>
  <c r="R3061" i="12"/>
  <c r="R3464" i="12"/>
  <c r="R3165" i="12"/>
  <c r="R1469" i="12"/>
  <c r="R3397" i="12"/>
  <c r="R3087" i="12"/>
  <c r="R118" i="12"/>
  <c r="R870" i="12"/>
  <c r="R3070" i="12"/>
  <c r="R2956" i="12"/>
  <c r="R650" i="12"/>
  <c r="R2708" i="12"/>
  <c r="R2188" i="12"/>
  <c r="R1519" i="12"/>
  <c r="R2450" i="12"/>
  <c r="R3308" i="12"/>
  <c r="R2383" i="12"/>
  <c r="R2928" i="12"/>
  <c r="R274" i="12"/>
  <c r="R787" i="12"/>
  <c r="R2596" i="12"/>
  <c r="R26" i="12"/>
  <c r="R122" i="12"/>
  <c r="R1942" i="12"/>
  <c r="R2778" i="12"/>
  <c r="R2966" i="12"/>
  <c r="R3275" i="12"/>
  <c r="R2191" i="12"/>
  <c r="R419" i="12"/>
  <c r="R858" i="12"/>
  <c r="R1691" i="12"/>
  <c r="R1563" i="12"/>
  <c r="R2889" i="12"/>
  <c r="R34" i="12"/>
  <c r="R2464" i="12"/>
  <c r="R392" i="12"/>
  <c r="R3162" i="12"/>
  <c r="R3421" i="12"/>
  <c r="R2199" i="12"/>
  <c r="R725" i="12"/>
  <c r="R2645" i="12"/>
  <c r="R2009" i="12"/>
  <c r="R2413" i="12"/>
  <c r="R1629" i="12"/>
  <c r="R3014" i="12"/>
  <c r="R332" i="12"/>
  <c r="R3171" i="12"/>
  <c r="R2475" i="12"/>
  <c r="R1138" i="12"/>
  <c r="R3538" i="12"/>
  <c r="R769" i="12"/>
  <c r="R1628" i="12"/>
  <c r="R885" i="12"/>
  <c r="R456" i="12"/>
  <c r="R1936" i="12"/>
  <c r="R1919" i="12"/>
  <c r="R1827" i="12"/>
  <c r="R287" i="12"/>
  <c r="R2080" i="12"/>
  <c r="R2673" i="12"/>
  <c r="R345" i="12"/>
  <c r="R3142" i="12"/>
  <c r="R883" i="12"/>
  <c r="R2775" i="12"/>
  <c r="R2105" i="12"/>
  <c r="R163" i="12"/>
  <c r="R1116" i="12"/>
  <c r="R3181" i="12"/>
  <c r="R2818" i="12"/>
  <c r="R244" i="12"/>
  <c r="R949" i="12"/>
  <c r="R3419" i="12"/>
  <c r="R593" i="12"/>
  <c r="R485" i="12"/>
  <c r="R3307" i="12"/>
  <c r="R86" i="12"/>
  <c r="R716" i="12"/>
  <c r="R209" i="12"/>
  <c r="R1737" i="12"/>
  <c r="R340" i="12"/>
  <c r="R2776" i="12"/>
  <c r="R442" i="12"/>
  <c r="R1049" i="12"/>
  <c r="R1555" i="12"/>
  <c r="R2746" i="12"/>
  <c r="R901" i="12"/>
  <c r="R356" i="12"/>
  <c r="R3218" i="12"/>
  <c r="R693" i="12"/>
  <c r="R2945" i="12"/>
  <c r="R3089" i="12"/>
  <c r="R1378" i="12"/>
  <c r="R1544" i="12"/>
  <c r="R1512" i="12"/>
  <c r="R2241" i="12"/>
  <c r="R666" i="12"/>
  <c r="R1447" i="12"/>
  <c r="R2073" i="12"/>
  <c r="R673" i="12"/>
  <c r="R2064" i="12"/>
  <c r="R2682" i="12"/>
  <c r="R208" i="12"/>
  <c r="R2814" i="12"/>
  <c r="R2102" i="12"/>
  <c r="R1451" i="12"/>
  <c r="R1703" i="12"/>
  <c r="R3468" i="12"/>
  <c r="R1481" i="12"/>
  <c r="R1518" i="12"/>
  <c r="R963" i="12"/>
  <c r="R3062" i="12"/>
  <c r="R1999" i="12"/>
  <c r="R2737" i="12"/>
  <c r="R1339" i="12"/>
  <c r="R1350" i="12"/>
  <c r="R335" i="12"/>
  <c r="R2770" i="12"/>
  <c r="R1048" i="12"/>
  <c r="R2507" i="12"/>
  <c r="R2374" i="12"/>
  <c r="R2626" i="12"/>
  <c r="R2459" i="12"/>
  <c r="R3033" i="12"/>
  <c r="R1243" i="12"/>
  <c r="R538" i="12"/>
  <c r="R2627" i="12"/>
  <c r="R1616" i="12"/>
  <c r="R822" i="12"/>
  <c r="R2840" i="12"/>
  <c r="R2074" i="12"/>
  <c r="R2283" i="12"/>
  <c r="R3237" i="12"/>
  <c r="R2052" i="12"/>
  <c r="R1219" i="12"/>
  <c r="R1648" i="12"/>
  <c r="R3485" i="12"/>
  <c r="R1588" i="12"/>
  <c r="R3180" i="12"/>
  <c r="R3247" i="12"/>
  <c r="R1717" i="12"/>
  <c r="R2077" i="12"/>
  <c r="R1789" i="12"/>
  <c r="R370" i="12"/>
  <c r="R2225" i="12"/>
  <c r="R1645" i="12"/>
  <c r="R1765" i="12"/>
  <c r="R3246" i="12"/>
  <c r="R3052" i="12"/>
  <c r="R1708" i="12"/>
  <c r="R2656" i="12"/>
  <c r="R2214" i="12"/>
  <c r="R2412" i="12"/>
  <c r="R1929" i="12"/>
  <c r="R3376" i="12"/>
  <c r="R1272" i="12"/>
  <c r="R2905" i="12"/>
  <c r="R2743" i="12"/>
  <c r="R3456" i="12"/>
  <c r="R574" i="12"/>
  <c r="R751" i="12"/>
  <c r="R2397" i="12"/>
  <c r="R2028" i="12"/>
  <c r="R2683" i="12"/>
  <c r="R475" i="12"/>
  <c r="R113" i="12"/>
  <c r="R1850" i="12"/>
  <c r="R592" i="12"/>
  <c r="R2307" i="12"/>
  <c r="R2063" i="12"/>
  <c r="R513" i="12"/>
  <c r="R2248" i="12"/>
  <c r="R1245" i="12"/>
  <c r="R1397" i="12"/>
  <c r="R3552" i="12"/>
  <c r="R2140" i="12"/>
  <c r="R3005" i="12"/>
  <c r="R2771" i="12"/>
  <c r="R1170" i="12"/>
  <c r="R1511" i="12"/>
  <c r="R3315" i="12"/>
  <c r="R1077" i="12"/>
  <c r="R3534" i="12"/>
  <c r="R1898" i="12"/>
  <c r="R1314" i="12"/>
  <c r="R2065" i="12"/>
  <c r="R25" i="12"/>
  <c r="R942" i="12"/>
  <c r="R3437" i="12"/>
  <c r="R2550" i="12"/>
  <c r="R1995" i="12"/>
  <c r="R2086" i="12"/>
  <c r="R3318" i="12"/>
  <c r="R3410" i="12"/>
  <c r="R1554" i="12"/>
  <c r="R914" i="12"/>
  <c r="R930" i="12"/>
  <c r="R715" i="12"/>
  <c r="R2010" i="12"/>
  <c r="R460" i="12"/>
  <c r="R1204" i="12"/>
  <c r="R3462" i="12"/>
  <c r="R1003" i="12"/>
  <c r="R3239" i="12"/>
  <c r="R2760" i="12"/>
  <c r="R2689" i="12"/>
  <c r="R3232" i="12"/>
  <c r="R1807" i="12"/>
  <c r="R1873" i="12"/>
  <c r="R1662" i="12"/>
  <c r="R373" i="12"/>
  <c r="R83" i="12"/>
  <c r="R2655" i="12"/>
  <c r="R1032" i="12"/>
  <c r="R2497" i="12"/>
  <c r="R1893" i="12"/>
  <c r="R1538" i="12"/>
  <c r="R1767" i="12"/>
  <c r="R2758" i="12"/>
  <c r="R2987" i="12"/>
  <c r="R702" i="12"/>
  <c r="R2719" i="12"/>
  <c r="R3298" i="12"/>
  <c r="R2613" i="12"/>
  <c r="R2633" i="12"/>
  <c r="R2740" i="12"/>
  <c r="R2946" i="12"/>
  <c r="R1686" i="12"/>
  <c r="R2989" i="12"/>
  <c r="R825" i="12"/>
  <c r="R961" i="12"/>
  <c r="R3425" i="12"/>
  <c r="R263" i="12"/>
  <c r="R1868" i="12"/>
  <c r="R3149" i="12"/>
  <c r="R1744" i="12"/>
  <c r="R1549" i="12"/>
  <c r="R2749" i="12"/>
  <c r="R3038" i="12"/>
  <c r="R3067" i="12"/>
  <c r="R813" i="12"/>
  <c r="R129" i="12"/>
  <c r="R2109" i="12"/>
  <c r="R1874" i="12"/>
  <c r="R2101" i="12"/>
  <c r="R2310" i="12"/>
  <c r="R3378" i="12"/>
  <c r="R2897" i="12"/>
  <c r="R1390" i="12"/>
  <c r="R683" i="12"/>
  <c r="R2178" i="12"/>
  <c r="R1474" i="12"/>
  <c r="R3512" i="12"/>
  <c r="R3013" i="12"/>
  <c r="R1693" i="12"/>
  <c r="R2328" i="12"/>
  <c r="R1323" i="12"/>
  <c r="R975" i="12"/>
  <c r="R283" i="12"/>
  <c r="R578" i="12"/>
  <c r="R2443" i="12"/>
  <c r="R908" i="12"/>
  <c r="R2226" i="12"/>
  <c r="R1279" i="12"/>
  <c r="R1720" i="12"/>
  <c r="R984" i="12"/>
  <c r="R3483" i="12"/>
  <c r="R580" i="12"/>
  <c r="R141" i="12"/>
  <c r="R3337" i="12"/>
  <c r="R3191" i="12"/>
  <c r="R429" i="12"/>
  <c r="R741" i="12"/>
  <c r="R2217" i="12"/>
  <c r="R403" i="12"/>
  <c r="R3124" i="12"/>
  <c r="R2285" i="12"/>
  <c r="R1262" i="12"/>
  <c r="R294" i="12"/>
  <c r="R336" i="12"/>
  <c r="R52" i="12"/>
  <c r="R364" i="12"/>
  <c r="R760" i="12"/>
  <c r="R1571" i="12"/>
  <c r="R2468" i="12"/>
  <c r="R933" i="12"/>
  <c r="R1450" i="12"/>
  <c r="R328" i="12"/>
  <c r="R2574" i="12"/>
  <c r="R1901" i="12"/>
  <c r="R1715" i="12"/>
  <c r="R756" i="12"/>
  <c r="R2031" i="12"/>
  <c r="R799" i="12"/>
  <c r="R2244" i="12"/>
  <c r="R2739" i="12"/>
  <c r="R1300" i="12"/>
  <c r="R1230" i="12"/>
  <c r="R2452" i="12"/>
  <c r="R1395" i="12"/>
  <c r="R2187" i="12"/>
  <c r="R2551" i="12"/>
  <c r="R700" i="12"/>
  <c r="R2181" i="12"/>
  <c r="R1676" i="12"/>
  <c r="R2700" i="12"/>
  <c r="R2360" i="12"/>
  <c r="R402" i="12"/>
  <c r="R2271" i="12"/>
  <c r="R154" i="12"/>
  <c r="R1818" i="12"/>
  <c r="R3398" i="12"/>
  <c r="R3353" i="12"/>
  <c r="R430" i="12"/>
  <c r="R788" i="12"/>
  <c r="R2223" i="12"/>
  <c r="R3100" i="12"/>
  <c r="R3134" i="12"/>
  <c r="R2810" i="12"/>
  <c r="R225" i="12"/>
  <c r="R1117" i="12"/>
  <c r="R1426" i="12"/>
  <c r="R755" i="12"/>
  <c r="R3244" i="12"/>
  <c r="R1907" i="12"/>
  <c r="R962" i="12"/>
  <c r="R3146" i="12"/>
  <c r="R2330" i="12"/>
  <c r="R3411" i="12"/>
  <c r="R1751" i="12"/>
  <c r="R82" i="12"/>
  <c r="R705" i="12"/>
  <c r="R325" i="12"/>
  <c r="R3532" i="12"/>
  <c r="R3542" i="12"/>
  <c r="R2910" i="12"/>
  <c r="R2288" i="12"/>
  <c r="R1939" i="12"/>
  <c r="R789" i="12"/>
  <c r="R3434" i="12"/>
  <c r="R944" i="12"/>
  <c r="R66" i="12"/>
  <c r="R2061" i="12"/>
  <c r="R1208" i="12"/>
  <c r="R3521" i="12"/>
  <c r="R678" i="12"/>
  <c r="R1596" i="12"/>
  <c r="R1692" i="12"/>
  <c r="R2741" i="12"/>
  <c r="R214" i="12"/>
  <c r="R1157" i="12"/>
  <c r="R1560" i="12"/>
  <c r="R495" i="12"/>
  <c r="R807" i="12"/>
  <c r="R603" i="12"/>
  <c r="R1473" i="12"/>
  <c r="R971" i="12"/>
  <c r="R3310" i="12"/>
  <c r="R1775" i="12"/>
  <c r="R1572" i="12"/>
  <c r="R3207" i="12"/>
  <c r="R2451" i="12"/>
  <c r="R1988" i="12"/>
  <c r="R2294" i="12"/>
  <c r="R1267" i="12"/>
  <c r="R1493" i="12"/>
  <c r="R181" i="12"/>
  <c r="R3340" i="12"/>
  <c r="R3202" i="12"/>
  <c r="R2909" i="12"/>
  <c r="R2130" i="12"/>
  <c r="R2904" i="12"/>
  <c r="R2056" i="12"/>
  <c r="R3107" i="12"/>
  <c r="R2210" i="12"/>
  <c r="R30" i="12"/>
  <c r="R308" i="12"/>
  <c r="R1689" i="12"/>
  <c r="R1565" i="12"/>
  <c r="R3055" i="12"/>
  <c r="R1465" i="12"/>
  <c r="R3385" i="12"/>
  <c r="R1071" i="12"/>
  <c r="R1798" i="12"/>
  <c r="R1780" i="12"/>
  <c r="R2372" i="12"/>
  <c r="R117" i="12"/>
  <c r="R2662" i="12"/>
  <c r="R3394" i="12"/>
  <c r="R629" i="12"/>
  <c r="R1074" i="12"/>
  <c r="R3365" i="12"/>
  <c r="R184" i="12"/>
  <c r="R108" i="12"/>
  <c r="R781" i="12"/>
  <c r="R1436" i="12"/>
  <c r="R418" i="12"/>
  <c r="R2620" i="12"/>
  <c r="R3090" i="12"/>
  <c r="R2605" i="12"/>
  <c r="R3169" i="12"/>
  <c r="R375" i="12"/>
  <c r="R1916" i="12"/>
  <c r="R1882" i="12"/>
  <c r="R3527" i="12"/>
  <c r="R2939" i="12"/>
  <c r="R452" i="12"/>
  <c r="R3031" i="12"/>
  <c r="R2427" i="12"/>
  <c r="R139" i="12"/>
  <c r="R1095" i="12"/>
  <c r="R3265" i="12"/>
  <c r="R1278" i="12"/>
  <c r="R3459" i="12"/>
  <c r="R831" i="12"/>
  <c r="R765" i="12"/>
  <c r="R2159" i="12"/>
  <c r="R47" i="12"/>
  <c r="R1945" i="12"/>
  <c r="R506" i="12"/>
  <c r="R2526" i="12"/>
  <c r="R1358" i="12"/>
  <c r="R40" i="12"/>
  <c r="R2911" i="12"/>
  <c r="R2693" i="12"/>
  <c r="R1568" i="12"/>
  <c r="R2097" i="12"/>
  <c r="R1325" i="12"/>
  <c r="R1407" i="12"/>
  <c r="R3143" i="12"/>
  <c r="R767" i="12"/>
  <c r="R1857" i="12"/>
  <c r="R2589" i="12"/>
  <c r="R2015" i="12"/>
  <c r="R2866" i="12"/>
  <c r="R2504" i="12"/>
  <c r="R735" i="12"/>
  <c r="R472" i="12"/>
  <c r="R490" i="12"/>
  <c r="R1734" i="12"/>
  <c r="R3374" i="12"/>
  <c r="R3546" i="12"/>
  <c r="R2007" i="12"/>
  <c r="R3211" i="12"/>
  <c r="R3488" i="12"/>
  <c r="R44" i="12"/>
  <c r="R409" i="12"/>
  <c r="R488" i="12"/>
  <c r="R826" i="12"/>
  <c r="R535" i="12"/>
  <c r="R1527" i="12"/>
  <c r="R2376" i="12"/>
  <c r="R266" i="12"/>
  <c r="R1866" i="12"/>
  <c r="R2732" i="12"/>
  <c r="R2809" i="12"/>
  <c r="R1146" i="12"/>
  <c r="R1950" i="12"/>
  <c r="R2701" i="12"/>
  <c r="R2341" i="12"/>
  <c r="R2441" i="12"/>
  <c r="R2053" i="12"/>
  <c r="R617" i="12"/>
  <c r="R73" i="12"/>
  <c r="R1660" i="12"/>
  <c r="R851" i="12"/>
  <c r="R2261" i="12"/>
  <c r="R3523" i="12"/>
  <c r="R2082" i="12"/>
  <c r="R3215" i="12"/>
  <c r="R2609" i="12"/>
  <c r="R277" i="12"/>
  <c r="R1771" i="12"/>
  <c r="R434" i="12"/>
  <c r="R177" i="12"/>
  <c r="R1400" i="12"/>
  <c r="R1994" i="12"/>
  <c r="R2100" i="12"/>
  <c r="R2391" i="12"/>
  <c r="R99" i="12"/>
  <c r="R1848" i="12"/>
  <c r="R1860" i="12"/>
  <c r="R3085" i="12"/>
  <c r="R2335" i="12"/>
  <c r="R2847" i="12"/>
  <c r="R3484" i="12"/>
  <c r="R3042" i="12"/>
  <c r="R856" i="12"/>
  <c r="R1253" i="12"/>
  <c r="R577" i="12"/>
  <c r="R1908" i="12"/>
  <c r="R93" i="12"/>
  <c r="R349" i="12"/>
  <c r="R1006" i="12"/>
  <c r="R1067" i="12"/>
  <c r="R2929" i="12"/>
  <c r="R3268" i="12"/>
  <c r="R3443" i="12"/>
  <c r="R101" i="12"/>
  <c r="R1351" i="12"/>
  <c r="R2401" i="12"/>
  <c r="R534" i="12"/>
  <c r="R3404" i="12"/>
  <c r="R2862" i="12"/>
  <c r="R1854" i="12"/>
  <c r="R627" i="12"/>
  <c r="R3098" i="12"/>
  <c r="R966" i="12"/>
  <c r="R531" i="12"/>
  <c r="R2025" i="12"/>
  <c r="R2024" i="12"/>
  <c r="R1265" i="12"/>
  <c r="R2852" i="12"/>
  <c r="R850" i="12"/>
  <c r="R252" i="12"/>
  <c r="R1441" i="12"/>
  <c r="R1698" i="12"/>
  <c r="R1745" i="12"/>
  <c r="R2548" i="12"/>
  <c r="R2669" i="12"/>
  <c r="R132" i="12"/>
  <c r="R917" i="12"/>
  <c r="R458" i="12"/>
  <c r="R2448" i="12"/>
  <c r="R273" i="12"/>
  <c r="R1246" i="12"/>
  <c r="R672" i="12"/>
  <c r="R3192" i="12"/>
  <c r="R1135" i="12"/>
  <c r="R195" i="12"/>
  <c r="R206" i="12"/>
  <c r="R1772" i="12"/>
  <c r="R616" i="12"/>
  <c r="R1614" i="12"/>
  <c r="R1211" i="12"/>
  <c r="R3091" i="12"/>
  <c r="R1934" i="12"/>
  <c r="R2431" i="12"/>
  <c r="R3016" i="12"/>
  <c r="R1464" i="12"/>
  <c r="R1602" i="12"/>
  <c r="R74" i="12"/>
  <c r="R1905" i="12"/>
  <c r="R2270" i="12"/>
  <c r="R2817" i="12"/>
  <c r="R1042" i="12"/>
  <c r="R1434" i="12"/>
  <c r="R423" i="12"/>
  <c r="R2473" i="12"/>
  <c r="R2586" i="12"/>
  <c r="R3015" i="12"/>
  <c r="R3361" i="12"/>
  <c r="R62" i="12"/>
  <c r="R3261" i="12"/>
  <c r="R2079" i="12"/>
  <c r="R997" i="12"/>
  <c r="R1638" i="12"/>
  <c r="R1329" i="12"/>
  <c r="R839" i="12"/>
  <c r="R1187" i="12"/>
  <c r="R557" i="12"/>
  <c r="R1463" i="12"/>
  <c r="R3306" i="12"/>
  <c r="R1069" i="12"/>
  <c r="R871" i="12"/>
  <c r="R397" i="12"/>
  <c r="R431" i="12"/>
  <c r="R3450" i="12"/>
  <c r="R390" i="12"/>
  <c r="R2934" i="12"/>
  <c r="R1468" i="12"/>
  <c r="R3030" i="12"/>
  <c r="R1141" i="12"/>
  <c r="R2581" i="12"/>
  <c r="R2267" i="12"/>
  <c r="R3172" i="12"/>
  <c r="R2099" i="12"/>
  <c r="R932" i="12"/>
  <c r="R3224" i="12"/>
  <c r="R2614" i="12"/>
  <c r="R421" i="12"/>
  <c r="R1992" i="12"/>
  <c r="R1038" i="12"/>
  <c r="R3214" i="12"/>
  <c r="R1277" i="12"/>
  <c r="R3344" i="12"/>
  <c r="R302" i="12"/>
  <c r="R1594" i="12"/>
  <c r="R28" i="12"/>
  <c r="R744" i="12"/>
  <c r="R260" i="12"/>
  <c r="R1275" i="12"/>
  <c r="R2303" i="12"/>
  <c r="R2823" i="12"/>
  <c r="R427" i="12"/>
  <c r="R1762" i="12"/>
  <c r="R1996" i="12"/>
  <c r="R104" i="12"/>
  <c r="R2315" i="12"/>
  <c r="R869" i="12"/>
  <c r="R313" i="12"/>
  <c r="R1381" i="12"/>
  <c r="R1419" i="12"/>
  <c r="R2736" i="12"/>
  <c r="R2841" i="12"/>
  <c r="R1536" i="12"/>
  <c r="R1425" i="12"/>
  <c r="R3082" i="12"/>
  <c r="R802" i="12"/>
  <c r="R2030" i="12"/>
  <c r="R1332" i="12"/>
  <c r="R3360" i="12"/>
  <c r="R2784" i="12"/>
  <c r="R1016" i="12"/>
  <c r="R3401" i="12"/>
  <c r="R2766" i="12"/>
  <c r="R3463" i="12"/>
  <c r="R2002" i="12"/>
  <c r="R1532" i="12"/>
  <c r="R2734" i="12"/>
  <c r="R2480" i="12"/>
  <c r="R3309" i="12"/>
  <c r="R486" i="12"/>
  <c r="R2647" i="12"/>
  <c r="R271" i="12"/>
  <c r="R3384" i="12"/>
  <c r="R27" i="12"/>
  <c r="R2772" i="12"/>
  <c r="R1363" i="12"/>
  <c r="R2575" i="12"/>
  <c r="R1364" i="12"/>
  <c r="R3231" i="12"/>
  <c r="R1079" i="12"/>
  <c r="R2478" i="12"/>
  <c r="R2541" i="12"/>
  <c r="R37" i="12"/>
  <c r="R143" i="12"/>
  <c r="R267" i="12"/>
  <c r="R1328" i="12"/>
  <c r="R2967" i="12"/>
  <c r="R496" i="12"/>
  <c r="R95" i="12"/>
  <c r="R2467" i="12"/>
  <c r="R361" i="12"/>
  <c r="R3297" i="12"/>
  <c r="R1191" i="12"/>
  <c r="R3544" i="12"/>
  <c r="R3254" i="12"/>
  <c r="R2048" i="12"/>
  <c r="R584" i="12"/>
  <c r="R537" i="12"/>
  <c r="R2688" i="12"/>
  <c r="R1437" i="12"/>
  <c r="R571" i="12"/>
  <c r="R1143" i="12"/>
  <c r="R2014" i="12"/>
  <c r="R2161" i="12"/>
  <c r="R1029" i="12"/>
  <c r="R2351" i="12"/>
  <c r="R3317" i="12"/>
  <c r="R670" i="12"/>
  <c r="R1444" i="12"/>
  <c r="R2306" i="12"/>
  <c r="R3238" i="12"/>
  <c r="R965" i="12"/>
  <c r="R1257" i="12"/>
  <c r="R457" i="12"/>
  <c r="R2698" i="12"/>
  <c r="R3026" i="12"/>
  <c r="R2347" i="12"/>
  <c r="R1002" i="12"/>
  <c r="R3427" i="12"/>
  <c r="R2230" i="12"/>
  <c r="R2592" i="12"/>
  <c r="R428" i="12"/>
  <c r="R2828" i="12"/>
  <c r="R2204" i="12"/>
  <c r="R1959" i="12"/>
  <c r="R2216" i="12"/>
  <c r="R1242" i="12"/>
  <c r="R193" i="12"/>
  <c r="R1225" i="12"/>
  <c r="R857" i="12"/>
  <c r="R2942" i="12"/>
  <c r="R1401" i="12"/>
  <c r="R773" i="12"/>
  <c r="R1646" i="12"/>
  <c r="R2416" i="12"/>
  <c r="R1018" i="12"/>
  <c r="R148" i="12"/>
  <c r="R3037" i="12"/>
  <c r="R3446" i="12"/>
  <c r="R1926" i="12"/>
  <c r="R2309" i="12"/>
  <c r="R237" i="12"/>
  <c r="R3302" i="12"/>
  <c r="R1530" i="12"/>
  <c r="R2236" i="12"/>
  <c r="R2563" i="12"/>
  <c r="R1801" i="12"/>
  <c r="R2322" i="12"/>
  <c r="R2386" i="12"/>
  <c r="R3060" i="12"/>
  <c r="R3041" i="12"/>
  <c r="R3243" i="12"/>
  <c r="R1092" i="12"/>
  <c r="R1053" i="12"/>
  <c r="R2291" i="12"/>
  <c r="R925" i="12"/>
  <c r="R1876" i="12"/>
  <c r="R674" i="12"/>
  <c r="R1214" i="12"/>
  <c r="R2885" i="12"/>
  <c r="R3287" i="12"/>
  <c r="R2407" i="12"/>
  <c r="R2856" i="12"/>
  <c r="R2808" i="12"/>
  <c r="R2710" i="12"/>
  <c r="R2690" i="12"/>
  <c r="R2637" i="12"/>
  <c r="R1716" i="12"/>
  <c r="R3515" i="12"/>
  <c r="R1344" i="12"/>
  <c r="R2275" i="12"/>
  <c r="R3253" i="12"/>
  <c r="R2913" i="12"/>
  <c r="R1606" i="12"/>
  <c r="R3453" i="12"/>
  <c r="R2901" i="12"/>
  <c r="R2299" i="12"/>
  <c r="R241" i="12"/>
  <c r="R508" i="12"/>
  <c r="R451" i="12"/>
  <c r="R1070" i="12"/>
  <c r="R167" i="12"/>
  <c r="R58" i="12"/>
  <c r="R3072" i="12"/>
  <c r="R614" i="12"/>
  <c r="R863" i="12"/>
  <c r="R3293" i="12"/>
  <c r="R363" i="12"/>
  <c r="R3271" i="12"/>
  <c r="R651" i="12"/>
  <c r="R407" i="12"/>
  <c r="R2345" i="12"/>
  <c r="R1872" i="12"/>
  <c r="R1201" i="12"/>
  <c r="R173" i="12"/>
  <c r="R1826" i="12"/>
  <c r="R2314" i="12"/>
  <c r="R1091" i="12"/>
  <c r="R2200" i="12"/>
  <c r="R2036" i="12"/>
  <c r="R2844" i="12"/>
  <c r="R178" i="12"/>
  <c r="R1993" i="12"/>
  <c r="R1861" i="12"/>
  <c r="R1160" i="12"/>
  <c r="R1497" i="12"/>
  <c r="R690" i="12"/>
  <c r="R3509" i="12"/>
  <c r="R2222" i="12"/>
  <c r="R1545" i="12"/>
  <c r="R2385" i="12"/>
  <c r="R1347" i="12"/>
  <c r="R3351" i="12"/>
  <c r="R147" i="12"/>
  <c r="R3115" i="12"/>
  <c r="R1130" i="12"/>
  <c r="R2825" i="12"/>
  <c r="R1955" i="12"/>
  <c r="R249" i="12"/>
  <c r="R2542" i="12"/>
  <c r="R464" i="12"/>
  <c r="R2179" i="12"/>
  <c r="R1132" i="12"/>
  <c r="R2588" i="12"/>
  <c r="R2167" i="12"/>
  <c r="R3132" i="12"/>
  <c r="R3282" i="12"/>
  <c r="R3048" i="12"/>
  <c r="R542" i="12"/>
  <c r="R2486" i="12"/>
  <c r="R1458" i="12"/>
  <c r="R3264" i="12"/>
  <c r="R3000" i="12"/>
  <c r="R2615" i="12"/>
  <c r="R1847" i="12"/>
  <c r="R280" i="12"/>
  <c r="R386" i="12"/>
  <c r="R842" i="12"/>
  <c r="R2273" i="12"/>
  <c r="R165" i="12"/>
  <c r="R2881" i="12"/>
  <c r="R1579" i="12"/>
  <c r="R3529" i="12"/>
  <c r="R2075" i="12"/>
  <c r="R1960" i="12"/>
  <c r="R2752" i="12"/>
  <c r="R150" i="12"/>
  <c r="R2008" i="12"/>
  <c r="R1292" i="12"/>
  <c r="R3510" i="12"/>
  <c r="R2902" i="12"/>
  <c r="R3281" i="12"/>
  <c r="R2991" i="12"/>
  <c r="R1462" i="12"/>
  <c r="R852" i="12"/>
  <c r="R3245" i="12"/>
  <c r="R1618" i="12"/>
  <c r="R1379" i="12"/>
  <c r="R1483" i="12"/>
  <c r="R794" i="12"/>
  <c r="R2807" i="12"/>
  <c r="R3423" i="12"/>
  <c r="R3311" i="12"/>
  <c r="R1408" i="12"/>
  <c r="R3391" i="12"/>
  <c r="R3278" i="12"/>
  <c r="R2213" i="12"/>
  <c r="R174" i="12"/>
  <c r="R3357" i="12"/>
  <c r="R1144" i="12"/>
  <c r="R307" i="12"/>
  <c r="R207" i="12"/>
  <c r="R1894" i="12"/>
  <c r="R2748" i="12"/>
  <c r="R3276" i="12"/>
  <c r="R2444" i="12"/>
  <c r="R1306" i="12"/>
  <c r="R3543" i="12"/>
  <c r="R3300" i="12"/>
  <c r="R351" i="12"/>
  <c r="R2400" i="12"/>
  <c r="R886" i="12"/>
  <c r="R2250" i="12"/>
  <c r="R2554" i="12"/>
  <c r="R2786" i="12"/>
  <c r="R2170" i="12"/>
  <c r="R1516" i="12"/>
  <c r="R330" i="12"/>
  <c r="R1004" i="12"/>
  <c r="R974" i="12"/>
  <c r="R259" i="12"/>
  <c r="R2891" i="12"/>
  <c r="R2560" i="12"/>
  <c r="R157" i="12"/>
  <c r="R112" i="12"/>
  <c r="R1126" i="12"/>
  <c r="R2530" i="12"/>
  <c r="R2838" i="12"/>
  <c r="R1274" i="12"/>
  <c r="R2169" i="12"/>
  <c r="R752" i="12"/>
  <c r="R3486" i="12"/>
  <c r="R3358" i="12"/>
  <c r="R853" i="12"/>
  <c r="R1335" i="12"/>
  <c r="R1010" i="12"/>
  <c r="R1197" i="12"/>
  <c r="R1312" i="12"/>
  <c r="R1251" i="12"/>
  <c r="R675" i="12"/>
  <c r="R1941" i="12"/>
  <c r="R1711" i="12"/>
  <c r="R2107" i="12"/>
  <c r="R618" i="12"/>
  <c r="R3479" i="12"/>
  <c r="R474" i="12"/>
  <c r="R321" i="12"/>
  <c r="R836" i="12"/>
  <c r="R1779" i="12"/>
  <c r="R1385" i="12"/>
  <c r="R900" i="12"/>
  <c r="R3313" i="12"/>
  <c r="R691" i="12"/>
  <c r="R2185" i="12"/>
  <c r="R221" i="12"/>
  <c r="R559" i="12"/>
  <c r="R2703" i="12"/>
  <c r="R3027" i="12"/>
  <c r="R1817" i="12"/>
  <c r="R2058" i="12"/>
  <c r="R138" i="12"/>
  <c r="R1085" i="12"/>
  <c r="R2171" i="12"/>
  <c r="R2269" i="12"/>
  <c r="R2149" i="12"/>
  <c r="R981" i="12"/>
  <c r="R2597" i="12"/>
  <c r="R2839" i="12"/>
  <c r="R3354" i="12"/>
  <c r="R98" i="12"/>
  <c r="R1917" i="12"/>
  <c r="R889" i="12"/>
  <c r="R2387" i="12"/>
  <c r="R1382" i="12"/>
  <c r="R1305" i="12"/>
  <c r="R1535" i="12"/>
  <c r="R2916" i="12"/>
  <c r="R2338" i="12"/>
  <c r="R3230" i="12"/>
  <c r="R379" i="12"/>
  <c r="R786" i="12"/>
  <c r="R3320" i="12"/>
  <c r="R1875" i="12"/>
  <c r="R638" i="12"/>
  <c r="R2482" i="12"/>
  <c r="R573" i="12"/>
  <c r="R2791" i="12"/>
  <c r="R1039" i="12"/>
  <c r="R3516" i="12"/>
  <c r="R2498" i="12"/>
  <c r="R2591" i="12"/>
  <c r="R1185" i="12"/>
  <c r="R1997" i="12"/>
  <c r="R471" i="12"/>
  <c r="R3129" i="12"/>
  <c r="R3506" i="12"/>
  <c r="R2426" i="12"/>
  <c r="R1008" i="12"/>
  <c r="R45" i="12"/>
  <c r="R2350" i="12"/>
  <c r="R3469" i="12"/>
  <c r="R554" i="12"/>
  <c r="R1537" i="12"/>
  <c r="R1948" i="12"/>
  <c r="R444" i="12"/>
  <c r="R1830" i="12"/>
  <c r="R1394" i="12"/>
  <c r="R343" i="12"/>
  <c r="R2628" i="12"/>
  <c r="R3399" i="12"/>
  <c r="R337" i="12"/>
  <c r="R1844" i="12"/>
  <c r="R435" i="12"/>
  <c r="R526" i="12"/>
  <c r="R1620" i="12"/>
  <c r="R2869" i="12"/>
  <c r="R2754" i="12"/>
  <c r="R2864" i="12"/>
  <c r="R639" i="12"/>
  <c r="R201" i="12"/>
  <c r="R2799" i="12"/>
  <c r="R3151" i="12"/>
  <c r="R3548" i="12"/>
  <c r="R1931" i="12"/>
  <c r="R874" i="12"/>
  <c r="R443" i="12"/>
  <c r="R1897" i="12"/>
  <c r="R911" i="12"/>
  <c r="R1227" i="12"/>
  <c r="R928" i="12"/>
  <c r="R2362" i="12"/>
  <c r="R2418" i="12"/>
  <c r="R3084" i="12"/>
  <c r="R2726" i="12"/>
  <c r="R21" i="12"/>
  <c r="R2176" i="12"/>
  <c r="R685" i="12"/>
  <c r="R1963" i="12"/>
  <c r="R2631" i="12"/>
  <c r="R1128" i="12"/>
  <c r="R847" i="12"/>
  <c r="R1673" i="12"/>
  <c r="R2821" i="12"/>
  <c r="R2354" i="12"/>
  <c r="R2066" i="12"/>
  <c r="R1668" i="12"/>
  <c r="R1661" i="12"/>
  <c r="R2229" i="12"/>
  <c r="R676" i="12"/>
  <c r="R581" i="12"/>
  <c r="R2621" i="12"/>
  <c r="R3092" i="12"/>
  <c r="R385" i="12"/>
  <c r="R3414" i="12"/>
  <c r="R3359" i="12"/>
  <c r="R569" i="12"/>
  <c r="R382" i="12"/>
  <c r="R3494" i="12"/>
  <c r="R107" i="12"/>
  <c r="R2571" i="12"/>
  <c r="R2404" i="12"/>
  <c r="R468" i="12"/>
  <c r="R1375" i="12"/>
  <c r="R3390" i="12"/>
  <c r="R1607" i="12"/>
  <c r="R440" i="12"/>
  <c r="R680" i="12"/>
  <c r="R437" i="12"/>
  <c r="R2718" i="12"/>
  <c r="R2476" i="12"/>
  <c r="R1761" i="12"/>
  <c r="R3044" i="12"/>
  <c r="R3109" i="12"/>
  <c r="R1644" i="12"/>
  <c r="R3292" i="12"/>
  <c r="R105" i="12"/>
  <c r="R87" i="12"/>
  <c r="R360" i="12"/>
  <c r="R764" i="12"/>
  <c r="R2325" i="12"/>
  <c r="R1839" i="12"/>
  <c r="R55" i="12"/>
  <c r="R179" i="12"/>
  <c r="R2323" i="12"/>
  <c r="R1624" i="12"/>
  <c r="R1080" i="12"/>
  <c r="R1150" i="12"/>
  <c r="R145" i="12"/>
  <c r="R2558" i="12"/>
  <c r="R1489" i="12"/>
  <c r="R1173" i="12"/>
  <c r="R1122" i="12"/>
  <c r="R696" i="12"/>
  <c r="R1431" i="12"/>
  <c r="R663" i="12"/>
  <c r="R2842" i="12"/>
  <c r="R655" i="12"/>
  <c r="R422" i="12"/>
  <c r="R613" i="12"/>
  <c r="R1528" i="12"/>
  <c r="R1731" i="12"/>
  <c r="R532" i="12"/>
  <c r="R254" i="12"/>
  <c r="R242" i="12"/>
  <c r="R2846" i="12"/>
  <c r="R2138" i="12"/>
  <c r="R1195" i="12"/>
  <c r="R544" i="12"/>
  <c r="R2219" i="12"/>
  <c r="R782" i="12"/>
  <c r="R1600" i="12"/>
  <c r="R2641" i="12"/>
  <c r="R1671" i="12"/>
  <c r="R507" i="12"/>
  <c r="R2534" i="12"/>
  <c r="R1920" i="12"/>
  <c r="R1732" i="12"/>
  <c r="R1485" i="12"/>
  <c r="R1288" i="12"/>
  <c r="R2895" i="12"/>
  <c r="R631" i="12"/>
  <c r="R2867" i="12"/>
  <c r="R527" i="12"/>
  <c r="R1566" i="12"/>
  <c r="R2263" i="12"/>
  <c r="R602" i="12"/>
  <c r="R354" i="12"/>
  <c r="R2514" i="12"/>
  <c r="R1352" i="12"/>
  <c r="R2017" i="12"/>
  <c r="R3141" i="12"/>
  <c r="R1432" i="12"/>
  <c r="R805" i="12"/>
  <c r="R230" i="12"/>
  <c r="R1786" i="12"/>
  <c r="R1892" i="12"/>
  <c r="R2564" i="12"/>
  <c r="R1131" i="12"/>
  <c r="R88" i="12"/>
  <c r="R2830" i="12"/>
  <c r="R2672" i="12"/>
  <c r="R1417" i="12"/>
  <c r="R2728" i="12"/>
  <c r="R803" i="12"/>
  <c r="R269" i="12"/>
  <c r="R2520" i="12"/>
  <c r="R1706" i="12"/>
  <c r="R1190" i="12"/>
  <c r="R164" i="12"/>
  <c r="R78" i="12"/>
  <c r="R3334" i="12"/>
  <c r="R2278" i="12"/>
  <c r="R2733" i="12"/>
  <c r="R3080" i="12"/>
  <c r="R3039" i="12"/>
  <c r="R3451" i="12"/>
  <c r="R2651" i="12"/>
  <c r="R2421" i="12"/>
  <c r="R2282" i="12"/>
  <c r="R561" i="12"/>
  <c r="R785" i="12"/>
  <c r="R2705" i="12"/>
  <c r="R3160" i="12"/>
  <c r="R2767" i="12"/>
  <c r="R2265" i="12"/>
  <c r="R3125" i="12"/>
  <c r="R2963" i="12"/>
  <c r="R3493" i="12"/>
  <c r="R804" i="12"/>
  <c r="R3535" i="12"/>
  <c r="R3073" i="12"/>
  <c r="R724" i="12"/>
  <c r="R2246" i="12"/>
  <c r="R2875" i="12"/>
  <c r="R2992" i="12"/>
  <c r="R1031" i="12"/>
  <c r="R1552" i="12"/>
  <c r="R597" i="12"/>
  <c r="R3267" i="12"/>
  <c r="R2582" i="12"/>
  <c r="R1041" i="12"/>
  <c r="R955" i="12"/>
  <c r="R1501" i="12"/>
  <c r="R1346" i="12"/>
  <c r="R3076" i="12"/>
  <c r="R2953" i="12"/>
  <c r="R3547" i="12"/>
  <c r="R2886" i="12"/>
  <c r="R1303" i="12"/>
  <c r="R2035" i="12"/>
  <c r="R372" i="12"/>
  <c r="R2618" i="12"/>
  <c r="R1656" i="12"/>
  <c r="R3119" i="12"/>
  <c r="R605" i="12"/>
  <c r="R2686" i="12"/>
  <c r="R621" i="12"/>
  <c r="R2125" i="12"/>
  <c r="R1843" i="12"/>
  <c r="R2877" i="12"/>
  <c r="R3339" i="12"/>
  <c r="R3173" i="12"/>
  <c r="R746" i="12"/>
  <c r="R316" i="12"/>
  <c r="R1611" i="12"/>
  <c r="R2367" i="12"/>
  <c r="R1810" i="12"/>
  <c r="R1655" i="12"/>
  <c r="R2238" i="12"/>
  <c r="R285" i="12"/>
  <c r="R1478" i="12"/>
  <c r="R2930" i="12"/>
  <c r="R3204" i="12"/>
  <c r="R646" i="12"/>
  <c r="R936" i="12"/>
  <c r="R594" i="12"/>
  <c r="R1670" i="12"/>
  <c r="R1209" i="12"/>
  <c r="R1612" i="12"/>
  <c r="R2941" i="12"/>
  <c r="R2870" i="12"/>
  <c r="R2872" i="12"/>
  <c r="R1623" i="12"/>
  <c r="R1310" i="12"/>
  <c r="R1735" i="12"/>
  <c r="R817" i="12"/>
  <c r="R77" i="12"/>
  <c r="R2584" i="12"/>
  <c r="R2664" i="12"/>
  <c r="R3189" i="12"/>
  <c r="R1978" i="12"/>
  <c r="R1574" i="12"/>
  <c r="R640" i="12"/>
  <c r="R371" i="12"/>
  <c r="R1087" i="12"/>
  <c r="R1987" i="12"/>
  <c r="R2339" i="12"/>
  <c r="R902" i="12"/>
  <c r="R2490" i="12"/>
  <c r="R2094" i="12"/>
  <c r="R3304" i="12"/>
  <c r="R2041" i="12"/>
  <c r="R2546" i="12"/>
  <c r="R1625" i="12"/>
  <c r="R1154" i="12"/>
  <c r="R1858" i="12"/>
  <c r="R3454" i="12"/>
  <c r="R1617" i="12"/>
  <c r="R1739" i="12"/>
  <c r="R2833" i="12"/>
  <c r="R247" i="12"/>
  <c r="R3002" i="12"/>
  <c r="R3040" i="12"/>
  <c r="R1268" i="12"/>
  <c r="R2399" i="12"/>
  <c r="R202" i="12"/>
  <c r="R1460" i="12"/>
  <c r="R796" i="12"/>
  <c r="R227" i="12"/>
  <c r="R677" i="12"/>
  <c r="R3321" i="12"/>
  <c r="R478" i="12"/>
  <c r="R2186" i="12"/>
  <c r="R1727" i="12"/>
  <c r="R934" i="12"/>
  <c r="R2304" i="12"/>
  <c r="R2625" i="12"/>
  <c r="R988" i="12"/>
  <c r="R819" i="12"/>
  <c r="R2119" i="12"/>
  <c r="R406" i="12"/>
  <c r="R1076" i="12"/>
  <c r="R3416" i="12"/>
  <c r="R2785" i="12"/>
  <c r="R539" i="12"/>
  <c r="R291" i="12"/>
  <c r="R3154" i="12"/>
  <c r="R1601" i="12"/>
  <c r="R2716" i="12"/>
  <c r="R2474" i="12"/>
  <c r="R3327" i="12"/>
  <c r="R3203" i="12"/>
  <c r="R1524" i="12"/>
  <c r="R3004" i="12"/>
  <c r="R867" i="12"/>
  <c r="R1289" i="12"/>
  <c r="R3505" i="12"/>
  <c r="R1044" i="12"/>
  <c r="R3131" i="12"/>
  <c r="R2731" i="12"/>
  <c r="R2961" i="12"/>
  <c r="R239" i="12"/>
  <c r="R609" i="12"/>
  <c r="R2305" i="12"/>
  <c r="R1118" i="12"/>
  <c r="R2042" i="12"/>
  <c r="R2155" i="12"/>
  <c r="R606" i="12"/>
  <c r="R3219" i="12"/>
  <c r="R2932" i="12"/>
  <c r="R71" i="12"/>
  <c r="R939" i="12"/>
  <c r="R1115" i="12"/>
  <c r="R3301" i="12"/>
  <c r="R3375" i="12"/>
  <c r="R1047" i="12"/>
  <c r="R1773" i="12"/>
  <c r="R620" i="12"/>
  <c r="R1841" i="12"/>
  <c r="R1973" i="12"/>
  <c r="R1222" i="12"/>
  <c r="R2644" i="12"/>
  <c r="R878" i="12"/>
  <c r="R3213" i="12"/>
  <c r="R895" i="12"/>
  <c r="R1832" i="12"/>
  <c r="R686" i="12"/>
  <c r="R2104" i="12"/>
  <c r="R3440" i="12"/>
  <c r="R1366" i="12"/>
  <c r="R1013" i="12"/>
  <c r="R576" i="12"/>
  <c r="R1054" i="12"/>
  <c r="R1605" i="12"/>
  <c r="R1486" i="12"/>
  <c r="R133" i="12"/>
  <c r="R1120" i="12"/>
  <c r="R1315" i="12"/>
  <c r="R1774" i="12"/>
  <c r="R753" i="12"/>
  <c r="R2434" i="12"/>
  <c r="R1922" i="12"/>
  <c r="R3179" i="12"/>
  <c r="R374" i="12"/>
  <c r="R1125" i="12"/>
  <c r="R1415" i="12"/>
  <c r="R1712" i="12"/>
  <c r="R2975" i="12"/>
  <c r="R2122" i="12"/>
  <c r="R2346" i="12"/>
  <c r="R738" i="12"/>
  <c r="R2442" i="12"/>
  <c r="R3323" i="12"/>
  <c r="R1877" i="12"/>
  <c r="R2355" i="12"/>
  <c r="R2148" i="12"/>
  <c r="R2368" i="12"/>
  <c r="R1357" i="12"/>
  <c r="R279" i="12"/>
  <c r="R1970" i="12"/>
  <c r="R2640" i="12"/>
  <c r="R2166" i="12"/>
  <c r="R414" i="12"/>
  <c r="R3025" i="12"/>
  <c r="R1521" i="12"/>
  <c r="R2089" i="12"/>
  <c r="R146" i="12"/>
  <c r="R1592" i="12"/>
  <c r="R2233" i="12"/>
  <c r="R2920" i="12"/>
  <c r="R183" i="12"/>
  <c r="R2485" i="12"/>
  <c r="R491" i="12"/>
  <c r="R1957" i="12"/>
  <c r="R964" i="12"/>
  <c r="R2557" i="12"/>
  <c r="R1153" i="12"/>
  <c r="R2944" i="12"/>
  <c r="R2172" i="12"/>
  <c r="R2414" i="12"/>
  <c r="R948" i="12"/>
  <c r="R389" i="12"/>
  <c r="R1148" i="12"/>
  <c r="R598" i="12"/>
  <c r="R2489" i="12"/>
  <c r="R1804" i="12"/>
  <c r="R2491" i="12"/>
  <c r="R2146" i="12"/>
  <c r="R3362" i="12"/>
  <c r="R46" i="12"/>
  <c r="R823" i="12"/>
  <c r="R2707" i="12"/>
  <c r="R1542" i="12"/>
  <c r="R1371" i="12"/>
  <c r="R224" i="12"/>
  <c r="R1880" i="12"/>
  <c r="R476" i="12"/>
  <c r="R2804" i="12"/>
  <c r="R296" i="12"/>
  <c r="R487" i="12"/>
  <c r="R726" i="12"/>
  <c r="R2974" i="12"/>
  <c r="R3122" i="12"/>
  <c r="R1017" i="12"/>
  <c r="R2477" i="12"/>
  <c r="R830" i="12"/>
  <c r="R3263" i="12"/>
  <c r="R2336" i="12"/>
  <c r="R3270" i="12"/>
  <c r="R832" i="12"/>
  <c r="R1797" i="12"/>
  <c r="R3286" i="12"/>
  <c r="R116" i="12"/>
  <c r="R2646" i="12"/>
  <c r="R2032" i="12"/>
  <c r="R660" i="12"/>
  <c r="R448" i="12"/>
  <c r="R2479" i="12"/>
  <c r="R39" i="12"/>
  <c r="R989" i="12"/>
  <c r="R1259" i="12"/>
  <c r="R3158" i="12"/>
  <c r="R2788" i="12"/>
  <c r="R2603" i="12"/>
  <c r="R1809" i="12"/>
  <c r="J1" i="5" a="1"/>
  <c r="J86" i="5"/>
  <c r="J109" i="5"/>
  <c r="J28" i="5"/>
  <c r="J71" i="5"/>
  <c r="J27" i="5"/>
  <c r="J48" i="5"/>
  <c r="J124" i="5"/>
  <c r="J8" i="5"/>
  <c r="J14" i="5"/>
  <c r="J34" i="5"/>
  <c r="J91" i="5"/>
  <c r="J78" i="5"/>
  <c r="J50" i="5"/>
  <c r="J47" i="5"/>
  <c r="J120" i="5"/>
  <c r="J117" i="5"/>
  <c r="J45" i="5"/>
  <c r="J104" i="5"/>
  <c r="J89" i="5"/>
  <c r="J16" i="5"/>
  <c r="J119" i="5"/>
  <c r="J22" i="5"/>
  <c r="J51" i="5"/>
  <c r="J115" i="5"/>
  <c r="J29" i="5"/>
  <c r="J32" i="5"/>
  <c r="J95" i="5"/>
  <c r="J33" i="5"/>
  <c r="J102" i="5"/>
  <c r="J6" i="5"/>
  <c r="J2" i="5"/>
  <c r="J85" i="5"/>
  <c r="J82" i="5"/>
  <c r="J36" i="5"/>
  <c r="J60" i="5"/>
  <c r="J110" i="5"/>
  <c r="J87" i="5"/>
  <c r="J11" i="5"/>
  <c r="J65" i="5"/>
  <c r="J126" i="5"/>
  <c r="J53" i="5"/>
  <c r="J26" i="5"/>
  <c r="J56" i="5"/>
  <c r="J76" i="5"/>
  <c r="J44" i="5"/>
  <c r="J54" i="5"/>
  <c r="J81" i="5"/>
  <c r="J58" i="5"/>
  <c r="J10" i="5"/>
  <c r="J116" i="5"/>
  <c r="J79" i="5"/>
  <c r="J59" i="5"/>
  <c r="J74" i="5"/>
  <c r="J122" i="5"/>
  <c r="J98" i="5"/>
  <c r="J46" i="5"/>
  <c r="J96" i="5"/>
  <c r="J5" i="5"/>
  <c r="J84" i="5"/>
  <c r="J55" i="5"/>
  <c r="J3" i="5"/>
  <c r="J63" i="5"/>
  <c r="J37" i="5"/>
  <c r="J68" i="5"/>
  <c r="J88" i="5"/>
  <c r="J64" i="5"/>
  <c r="J105" i="5"/>
  <c r="J35" i="5"/>
  <c r="J67" i="5"/>
  <c r="J125" i="5"/>
  <c r="J77" i="5"/>
  <c r="J107" i="5"/>
  <c r="J106" i="5"/>
  <c r="J99" i="5"/>
  <c r="J12" i="5"/>
  <c r="J42" i="5"/>
  <c r="J13" i="5"/>
  <c r="J72" i="5"/>
  <c r="J83" i="5"/>
  <c r="J18" i="5"/>
  <c r="J80" i="5"/>
  <c r="J39" i="5"/>
  <c r="J38" i="5"/>
  <c r="J112" i="5"/>
  <c r="J30" i="5"/>
  <c r="J21" i="5"/>
  <c r="J73" i="5"/>
  <c r="J17" i="5"/>
  <c r="J15" i="5"/>
  <c r="J94" i="5"/>
  <c r="J1" i="5"/>
  <c r="D26" i="6"/>
  <c r="J108" i="5"/>
  <c r="J9" i="5"/>
  <c r="J4" i="5"/>
  <c r="J114" i="5"/>
  <c r="J52" i="5"/>
  <c r="J92" i="5"/>
  <c r="J24" i="5"/>
  <c r="J90" i="5"/>
  <c r="J25" i="5"/>
  <c r="J20" i="5"/>
  <c r="J49" i="5"/>
  <c r="J121" i="5"/>
  <c r="J111" i="5"/>
  <c r="J118" i="5"/>
  <c r="J101" i="5"/>
  <c r="J97" i="5"/>
  <c r="J57" i="5"/>
  <c r="J75" i="5"/>
  <c r="J70" i="5"/>
  <c r="J123" i="5"/>
  <c r="J43" i="5"/>
  <c r="J19" i="5"/>
  <c r="J62" i="5"/>
  <c r="J61" i="5"/>
  <c r="J113" i="5"/>
  <c r="J103" i="5"/>
  <c r="J41" i="5"/>
  <c r="J40" i="5"/>
  <c r="J66" i="5"/>
  <c r="J7" i="5"/>
  <c r="J31" i="5"/>
  <c r="J93" i="5"/>
  <c r="J23" i="5"/>
  <c r="J100" i="5"/>
  <c r="J69" i="5"/>
  <c r="J23" i="12"/>
  <c r="D24" i="6"/>
  <c r="D15" i="6"/>
  <c r="D25" i="6"/>
  <c r="D27" i="6"/>
  <c r="J10" i="12"/>
  <c r="J7" i="12"/>
  <c r="J12" i="12"/>
  <c r="K5" i="12"/>
  <c r="J13" i="12"/>
  <c r="J5" i="12"/>
  <c r="K13" i="12"/>
  <c r="K14" i="12"/>
  <c r="K10" i="12"/>
  <c r="K11" i="12"/>
  <c r="J14" i="12"/>
  <c r="J6" i="12"/>
  <c r="K7" i="12"/>
  <c r="K6" i="12"/>
  <c r="J4" i="12"/>
  <c r="J11" i="12"/>
  <c r="K3" i="12"/>
  <c r="J3" i="12"/>
  <c r="K12" i="12"/>
  <c r="K4" i="12"/>
  <c r="K15" i="12"/>
  <c r="K8" i="12"/>
  <c r="J15" i="12"/>
  <c r="J8" i="12"/>
  <c r="K9" i="12"/>
  <c r="K16" i="12"/>
  <c r="J9" i="12"/>
  <c r="J16" i="12"/>
  <c r="H9" i="12"/>
  <c r="G9" i="12"/>
  <c r="I9" i="12" s="1"/>
  <c r="H8" i="12"/>
  <c r="H12" i="12"/>
  <c r="I12" i="12" s="1"/>
  <c r="G12" i="12"/>
  <c r="H14" i="12"/>
  <c r="I14" i="12" s="1"/>
  <c r="H7" i="12"/>
  <c r="G7" i="12"/>
  <c r="H4" i="12"/>
  <c r="G8" i="12"/>
  <c r="H10" i="12"/>
  <c r="G10" i="12"/>
  <c r="I10" i="12"/>
  <c r="H6" i="12"/>
  <c r="G6" i="12"/>
  <c r="H5" i="12"/>
  <c r="I5" i="12" s="1"/>
  <c r="G5" i="12"/>
  <c r="H11" i="12"/>
  <c r="H15" i="12"/>
  <c r="G15" i="12"/>
  <c r="I15" i="12"/>
  <c r="H16" i="12"/>
  <c r="G16" i="12"/>
  <c r="I16" i="12" s="1"/>
  <c r="G4" i="12"/>
  <c r="G13" i="12"/>
  <c r="G14" i="12"/>
  <c r="G11" i="12"/>
  <c r="H3" i="12"/>
  <c r="H13" i="12"/>
  <c r="I13" i="12" s="1"/>
  <c r="G3" i="12"/>
  <c r="I4" i="12"/>
  <c r="I8" i="12"/>
  <c r="I7" i="12" l="1"/>
  <c r="I6" i="12"/>
  <c r="I3" i="12"/>
  <c r="I11"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<sst xmlns="http://schemas.openxmlformats.org/spreadsheetml/2006/main" count="279" uniqueCount="125">
  <si>
    <t>30Y</t>
  </si>
  <si>
    <t>27Y</t>
  </si>
  <si>
    <t>25Y</t>
  </si>
  <si>
    <t>20Y</t>
  </si>
  <si>
    <t>15Y</t>
  </si>
  <si>
    <t>12Y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</si>
  <si>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</si>
  <si>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</si>
  <si>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</si>
  <si>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</si>
  <si>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</si>
  <si>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</si>
  <si>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</si>
  <si>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</si>
  <si>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</si>
  <si>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</si>
  <si>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</si>
  <si>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</si>
  <si>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</si>
  <si>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</si>
  <si>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</si>
  <si>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</si>
  <si>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</si>
  <si>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</si>
  <si>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</si>
  <si>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</si>
  <si>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</si>
  <si>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</si>
  <si>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</si>
  <si>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</si>
  <si>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</si>
  <si>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</si>
  <si>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</si>
  <si>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</si>
  <si>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</si>
  <si>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</si>
  <si>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</si>
  <si>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</si>
  <si>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</si>
  <si>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</si>
  <si>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</si>
  <si>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</si>
  <si>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</si>
  <si>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</si>
  <si>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</si>
  <si>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</si>
  <si>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</si>
  <si>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</si>
  <si>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</si>
  <si>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</si>
  <si>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</si>
  <si>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</si>
  <si>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</si>
  <si>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</si>
  <si>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</si>
  <si>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</si>
  <si>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</si>
  <si>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</si>
  <si>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</si>
  <si>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</si>
  <si>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</si>
  <si>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</si>
  <si>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</si>
  <si>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</si>
  <si>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</si>
  <si>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</si>
  <si>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</si>
  <si>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</si>
  <si>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</si>
  <si>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</si>
  <si>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</si>
  <si>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</si>
  <si>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</si>
  <si>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</si>
  <si>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</si>
  <si>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</si>
  <si>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</si>
  <si>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</si>
  <si>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</si>
  <si>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</si>
  <si>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</si>
  <si>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</si>
  <si>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</si>
  <si>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</si>
  <si>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</si>
  <si>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</si>
  <si>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</si>
  <si>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</si>
  <si>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</si>
  <si>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</si>
  <si>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</si>
  <si>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1w</t>
  </si>
  <si>
    <t>Recalc trigger</t>
  </si>
  <si>
    <t>Years</t>
  </si>
  <si>
    <t>Fwd</t>
  </si>
  <si>
    <t>Min</t>
  </si>
  <si>
    <t>Max</t>
  </si>
  <si>
    <t>Major unit</t>
  </si>
  <si>
    <t>Time Axis</t>
  </si>
  <si>
    <t>Rate Axis</t>
  </si>
  <si>
    <t>Min value</t>
  </si>
  <si>
    <t>Max value</t>
  </si>
  <si>
    <t>SM</t>
  </si>
  <si>
    <t>Ibor Index</t>
  </si>
  <si>
    <t>bdc</t>
  </si>
  <si>
    <t>eom</t>
  </si>
  <si>
    <t>Instruments</t>
  </si>
  <si>
    <t>Instruments Selected</t>
  </si>
  <si>
    <t>Following</t>
  </si>
  <si>
    <t>Length of the curve</t>
  </si>
  <si>
    <t>Settl Days</t>
  </si>
  <si>
    <t>0D</t>
  </si>
  <si>
    <t>SEK</t>
  </si>
  <si>
    <t>Sweden</t>
  </si>
  <si>
    <t>ibor</t>
  </si>
  <si>
    <t>Actual/360</t>
  </si>
  <si>
    <t>15M</t>
  </si>
  <si>
    <t>18M</t>
  </si>
  <si>
    <t>21M</t>
  </si>
  <si>
    <t>35Y</t>
  </si>
  <si>
    <t>40Y</t>
  </si>
  <si>
    <t>3S</t>
  </si>
  <si>
    <t>AB</t>
  </si>
  <si>
    <t>Annual</t>
  </si>
  <si>
    <t>50Y</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</si>
</sst>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_-* #,##0.00_-;\-* #,##0.00_-;_-* &quot;-&quot;??_-;_-@_-"/>
    <numFmt numFmtId="165" formatCode="ddd\,\ d\-mmm\-yyyy"/>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4">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8"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64" fontId="17" fillId="0" borderId="0" applyFont="0" applyFill="0" applyBorder="0" applyAlignment="0" applyProtection="0"/>
  </cellStyleXfs>
  <cellXfs count="247">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6"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6"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8"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5" fontId="2" fillId="2" borderId="24" xfId="1" applyNumberFormat="1" applyFont="1" applyFill="1" applyBorder="1" applyAlignment="1">
      <alignment horizontal="right"/>
    </xf>
    <xf numFmtId="167" fontId="2" fillId="2" borderId="4" xfId="1" applyNumberFormat="1" applyFont="1" applyFill="1" applyBorder="1" applyAlignment="1">
      <alignment horizontal="center"/>
    </xf>
    <xf numFmtId="165" fontId="2" fillId="2" borderId="25" xfId="1" applyNumberFormat="1" applyFont="1" applyFill="1" applyBorder="1" applyAlignment="1">
      <alignment horizontal="right"/>
    </xf>
    <xf numFmtId="169"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0" fontId="2" fillId="2" borderId="4" xfId="3"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70"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70"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1"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1"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1"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1"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9" borderId="0" xfId="3" applyFont="1" applyFill="1"/>
    <xf numFmtId="0" fontId="5" fillId="9"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6" fontId="6" fillId="2" borderId="0" xfId="2" applyNumberFormat="1" applyFont="1" applyFill="1" applyBorder="1" applyAlignment="1">
      <alignment horizontal="right"/>
    </xf>
    <xf numFmtId="0" fontId="6" fillId="2" borderId="0" xfId="1" applyFont="1" applyFill="1" applyBorder="1" applyAlignment="1">
      <alignment horizontal="center"/>
    </xf>
    <xf numFmtId="166" fontId="6" fillId="0" borderId="0" xfId="1" applyNumberFormat="1" applyFont="1"/>
    <xf numFmtId="168" fontId="6" fillId="2" borderId="0" xfId="1" applyNumberFormat="1" applyFont="1" applyFill="1" applyBorder="1" applyAlignment="1">
      <alignment horizontal="right"/>
    </xf>
    <xf numFmtId="168" fontId="6" fillId="2" borderId="2" xfId="1" applyNumberFormat="1" applyFont="1" applyFill="1" applyBorder="1" applyAlignment="1">
      <alignment horizontal="right"/>
    </xf>
    <xf numFmtId="168"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6" fontId="6" fillId="0" borderId="0" xfId="2" quotePrefix="1" applyNumberFormat="1" applyFont="1" applyBorder="1" applyAlignment="1"/>
    <xf numFmtId="168" fontId="6" fillId="0" borderId="0" xfId="1" applyNumberFormat="1" applyFont="1" applyBorder="1"/>
    <xf numFmtId="166" fontId="6" fillId="0" borderId="0" xfId="2" applyNumberFormat="1" applyFont="1"/>
    <xf numFmtId="0" fontId="6" fillId="0" borderId="5" xfId="1" applyFont="1" applyBorder="1" applyAlignment="1">
      <alignment horizontal="center" vertical="center"/>
    </xf>
    <xf numFmtId="166" fontId="6" fillId="0" borderId="12" xfId="2" quotePrefix="1" applyNumberFormat="1" applyFont="1" applyBorder="1" applyAlignment="1"/>
    <xf numFmtId="168" fontId="6" fillId="0" borderId="10" xfId="1" applyNumberFormat="1" applyFont="1" applyBorder="1"/>
    <xf numFmtId="166" fontId="6" fillId="0" borderId="9" xfId="2" quotePrefix="1" applyNumberFormat="1" applyFont="1" applyBorder="1" applyAlignment="1"/>
    <xf numFmtId="0" fontId="6" fillId="0" borderId="13" xfId="1" applyFont="1" applyBorder="1"/>
    <xf numFmtId="0" fontId="6" fillId="0" borderId="11" xfId="1" applyFont="1" applyBorder="1"/>
    <xf numFmtId="0" fontId="7" fillId="11" borderId="0" xfId="1" applyFont="1" applyFill="1" applyBorder="1" applyAlignment="1">
      <alignment horizontal="center" vertical="center"/>
    </xf>
    <xf numFmtId="0" fontId="18" fillId="0" borderId="0" xfId="0" applyFont="1"/>
    <xf numFmtId="168" fontId="6" fillId="0" borderId="0" xfId="1" applyNumberFormat="1" applyFont="1" applyBorder="1" applyAlignment="1"/>
    <xf numFmtId="177" fontId="6" fillId="0" borderId="0" xfId="1" applyNumberFormat="1" applyFont="1"/>
    <xf numFmtId="166" fontId="6" fillId="0" borderId="10" xfId="2" quotePrefix="1" applyNumberFormat="1" applyFont="1" applyBorder="1" applyAlignment="1"/>
    <xf numFmtId="0" fontId="7" fillId="12" borderId="31" xfId="1" applyFont="1" applyFill="1" applyBorder="1" applyAlignment="1">
      <alignment horizontal="center"/>
    </xf>
    <xf numFmtId="168" fontId="6" fillId="0" borderId="10" xfId="1" applyNumberFormat="1" applyFont="1" applyBorder="1" applyAlignment="1"/>
    <xf numFmtId="0" fontId="7" fillId="12" borderId="22" xfId="1" applyFont="1" applyFill="1" applyBorder="1" applyAlignment="1">
      <alignment horizontal="center"/>
    </xf>
    <xf numFmtId="0" fontId="7" fillId="12" borderId="29" xfId="1" applyFont="1" applyFill="1" applyBorder="1" applyAlignment="1">
      <alignment horizontal="center"/>
    </xf>
    <xf numFmtId="0" fontId="7" fillId="12" borderId="29" xfId="1" applyFont="1" applyFill="1" applyBorder="1" applyAlignment="1">
      <alignment horizontal="center" vertical="center"/>
    </xf>
    <xf numFmtId="0" fontId="7" fillId="12" borderId="21" xfId="1" applyFont="1" applyFill="1" applyBorder="1" applyAlignment="1">
      <alignment horizontal="center" vertical="center"/>
    </xf>
    <xf numFmtId="0" fontId="6" fillId="10" borderId="24" xfId="1" applyFont="1" applyFill="1" applyBorder="1"/>
    <xf numFmtId="0" fontId="7" fillId="11" borderId="27" xfId="1" applyFont="1" applyFill="1" applyBorder="1" applyAlignment="1">
      <alignment horizontal="center"/>
    </xf>
    <xf numFmtId="0" fontId="7" fillId="12" borderId="28" xfId="1" applyFont="1" applyFill="1" applyBorder="1" applyAlignment="1">
      <alignment horizontal="centerContinuous"/>
    </xf>
    <xf numFmtId="0" fontId="7" fillId="12" borderId="22" xfId="1" applyFont="1" applyFill="1" applyBorder="1" applyAlignment="1">
      <alignment horizontal="centerContinuous"/>
    </xf>
    <xf numFmtId="0" fontId="7" fillId="11" borderId="30" xfId="1" applyFont="1" applyFill="1" applyBorder="1" applyAlignment="1">
      <alignment horizontal="center"/>
    </xf>
    <xf numFmtId="0" fontId="6" fillId="0" borderId="31" xfId="1" applyFont="1" applyBorder="1" applyAlignment="1">
      <alignment horizontal="center"/>
    </xf>
    <xf numFmtId="0" fontId="6" fillId="10" borderId="34" xfId="1" applyFont="1" applyFill="1" applyBorder="1"/>
    <xf numFmtId="0" fontId="7" fillId="12" borderId="29" xfId="1" applyFont="1" applyFill="1" applyBorder="1" applyAlignment="1">
      <alignment horizontal="centerContinuous"/>
    </xf>
    <xf numFmtId="0" fontId="7" fillId="11" borderId="13" xfId="1" applyFont="1" applyFill="1" applyBorder="1" applyAlignment="1">
      <alignment horizontal="center"/>
    </xf>
    <xf numFmtId="168" fontId="6" fillId="13" borderId="34" xfId="1" applyNumberFormat="1" applyFont="1" applyFill="1" applyBorder="1"/>
    <xf numFmtId="168" fontId="6" fillId="13" borderId="24" xfId="1" applyNumberFormat="1" applyFont="1" applyFill="1" applyBorder="1"/>
    <xf numFmtId="168" fontId="6" fillId="13" borderId="37" xfId="1" applyNumberFormat="1" applyFont="1" applyFill="1" applyBorder="1"/>
    <xf numFmtId="0" fontId="6" fillId="10" borderId="37" xfId="1" applyFont="1" applyFill="1" applyBorder="1"/>
    <xf numFmtId="0" fontId="7" fillId="3" borderId="22" xfId="1" applyFont="1" applyFill="1" applyBorder="1" applyAlignment="1">
      <alignment horizontal="center" vertical="center" wrapText="1"/>
    </xf>
    <xf numFmtId="10" fontId="6" fillId="13" borderId="34" xfId="1" applyNumberFormat="1" applyFont="1" applyFill="1" applyBorder="1"/>
    <xf numFmtId="10" fontId="6" fillId="13" borderId="24" xfId="1" applyNumberFormat="1" applyFont="1" applyFill="1" applyBorder="1"/>
    <xf numFmtId="10" fontId="6" fillId="13" borderId="37" xfId="1" applyNumberFormat="1" applyFont="1" applyFill="1" applyBorder="1"/>
    <xf numFmtId="0" fontId="6" fillId="13" borderId="27" xfId="1" applyFont="1" applyFill="1" applyBorder="1" applyAlignment="1">
      <alignment vertical="center"/>
    </xf>
    <xf numFmtId="0" fontId="6" fillId="13" borderId="13" xfId="1" applyFont="1" applyFill="1" applyBorder="1" applyAlignment="1">
      <alignment vertical="center"/>
    </xf>
    <xf numFmtId="0" fontId="6" fillId="13" borderId="13" xfId="1" applyFont="1" applyFill="1" applyBorder="1" applyAlignment="1">
      <alignment horizontal="center" vertical="center"/>
    </xf>
    <xf numFmtId="0" fontId="6" fillId="13" borderId="11" xfId="1" applyFont="1" applyFill="1" applyBorder="1" applyAlignment="1">
      <alignment vertical="center"/>
    </xf>
    <xf numFmtId="0" fontId="6" fillId="13" borderId="33" xfId="1" applyFont="1" applyFill="1" applyBorder="1"/>
    <xf numFmtId="0" fontId="6" fillId="13" borderId="32" xfId="1" applyFont="1" applyFill="1" applyBorder="1"/>
    <xf numFmtId="0" fontId="6" fillId="13" borderId="36" xfId="1" applyFont="1" applyFill="1" applyBorder="1"/>
    <xf numFmtId="0" fontId="6" fillId="13" borderId="38" xfId="1" applyNumberFormat="1" applyFont="1" applyFill="1" applyBorder="1"/>
    <xf numFmtId="0" fontId="6" fillId="13" borderId="3" xfId="1" applyNumberFormat="1" applyFont="1" applyFill="1" applyBorder="1"/>
    <xf numFmtId="0" fontId="18" fillId="13" borderId="3" xfId="0" applyFont="1" applyFill="1" applyBorder="1"/>
    <xf numFmtId="0" fontId="18" fillId="13" borderId="39" xfId="0" applyFont="1" applyFill="1" applyBorder="1"/>
    <xf numFmtId="0" fontId="18" fillId="0" borderId="13" xfId="0" applyFont="1" applyBorder="1"/>
    <xf numFmtId="10" fontId="6" fillId="13" borderId="38" xfId="1" applyNumberFormat="1" applyFont="1" applyFill="1" applyBorder="1"/>
    <xf numFmtId="10" fontId="6" fillId="13" borderId="3" xfId="1" applyNumberFormat="1" applyFont="1" applyFill="1" applyBorder="1"/>
    <xf numFmtId="10" fontId="6" fillId="13" borderId="39" xfId="1" applyNumberFormat="1" applyFont="1" applyFill="1" applyBorder="1"/>
    <xf numFmtId="0" fontId="7" fillId="11" borderId="35" xfId="1" applyFont="1" applyFill="1" applyBorder="1" applyAlignment="1">
      <alignment horizontal="center"/>
    </xf>
    <xf numFmtId="10" fontId="18" fillId="13" borderId="24" xfId="0" applyNumberFormat="1" applyFont="1" applyFill="1" applyBorder="1"/>
    <xf numFmtId="10" fontId="18" fillId="13" borderId="37" xfId="0" applyNumberFormat="1" applyFont="1" applyFill="1" applyBorder="1"/>
    <xf numFmtId="10" fontId="6" fillId="13" borderId="33" xfId="1" applyNumberFormat="1" applyFont="1" applyFill="1" applyBorder="1"/>
    <xf numFmtId="10" fontId="6" fillId="13" borderId="32" xfId="1" applyNumberFormat="1" applyFont="1" applyFill="1" applyBorder="1"/>
    <xf numFmtId="10" fontId="6" fillId="13" borderId="36" xfId="1" applyNumberFormat="1" applyFont="1" applyFill="1" applyBorder="1"/>
    <xf numFmtId="166" fontId="6" fillId="0" borderId="0" xfId="1" applyNumberFormat="1" applyFont="1" applyAlignment="1">
      <alignment horizontal="left"/>
    </xf>
    <xf numFmtId="166" fontId="7" fillId="3" borderId="20" xfId="1" applyNumberFormat="1" applyFont="1" applyFill="1" applyBorder="1" applyAlignment="1">
      <alignment horizontal="center" vertical="center" wrapText="1"/>
    </xf>
    <xf numFmtId="166" fontId="6" fillId="2" borderId="13" xfId="1" applyNumberFormat="1" applyFont="1" applyFill="1" applyBorder="1" applyAlignment="1"/>
    <xf numFmtId="166"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0" fontId="20"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2" fillId="4" borderId="7" xfId="1" applyNumberFormat="1" applyFont="1" applyFill="1" applyBorder="1" applyAlignment="1" applyProtection="1">
      <alignment horizontal="left" vertical="center"/>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3"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0"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6" fontId="6" fillId="2" borderId="5" xfId="2" applyNumberFormat="1" applyFont="1" applyFill="1" applyBorder="1" applyAlignment="1">
      <alignment horizontal="right"/>
    </xf>
    <xf numFmtId="0" fontId="6" fillId="2" borderId="5" xfId="1" applyFont="1" applyFill="1" applyBorder="1" applyAlignment="1">
      <alignment horizontal="center"/>
    </xf>
    <xf numFmtId="168" fontId="6" fillId="2" borderId="5" xfId="1" applyNumberFormat="1" applyFont="1" applyFill="1" applyBorder="1" applyAlignment="1">
      <alignment horizontal="right"/>
    </xf>
    <xf numFmtId="168"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6" fillId="2" borderId="10" xfId="1" applyFont="1" applyFill="1" applyBorder="1" applyAlignment="1">
      <alignment horizontal="center"/>
    </xf>
    <xf numFmtId="0" fontId="20" fillId="0" borderId="0" xfId="1" applyFont="1" applyAlignment="1">
      <alignment horizontal="center"/>
    </xf>
    <xf numFmtId="0" fontId="6" fillId="2" borderId="27" xfId="1" applyFont="1" applyFill="1" applyBorder="1" applyAlignment="1">
      <alignment horizontal="center"/>
    </xf>
    <xf numFmtId="0" fontId="6" fillId="2" borderId="28" xfId="1" applyFont="1" applyFill="1" applyBorder="1"/>
    <xf numFmtId="0" fontId="21" fillId="2" borderId="40" xfId="1" applyFont="1" applyFill="1" applyBorder="1" applyAlignment="1">
      <alignment horizontal="left" vertical="center"/>
    </xf>
    <xf numFmtId="0" fontId="23" fillId="2" borderId="26" xfId="1" applyFont="1" applyFill="1" applyBorder="1"/>
    <xf numFmtId="0" fontId="23" fillId="2" borderId="9" xfId="1" applyFont="1" applyFill="1" applyBorder="1"/>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NumberFormat="1" applyFont="1" applyFill="1" applyBorder="1" applyAlignment="1">
      <alignment horizontal="left"/>
    </xf>
    <xf numFmtId="0" fontId="6" fillId="10" borderId="23" xfId="1" applyNumberFormat="1" applyFont="1" applyFill="1" applyBorder="1" applyAlignment="1">
      <alignment horizontal="center"/>
    </xf>
    <xf numFmtId="0" fontId="6" fillId="10" borderId="23" xfId="1" applyNumberFormat="1" applyFont="1" applyFill="1" applyBorder="1" applyAlignment="1">
      <alignment horizontal="left"/>
    </xf>
    <xf numFmtId="166" fontId="6" fillId="10" borderId="25" xfId="1" applyNumberFormat="1" applyFont="1" applyFill="1" applyBorder="1" applyAlignment="1">
      <alignment horizontal="left"/>
    </xf>
    <xf numFmtId="166" fontId="6" fillId="10" borderId="24" xfId="1" applyNumberFormat="1" applyFont="1" applyFill="1" applyBorder="1" applyAlignment="1">
      <alignment horizontal="left"/>
    </xf>
    <xf numFmtId="166" fontId="6" fillId="10" borderId="23" xfId="1" applyNumberFormat="1" applyFont="1" applyFill="1" applyBorder="1" applyAlignment="1">
      <alignment horizontal="left"/>
    </xf>
    <xf numFmtId="0" fontId="6" fillId="10" borderId="25" xfId="1" applyFont="1" applyFill="1" applyBorder="1" applyAlignment="1">
      <alignment horizontal="center"/>
    </xf>
    <xf numFmtId="0" fontId="6" fillId="10" borderId="24" xfId="1" applyFont="1" applyFill="1" applyBorder="1" applyAlignment="1">
      <alignment horizontal="center"/>
    </xf>
    <xf numFmtId="0" fontId="6" fillId="10" borderId="23" xfId="1" applyFont="1" applyFill="1" applyBorder="1" applyAlignment="1">
      <alignment horizontal="center"/>
    </xf>
    <xf numFmtId="0" fontId="6" fillId="10" borderId="25" xfId="15" applyNumberFormat="1" applyFont="1" applyFill="1" applyBorder="1" applyAlignment="1">
      <alignment horizontal="center"/>
    </xf>
    <xf numFmtId="0" fontId="6" fillId="10" borderId="24" xfId="15" applyNumberFormat="1" applyFont="1" applyFill="1" applyBorder="1" applyAlignment="1">
      <alignment horizontal="center"/>
    </xf>
    <xf numFmtId="0" fontId="6" fillId="10" borderId="23" xfId="15" applyNumberFormat="1" applyFont="1" applyFill="1" applyBorder="1" applyAlignment="1">
      <alignment horizontal="center"/>
    </xf>
    <xf numFmtId="0" fontId="6" fillId="10" borderId="25" xfId="1" applyNumberFormat="1" applyFont="1" applyFill="1" applyBorder="1" applyAlignment="1"/>
    <xf numFmtId="166" fontId="6" fillId="0" borderId="0" xfId="10" applyNumberFormat="1" applyFont="1"/>
    <xf numFmtId="0" fontId="6" fillId="2" borderId="41" xfId="1" applyFont="1" applyFill="1" applyBorder="1"/>
    <xf numFmtId="0" fontId="6" fillId="2" borderId="41" xfId="15" applyFont="1" applyFill="1" applyBorder="1"/>
    <xf numFmtId="0" fontId="19" fillId="4" borderId="7" xfId="1" applyNumberFormat="1" applyFont="1" applyFill="1" applyBorder="1" applyAlignment="1" applyProtection="1">
      <alignment horizontal="left" vertical="center"/>
    </xf>
    <xf numFmtId="172" fontId="19" fillId="4" borderId="7" xfId="1" applyNumberFormat="1" applyFont="1" applyFill="1" applyBorder="1" applyAlignment="1" applyProtection="1">
      <alignment horizontal="left"/>
    </xf>
    <xf numFmtId="0" fontId="19" fillId="2" borderId="0" xfId="1" applyFont="1" applyFill="1" applyBorder="1"/>
    <xf numFmtId="0" fontId="19" fillId="4" borderId="25" xfId="1" applyNumberFormat="1" applyFont="1" applyFill="1" applyBorder="1" applyAlignment="1" applyProtection="1">
      <alignment horizontal="left" vertical="center"/>
    </xf>
    <xf numFmtId="0" fontId="19" fillId="4" borderId="24" xfId="1" applyNumberFormat="1" applyFont="1" applyFill="1" applyBorder="1" applyAlignment="1" applyProtection="1">
      <alignment horizontal="left" vertical="center"/>
    </xf>
    <xf numFmtId="0" fontId="19"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3"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3" fontId="6" fillId="2" borderId="25" xfId="1" applyNumberFormat="1" applyFont="1" applyFill="1" applyBorder="1" applyAlignment="1"/>
    <xf numFmtId="0" fontId="6" fillId="2" borderId="25" xfId="1" applyNumberFormat="1" applyFont="1" applyFill="1" applyBorder="1" applyAlignment="1"/>
    <xf numFmtId="0" fontId="6" fillId="2" borderId="4" xfId="1" applyNumberFormat="1" applyFont="1" applyFill="1" applyBorder="1" applyAlignment="1">
      <alignment horizontal="left"/>
    </xf>
    <xf numFmtId="172" fontId="22" fillId="4" borderId="4" xfId="1" applyNumberFormat="1" applyFont="1" applyFill="1" applyBorder="1" applyAlignment="1" applyProtection="1">
      <alignment horizontal="left"/>
    </xf>
    <xf numFmtId="0" fontId="7" fillId="2" borderId="3" xfId="1" applyFont="1" applyFill="1" applyBorder="1" applyAlignment="1">
      <alignment horizontal="center"/>
    </xf>
    <xf numFmtId="173"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3" fontId="6" fillId="2" borderId="24" xfId="1" applyNumberFormat="1" applyFont="1" applyFill="1" applyBorder="1" applyAlignment="1"/>
    <xf numFmtId="0" fontId="6" fillId="2" borderId="24" xfId="1" applyNumberFormat="1" applyFont="1" applyFill="1" applyBorder="1" applyAlignment="1"/>
    <xf numFmtId="0" fontId="6" fillId="2" borderId="2" xfId="1" applyNumberFormat="1" applyFont="1" applyFill="1" applyBorder="1" applyAlignment="1">
      <alignment horizontal="left"/>
    </xf>
    <xf numFmtId="172" fontId="22" fillId="4" borderId="2" xfId="1" applyNumberFormat="1" applyFont="1" applyFill="1" applyBorder="1" applyAlignment="1" applyProtection="1">
      <alignment horizontal="left"/>
    </xf>
    <xf numFmtId="0" fontId="6" fillId="0" borderId="31" xfId="1" applyFont="1" applyBorder="1" applyAlignment="1">
      <alignment horizontal="center"/>
    </xf>
    <xf numFmtId="0" fontId="7" fillId="12" borderId="30" xfId="1" applyFont="1" applyFill="1" applyBorder="1" applyAlignment="1">
      <alignment horizontal="center" wrapText="1"/>
    </xf>
    <xf numFmtId="173" fontId="6" fillId="2" borderId="25" xfId="1" applyNumberFormat="1" applyFont="1" applyFill="1" applyBorder="1" applyAlignment="1">
      <alignment horizontal="right"/>
    </xf>
    <xf numFmtId="173" fontId="6" fillId="2" borderId="24" xfId="1" applyNumberFormat="1" applyFont="1" applyFill="1" applyBorder="1" applyAlignment="1">
      <alignment horizontal="right"/>
    </xf>
    <xf numFmtId="173" fontId="6" fillId="10" borderId="25" xfId="1" applyNumberFormat="1" applyFont="1" applyFill="1" applyBorder="1" applyAlignment="1">
      <alignment horizontal="left"/>
    </xf>
    <xf numFmtId="173" fontId="6" fillId="10" borderId="24" xfId="1" applyNumberFormat="1" applyFont="1" applyFill="1" applyBorder="1" applyAlignment="1">
      <alignment horizontal="left"/>
    </xf>
    <xf numFmtId="0" fontId="6" fillId="2" borderId="42" xfId="1" applyFont="1" applyFill="1" applyBorder="1" applyAlignment="1">
      <alignment horizontal="left"/>
    </xf>
    <xf numFmtId="0" fontId="6" fillId="2" borderId="43" xfId="1" applyFont="1" applyFill="1" applyBorder="1" applyAlignment="1">
      <alignment horizontal="left"/>
    </xf>
    <xf numFmtId="166" fontId="6" fillId="2" borderId="43" xfId="2" applyNumberFormat="1" applyFont="1" applyFill="1" applyBorder="1" applyAlignment="1">
      <alignment horizontal="right"/>
    </xf>
    <xf numFmtId="0" fontId="6" fillId="2" borderId="43" xfId="1" applyFont="1" applyFill="1" applyBorder="1" applyAlignment="1">
      <alignment horizontal="center"/>
    </xf>
    <xf numFmtId="168" fontId="6" fillId="2" borderId="43" xfId="1" applyNumberFormat="1" applyFont="1" applyFill="1" applyBorder="1" applyAlignment="1">
      <alignment horizontal="right"/>
    </xf>
    <xf numFmtId="168" fontId="6" fillId="2" borderId="1" xfId="1" applyNumberFormat="1" applyFont="1" applyFill="1" applyBorder="1" applyAlignment="1">
      <alignment horizontal="right"/>
    </xf>
    <xf numFmtId="0" fontId="7" fillId="2" borderId="42" xfId="1" applyFont="1" applyFill="1" applyBorder="1" applyAlignment="1">
      <alignment horizontal="center"/>
    </xf>
    <xf numFmtId="173" fontId="6" fillId="2" borderId="23" xfId="1" applyNumberFormat="1" applyFont="1" applyFill="1" applyBorder="1" applyAlignment="1">
      <alignment horizontal="center"/>
    </xf>
    <xf numFmtId="0" fontId="6" fillId="2" borderId="23" xfId="1" applyNumberFormat="1" applyFont="1" applyFill="1" applyBorder="1" applyAlignment="1">
      <alignment horizontal="center"/>
    </xf>
    <xf numFmtId="173" fontId="6" fillId="2" borderId="23" xfId="1" applyNumberFormat="1" applyFont="1" applyFill="1" applyBorder="1" applyAlignment="1"/>
    <xf numFmtId="173" fontId="6" fillId="2" borderId="23" xfId="1" applyNumberFormat="1" applyFont="1" applyFill="1" applyBorder="1" applyAlignment="1">
      <alignment horizontal="right"/>
    </xf>
    <xf numFmtId="0" fontId="6" fillId="2" borderId="23" xfId="1" applyNumberFormat="1" applyFont="1" applyFill="1" applyBorder="1" applyAlignment="1"/>
    <xf numFmtId="173" fontId="6" fillId="10" borderId="23" xfId="1" applyNumberFormat="1" applyFont="1" applyFill="1" applyBorder="1" applyAlignment="1">
      <alignment horizontal="left"/>
    </xf>
    <xf numFmtId="0" fontId="6" fillId="2" borderId="1" xfId="1" applyNumberFormat="1" applyFont="1" applyFill="1" applyBorder="1" applyAlignment="1">
      <alignment horizontal="left"/>
    </xf>
    <xf numFmtId="172" fontId="22"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6M Fwd</c:v>
                </c:pt>
              </c:strCache>
            </c:strRef>
          </c:tx>
          <c:marker>
            <c:symbol val="none"/>
          </c:marker>
          <c:cat>
            <c:numRef>
              <c:f>Monitor!$P$19:$P$3552</c:f>
              <c:numCache>
                <c:formatCode>ddd\,\ dd\-mmm\-yyyy</c:formatCode>
                <c:ptCount val="3534"/>
                <c:pt idx="0">
                  <c:v>42276</c:v>
                </c:pt>
                <c:pt idx="1">
                  <c:v>42277</c:v>
                </c:pt>
                <c:pt idx="2">
                  <c:v>42278</c:v>
                </c:pt>
                <c:pt idx="3">
                  <c:v>42279</c:v>
                </c:pt>
                <c:pt idx="4">
                  <c:v>42282</c:v>
                </c:pt>
                <c:pt idx="5">
                  <c:v>42283</c:v>
                </c:pt>
                <c:pt idx="6">
                  <c:v>42284</c:v>
                </c:pt>
                <c:pt idx="7">
                  <c:v>42285</c:v>
                </c:pt>
                <c:pt idx="8">
                  <c:v>42286</c:v>
                </c:pt>
                <c:pt idx="9">
                  <c:v>42289</c:v>
                </c:pt>
                <c:pt idx="10">
                  <c:v>42290</c:v>
                </c:pt>
                <c:pt idx="11">
                  <c:v>42291</c:v>
                </c:pt>
                <c:pt idx="12">
                  <c:v>42292</c:v>
                </c:pt>
                <c:pt idx="13">
                  <c:v>42293</c:v>
                </c:pt>
                <c:pt idx="14">
                  <c:v>42296</c:v>
                </c:pt>
                <c:pt idx="15">
                  <c:v>42297</c:v>
                </c:pt>
                <c:pt idx="16">
                  <c:v>42298</c:v>
                </c:pt>
                <c:pt idx="17">
                  <c:v>42299</c:v>
                </c:pt>
                <c:pt idx="18">
                  <c:v>42300</c:v>
                </c:pt>
                <c:pt idx="19">
                  <c:v>42303</c:v>
                </c:pt>
                <c:pt idx="20">
                  <c:v>42304</c:v>
                </c:pt>
                <c:pt idx="21">
                  <c:v>42305</c:v>
                </c:pt>
                <c:pt idx="22">
                  <c:v>42306</c:v>
                </c:pt>
                <c:pt idx="23">
                  <c:v>42307</c:v>
                </c:pt>
                <c:pt idx="24">
                  <c:v>42310</c:v>
                </c:pt>
                <c:pt idx="25">
                  <c:v>42311</c:v>
                </c:pt>
                <c:pt idx="26">
                  <c:v>42312</c:v>
                </c:pt>
                <c:pt idx="27">
                  <c:v>42313</c:v>
                </c:pt>
                <c:pt idx="28">
                  <c:v>42314</c:v>
                </c:pt>
                <c:pt idx="29">
                  <c:v>42317</c:v>
                </c:pt>
                <c:pt idx="30">
                  <c:v>42318</c:v>
                </c:pt>
                <c:pt idx="31">
                  <c:v>42319</c:v>
                </c:pt>
                <c:pt idx="32">
                  <c:v>42320</c:v>
                </c:pt>
                <c:pt idx="33">
                  <c:v>42321</c:v>
                </c:pt>
                <c:pt idx="34">
                  <c:v>42324</c:v>
                </c:pt>
                <c:pt idx="35">
                  <c:v>42325</c:v>
                </c:pt>
                <c:pt idx="36">
                  <c:v>42326</c:v>
                </c:pt>
                <c:pt idx="37">
                  <c:v>42327</c:v>
                </c:pt>
                <c:pt idx="38">
                  <c:v>42328</c:v>
                </c:pt>
                <c:pt idx="39">
                  <c:v>42331</c:v>
                </c:pt>
                <c:pt idx="40">
                  <c:v>42332</c:v>
                </c:pt>
                <c:pt idx="41">
                  <c:v>42333</c:v>
                </c:pt>
                <c:pt idx="42">
                  <c:v>42334</c:v>
                </c:pt>
                <c:pt idx="43">
                  <c:v>42335</c:v>
                </c:pt>
                <c:pt idx="44">
                  <c:v>42338</c:v>
                </c:pt>
                <c:pt idx="45">
                  <c:v>42339</c:v>
                </c:pt>
                <c:pt idx="46">
                  <c:v>42340</c:v>
                </c:pt>
                <c:pt idx="47">
                  <c:v>42341</c:v>
                </c:pt>
                <c:pt idx="48">
                  <c:v>42342</c:v>
                </c:pt>
                <c:pt idx="49">
                  <c:v>42345</c:v>
                </c:pt>
                <c:pt idx="50">
                  <c:v>42346</c:v>
                </c:pt>
                <c:pt idx="51">
                  <c:v>42347</c:v>
                </c:pt>
                <c:pt idx="52">
                  <c:v>42348</c:v>
                </c:pt>
                <c:pt idx="53">
                  <c:v>42349</c:v>
                </c:pt>
                <c:pt idx="54">
                  <c:v>42352</c:v>
                </c:pt>
                <c:pt idx="55">
                  <c:v>42353</c:v>
                </c:pt>
                <c:pt idx="56">
                  <c:v>42354</c:v>
                </c:pt>
                <c:pt idx="57">
                  <c:v>42355</c:v>
                </c:pt>
                <c:pt idx="58">
                  <c:v>42356</c:v>
                </c:pt>
                <c:pt idx="59">
                  <c:v>42359</c:v>
                </c:pt>
                <c:pt idx="60">
                  <c:v>42360</c:v>
                </c:pt>
                <c:pt idx="61">
                  <c:v>42361</c:v>
                </c:pt>
                <c:pt idx="62">
                  <c:v>42366</c:v>
                </c:pt>
                <c:pt idx="63">
                  <c:v>42367</c:v>
                </c:pt>
                <c:pt idx="64">
                  <c:v>42368</c:v>
                </c:pt>
                <c:pt idx="65">
                  <c:v>42373</c:v>
                </c:pt>
                <c:pt idx="66">
                  <c:v>42374</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42496</c:v>
                </c:pt>
                <c:pt idx="151">
                  <c:v>42499</c:v>
                </c:pt>
                <c:pt idx="152">
                  <c:v>42500</c:v>
                </c:pt>
                <c:pt idx="153">
                  <c:v>42501</c:v>
                </c:pt>
                <c:pt idx="154">
                  <c:v>42502</c:v>
                </c:pt>
                <c:pt idx="155">
                  <c:v>42503</c:v>
                </c:pt>
                <c:pt idx="156">
                  <c:v>42507</c:v>
                </c:pt>
                <c:pt idx="157">
                  <c:v>42508</c:v>
                </c:pt>
                <c:pt idx="158">
                  <c:v>42509</c:v>
                </c:pt>
                <c:pt idx="159">
                  <c:v>42510</c:v>
                </c:pt>
                <c:pt idx="160">
                  <c:v>42513</c:v>
                </c:pt>
                <c:pt idx="161">
                  <c:v>42514</c:v>
                </c:pt>
                <c:pt idx="162">
                  <c:v>42515</c:v>
                </c:pt>
                <c:pt idx="163">
                  <c:v>42516</c:v>
                </c:pt>
                <c:pt idx="164">
                  <c:v>42517</c:v>
                </c:pt>
                <c:pt idx="165">
                  <c:v>42520</c:v>
                </c:pt>
                <c:pt idx="166">
                  <c:v>42521</c:v>
                </c:pt>
                <c:pt idx="167">
                  <c:v>42522</c:v>
                </c:pt>
                <c:pt idx="168">
                  <c:v>42523</c:v>
                </c:pt>
                <c:pt idx="169">
                  <c:v>42524</c:v>
                </c:pt>
                <c:pt idx="170">
                  <c:v>42527</c:v>
                </c:pt>
                <c:pt idx="171">
                  <c:v>42528</c:v>
                </c:pt>
                <c:pt idx="172">
                  <c:v>42529</c:v>
                </c:pt>
                <c:pt idx="173">
                  <c:v>42530</c:v>
                </c:pt>
                <c:pt idx="174">
                  <c:v>42531</c:v>
                </c:pt>
                <c:pt idx="175">
                  <c:v>42534</c:v>
                </c:pt>
                <c:pt idx="176">
                  <c:v>42535</c:v>
                </c:pt>
                <c:pt idx="177">
                  <c:v>42536</c:v>
                </c:pt>
                <c:pt idx="178">
                  <c:v>42537</c:v>
                </c:pt>
                <c:pt idx="179">
                  <c:v>42538</c:v>
                </c:pt>
                <c:pt idx="180">
                  <c:v>42541</c:v>
                </c:pt>
                <c:pt idx="181">
                  <c:v>42542</c:v>
                </c:pt>
                <c:pt idx="182">
                  <c:v>42543</c:v>
                </c:pt>
                <c:pt idx="183">
                  <c:v>42544</c:v>
                </c:pt>
                <c:pt idx="184">
                  <c:v>42548</c:v>
                </c:pt>
                <c:pt idx="185">
                  <c:v>42549</c:v>
                </c:pt>
                <c:pt idx="186">
                  <c:v>42550</c:v>
                </c:pt>
                <c:pt idx="187">
                  <c:v>42551</c:v>
                </c:pt>
                <c:pt idx="188">
                  <c:v>42552</c:v>
                </c:pt>
                <c:pt idx="189">
                  <c:v>42555</c:v>
                </c:pt>
                <c:pt idx="190">
                  <c:v>42556</c:v>
                </c:pt>
                <c:pt idx="191">
                  <c:v>42557</c:v>
                </c:pt>
                <c:pt idx="192">
                  <c:v>42558</c:v>
                </c:pt>
                <c:pt idx="193">
                  <c:v>42559</c:v>
                </c:pt>
                <c:pt idx="194">
                  <c:v>42562</c:v>
                </c:pt>
                <c:pt idx="195">
                  <c:v>42563</c:v>
                </c:pt>
                <c:pt idx="196">
                  <c:v>42564</c:v>
                </c:pt>
                <c:pt idx="197">
                  <c:v>42565</c:v>
                </c:pt>
                <c:pt idx="198">
                  <c:v>42566</c:v>
                </c:pt>
                <c:pt idx="199">
                  <c:v>42569</c:v>
                </c:pt>
                <c:pt idx="200">
                  <c:v>42570</c:v>
                </c:pt>
                <c:pt idx="201">
                  <c:v>42571</c:v>
                </c:pt>
                <c:pt idx="202">
                  <c:v>42572</c:v>
                </c:pt>
                <c:pt idx="203">
                  <c:v>42573</c:v>
                </c:pt>
                <c:pt idx="204">
                  <c:v>42576</c:v>
                </c:pt>
                <c:pt idx="205">
                  <c:v>42577</c:v>
                </c:pt>
                <c:pt idx="206">
                  <c:v>42578</c:v>
                </c:pt>
                <c:pt idx="207">
                  <c:v>42579</c:v>
                </c:pt>
                <c:pt idx="208">
                  <c:v>42580</c:v>
                </c:pt>
                <c:pt idx="209">
                  <c:v>42583</c:v>
                </c:pt>
                <c:pt idx="210">
                  <c:v>42584</c:v>
                </c:pt>
                <c:pt idx="211">
                  <c:v>42585</c:v>
                </c:pt>
                <c:pt idx="212">
                  <c:v>42586</c:v>
                </c:pt>
                <c:pt idx="213">
                  <c:v>42587</c:v>
                </c:pt>
                <c:pt idx="214">
                  <c:v>42590</c:v>
                </c:pt>
                <c:pt idx="215">
                  <c:v>42591</c:v>
                </c:pt>
                <c:pt idx="216">
                  <c:v>42592</c:v>
                </c:pt>
                <c:pt idx="217">
                  <c:v>42593</c:v>
                </c:pt>
                <c:pt idx="218">
                  <c:v>42594</c:v>
                </c:pt>
                <c:pt idx="219">
                  <c:v>42597</c:v>
                </c:pt>
                <c:pt idx="220">
                  <c:v>42598</c:v>
                </c:pt>
                <c:pt idx="221">
                  <c:v>42599</c:v>
                </c:pt>
                <c:pt idx="222">
                  <c:v>42600</c:v>
                </c:pt>
                <c:pt idx="223">
                  <c:v>42601</c:v>
                </c:pt>
                <c:pt idx="224">
                  <c:v>42604</c:v>
                </c:pt>
                <c:pt idx="225">
                  <c:v>42605</c:v>
                </c:pt>
                <c:pt idx="226">
                  <c:v>42606</c:v>
                </c:pt>
                <c:pt idx="227">
                  <c:v>42607</c:v>
                </c:pt>
                <c:pt idx="228">
                  <c:v>42608</c:v>
                </c:pt>
                <c:pt idx="229">
                  <c:v>42611</c:v>
                </c:pt>
                <c:pt idx="230">
                  <c:v>42612</c:v>
                </c:pt>
                <c:pt idx="231">
                  <c:v>42613</c:v>
                </c:pt>
                <c:pt idx="232">
                  <c:v>42614</c:v>
                </c:pt>
                <c:pt idx="233">
                  <c:v>42615</c:v>
                </c:pt>
                <c:pt idx="234">
                  <c:v>42618</c:v>
                </c:pt>
                <c:pt idx="235">
                  <c:v>42619</c:v>
                </c:pt>
                <c:pt idx="236">
                  <c:v>42620</c:v>
                </c:pt>
                <c:pt idx="237">
                  <c:v>42621</c:v>
                </c:pt>
                <c:pt idx="238">
                  <c:v>42622</c:v>
                </c:pt>
                <c:pt idx="239">
                  <c:v>42625</c:v>
                </c:pt>
                <c:pt idx="240">
                  <c:v>42626</c:v>
                </c:pt>
                <c:pt idx="241">
                  <c:v>42627</c:v>
                </c:pt>
                <c:pt idx="242">
                  <c:v>42628</c:v>
                </c:pt>
                <c:pt idx="243">
                  <c:v>42629</c:v>
                </c:pt>
                <c:pt idx="244">
                  <c:v>42632</c:v>
                </c:pt>
                <c:pt idx="245">
                  <c:v>42633</c:v>
                </c:pt>
                <c:pt idx="246">
                  <c:v>42634</c:v>
                </c:pt>
                <c:pt idx="247">
                  <c:v>42635</c:v>
                </c:pt>
                <c:pt idx="248">
                  <c:v>42636</c:v>
                </c:pt>
                <c:pt idx="249">
                  <c:v>42639</c:v>
                </c:pt>
                <c:pt idx="250">
                  <c:v>42640</c:v>
                </c:pt>
                <c:pt idx="251">
                  <c:v>42641</c:v>
                </c:pt>
                <c:pt idx="252">
                  <c:v>42642</c:v>
                </c:pt>
                <c:pt idx="253">
                  <c:v>42643</c:v>
                </c:pt>
                <c:pt idx="254">
                  <c:v>42646</c:v>
                </c:pt>
                <c:pt idx="255">
                  <c:v>42647</c:v>
                </c:pt>
                <c:pt idx="256">
                  <c:v>42648</c:v>
                </c:pt>
                <c:pt idx="257">
                  <c:v>42649</c:v>
                </c:pt>
                <c:pt idx="258">
                  <c:v>42650</c:v>
                </c:pt>
                <c:pt idx="259">
                  <c:v>42653</c:v>
                </c:pt>
                <c:pt idx="260">
                  <c:v>42654</c:v>
                </c:pt>
                <c:pt idx="261">
                  <c:v>42655</c:v>
                </c:pt>
                <c:pt idx="262">
                  <c:v>42656</c:v>
                </c:pt>
                <c:pt idx="263">
                  <c:v>42657</c:v>
                </c:pt>
                <c:pt idx="264">
                  <c:v>42660</c:v>
                </c:pt>
                <c:pt idx="265">
                  <c:v>42661</c:v>
                </c:pt>
                <c:pt idx="266">
                  <c:v>42662</c:v>
                </c:pt>
                <c:pt idx="267">
                  <c:v>42663</c:v>
                </c:pt>
                <c:pt idx="268">
                  <c:v>42664</c:v>
                </c:pt>
                <c:pt idx="269">
                  <c:v>42667</c:v>
                </c:pt>
                <c:pt idx="270">
                  <c:v>42668</c:v>
                </c:pt>
                <c:pt idx="271">
                  <c:v>42669</c:v>
                </c:pt>
                <c:pt idx="272">
                  <c:v>42670</c:v>
                </c:pt>
                <c:pt idx="273">
                  <c:v>42671</c:v>
                </c:pt>
                <c:pt idx="274">
                  <c:v>42674</c:v>
                </c:pt>
                <c:pt idx="275">
                  <c:v>42675</c:v>
                </c:pt>
                <c:pt idx="276">
                  <c:v>42676</c:v>
                </c:pt>
                <c:pt idx="277">
                  <c:v>42677</c:v>
                </c:pt>
                <c:pt idx="278">
                  <c:v>42678</c:v>
                </c:pt>
                <c:pt idx="279">
                  <c:v>42681</c:v>
                </c:pt>
                <c:pt idx="280">
                  <c:v>42682</c:v>
                </c:pt>
                <c:pt idx="281">
                  <c:v>42683</c:v>
                </c:pt>
                <c:pt idx="282">
                  <c:v>42684</c:v>
                </c:pt>
                <c:pt idx="283">
                  <c:v>42685</c:v>
                </c:pt>
                <c:pt idx="284">
                  <c:v>42688</c:v>
                </c:pt>
                <c:pt idx="285">
                  <c:v>42689</c:v>
                </c:pt>
                <c:pt idx="286">
                  <c:v>42690</c:v>
                </c:pt>
                <c:pt idx="287">
                  <c:v>42691</c:v>
                </c:pt>
                <c:pt idx="288">
                  <c:v>42692</c:v>
                </c:pt>
                <c:pt idx="289">
                  <c:v>42695</c:v>
                </c:pt>
                <c:pt idx="290">
                  <c:v>42696</c:v>
                </c:pt>
                <c:pt idx="291">
                  <c:v>42697</c:v>
                </c:pt>
                <c:pt idx="292">
                  <c:v>42698</c:v>
                </c:pt>
                <c:pt idx="293">
                  <c:v>42699</c:v>
                </c:pt>
                <c:pt idx="294">
                  <c:v>42702</c:v>
                </c:pt>
                <c:pt idx="295">
                  <c:v>42703</c:v>
                </c:pt>
                <c:pt idx="296">
                  <c:v>42704</c:v>
                </c:pt>
                <c:pt idx="297">
                  <c:v>42705</c:v>
                </c:pt>
                <c:pt idx="298">
                  <c:v>42706</c:v>
                </c:pt>
                <c:pt idx="299">
                  <c:v>42709</c:v>
                </c:pt>
                <c:pt idx="300">
                  <c:v>42710</c:v>
                </c:pt>
                <c:pt idx="301">
                  <c:v>42711</c:v>
                </c:pt>
                <c:pt idx="302">
                  <c:v>42712</c:v>
                </c:pt>
                <c:pt idx="303">
                  <c:v>42713</c:v>
                </c:pt>
                <c:pt idx="304">
                  <c:v>42716</c:v>
                </c:pt>
                <c:pt idx="305">
                  <c:v>42717</c:v>
                </c:pt>
                <c:pt idx="306">
                  <c:v>42718</c:v>
                </c:pt>
                <c:pt idx="307">
                  <c:v>42719</c:v>
                </c:pt>
                <c:pt idx="308">
                  <c:v>42720</c:v>
                </c:pt>
                <c:pt idx="309">
                  <c:v>42723</c:v>
                </c:pt>
                <c:pt idx="310">
                  <c:v>42724</c:v>
                </c:pt>
                <c:pt idx="311">
                  <c:v>42725</c:v>
                </c:pt>
                <c:pt idx="312">
                  <c:v>42726</c:v>
                </c:pt>
                <c:pt idx="313">
                  <c:v>42727</c:v>
                </c:pt>
                <c:pt idx="314">
                  <c:v>42731</c:v>
                </c:pt>
                <c:pt idx="315">
                  <c:v>42732</c:v>
                </c:pt>
                <c:pt idx="316">
                  <c:v>42733</c:v>
                </c:pt>
                <c:pt idx="317">
                  <c:v>42734</c:v>
                </c:pt>
                <c:pt idx="318">
                  <c:v>42737</c:v>
                </c:pt>
                <c:pt idx="319">
                  <c:v>42738</c:v>
                </c:pt>
                <c:pt idx="320">
                  <c:v>42739</c:v>
                </c:pt>
                <c:pt idx="321">
                  <c:v>42740</c:v>
                </c:pt>
                <c:pt idx="322">
                  <c:v>42744</c:v>
                </c:pt>
                <c:pt idx="323">
                  <c:v>42745</c:v>
                </c:pt>
                <c:pt idx="324">
                  <c:v>42746</c:v>
                </c:pt>
                <c:pt idx="325">
                  <c:v>42747</c:v>
                </c:pt>
                <c:pt idx="326">
                  <c:v>42748</c:v>
                </c:pt>
                <c:pt idx="327">
                  <c:v>42751</c:v>
                </c:pt>
                <c:pt idx="328">
                  <c:v>42752</c:v>
                </c:pt>
                <c:pt idx="329">
                  <c:v>42753</c:v>
                </c:pt>
                <c:pt idx="330">
                  <c:v>42754</c:v>
                </c:pt>
                <c:pt idx="331">
                  <c:v>42755</c:v>
                </c:pt>
                <c:pt idx="332">
                  <c:v>42758</c:v>
                </c:pt>
                <c:pt idx="333">
                  <c:v>42759</c:v>
                </c:pt>
                <c:pt idx="334">
                  <c:v>42760</c:v>
                </c:pt>
                <c:pt idx="335">
                  <c:v>42761</c:v>
                </c:pt>
                <c:pt idx="336">
                  <c:v>42762</c:v>
                </c:pt>
                <c:pt idx="337">
                  <c:v>42765</c:v>
                </c:pt>
                <c:pt idx="338">
                  <c:v>42766</c:v>
                </c:pt>
                <c:pt idx="339">
                  <c:v>42767</c:v>
                </c:pt>
                <c:pt idx="340">
                  <c:v>42768</c:v>
                </c:pt>
                <c:pt idx="341">
                  <c:v>42769</c:v>
                </c:pt>
                <c:pt idx="342">
                  <c:v>42772</c:v>
                </c:pt>
                <c:pt idx="343">
                  <c:v>42773</c:v>
                </c:pt>
                <c:pt idx="344">
                  <c:v>42774</c:v>
                </c:pt>
                <c:pt idx="345">
                  <c:v>42775</c:v>
                </c:pt>
                <c:pt idx="346">
                  <c:v>42776</c:v>
                </c:pt>
                <c:pt idx="347">
                  <c:v>42779</c:v>
                </c:pt>
                <c:pt idx="348">
                  <c:v>42780</c:v>
                </c:pt>
                <c:pt idx="349">
                  <c:v>42781</c:v>
                </c:pt>
                <c:pt idx="350">
                  <c:v>42782</c:v>
                </c:pt>
                <c:pt idx="351">
                  <c:v>42783</c:v>
                </c:pt>
                <c:pt idx="352">
                  <c:v>42786</c:v>
                </c:pt>
                <c:pt idx="353">
                  <c:v>42787</c:v>
                </c:pt>
                <c:pt idx="354">
                  <c:v>42788</c:v>
                </c:pt>
                <c:pt idx="355">
                  <c:v>42789</c:v>
                </c:pt>
                <c:pt idx="356">
                  <c:v>42790</c:v>
                </c:pt>
                <c:pt idx="357">
                  <c:v>42793</c:v>
                </c:pt>
                <c:pt idx="358">
                  <c:v>42794</c:v>
                </c:pt>
                <c:pt idx="359">
                  <c:v>42795</c:v>
                </c:pt>
                <c:pt idx="360">
                  <c:v>42796</c:v>
                </c:pt>
                <c:pt idx="361">
                  <c:v>42797</c:v>
                </c:pt>
                <c:pt idx="362">
                  <c:v>42800</c:v>
                </c:pt>
                <c:pt idx="363">
                  <c:v>42801</c:v>
                </c:pt>
                <c:pt idx="364">
                  <c:v>42802</c:v>
                </c:pt>
                <c:pt idx="365">
                  <c:v>42803</c:v>
                </c:pt>
                <c:pt idx="366">
                  <c:v>42804</c:v>
                </c:pt>
                <c:pt idx="367">
                  <c:v>42807</c:v>
                </c:pt>
                <c:pt idx="368">
                  <c:v>42808</c:v>
                </c:pt>
                <c:pt idx="369">
                  <c:v>42809</c:v>
                </c:pt>
                <c:pt idx="370">
                  <c:v>42810</c:v>
                </c:pt>
                <c:pt idx="371">
                  <c:v>42811</c:v>
                </c:pt>
                <c:pt idx="372">
                  <c:v>42814</c:v>
                </c:pt>
                <c:pt idx="373">
                  <c:v>42815</c:v>
                </c:pt>
                <c:pt idx="374">
                  <c:v>42816</c:v>
                </c:pt>
                <c:pt idx="375">
                  <c:v>42817</c:v>
                </c:pt>
                <c:pt idx="376">
                  <c:v>42818</c:v>
                </c:pt>
                <c:pt idx="377">
                  <c:v>42821</c:v>
                </c:pt>
                <c:pt idx="378">
                  <c:v>42822</c:v>
                </c:pt>
                <c:pt idx="379">
                  <c:v>42823</c:v>
                </c:pt>
                <c:pt idx="380">
                  <c:v>42824</c:v>
                </c:pt>
                <c:pt idx="381">
                  <c:v>42825</c:v>
                </c:pt>
                <c:pt idx="382">
                  <c:v>42828</c:v>
                </c:pt>
                <c:pt idx="383">
                  <c:v>42829</c:v>
                </c:pt>
                <c:pt idx="384">
                  <c:v>42830</c:v>
                </c:pt>
                <c:pt idx="385">
                  <c:v>42831</c:v>
                </c:pt>
                <c:pt idx="386">
                  <c:v>42832</c:v>
                </c:pt>
                <c:pt idx="387">
                  <c:v>42835</c:v>
                </c:pt>
                <c:pt idx="388">
                  <c:v>42836</c:v>
                </c:pt>
                <c:pt idx="389">
                  <c:v>42837</c:v>
                </c:pt>
                <c:pt idx="390">
                  <c:v>42838</c:v>
                </c:pt>
                <c:pt idx="391">
                  <c:v>42843</c:v>
                </c:pt>
                <c:pt idx="392">
                  <c:v>42844</c:v>
                </c:pt>
                <c:pt idx="393">
                  <c:v>42845</c:v>
                </c:pt>
                <c:pt idx="394">
                  <c:v>42846</c:v>
                </c:pt>
                <c:pt idx="395">
                  <c:v>42849</c:v>
                </c:pt>
                <c:pt idx="396">
                  <c:v>42850</c:v>
                </c:pt>
                <c:pt idx="397">
                  <c:v>42851</c:v>
                </c:pt>
                <c:pt idx="398">
                  <c:v>42852</c:v>
                </c:pt>
                <c:pt idx="399">
                  <c:v>42853</c:v>
                </c:pt>
                <c:pt idx="400">
                  <c:v>42857</c:v>
                </c:pt>
                <c:pt idx="401">
                  <c:v>42858</c:v>
                </c:pt>
                <c:pt idx="402">
                  <c:v>42859</c:v>
                </c:pt>
                <c:pt idx="403">
                  <c:v>42860</c:v>
                </c:pt>
                <c:pt idx="404">
                  <c:v>42863</c:v>
                </c:pt>
                <c:pt idx="405">
                  <c:v>42864</c:v>
                </c:pt>
                <c:pt idx="406">
                  <c:v>42865</c:v>
                </c:pt>
                <c:pt idx="407">
                  <c:v>42866</c:v>
                </c:pt>
                <c:pt idx="408">
                  <c:v>42867</c:v>
                </c:pt>
                <c:pt idx="409">
                  <c:v>42870</c:v>
                </c:pt>
                <c:pt idx="410">
                  <c:v>42871</c:v>
                </c:pt>
                <c:pt idx="411">
                  <c:v>42872</c:v>
                </c:pt>
                <c:pt idx="412">
                  <c:v>42873</c:v>
                </c:pt>
                <c:pt idx="413">
                  <c:v>42874</c:v>
                </c:pt>
                <c:pt idx="414">
                  <c:v>42877</c:v>
                </c:pt>
                <c:pt idx="415">
                  <c:v>42878</c:v>
                </c:pt>
                <c:pt idx="416">
                  <c:v>42879</c:v>
                </c:pt>
                <c:pt idx="417">
                  <c:v>42881</c:v>
                </c:pt>
                <c:pt idx="418">
                  <c:v>42884</c:v>
                </c:pt>
                <c:pt idx="419">
                  <c:v>42885</c:v>
                </c:pt>
                <c:pt idx="420">
                  <c:v>42886</c:v>
                </c:pt>
                <c:pt idx="421">
                  <c:v>42887</c:v>
                </c:pt>
                <c:pt idx="422">
                  <c:v>42888</c:v>
                </c:pt>
                <c:pt idx="423">
                  <c:v>42892</c:v>
                </c:pt>
                <c:pt idx="424">
                  <c:v>42893</c:v>
                </c:pt>
                <c:pt idx="425">
                  <c:v>42894</c:v>
                </c:pt>
                <c:pt idx="426">
                  <c:v>42895</c:v>
                </c:pt>
                <c:pt idx="427">
                  <c:v>42898</c:v>
                </c:pt>
                <c:pt idx="428">
                  <c:v>42899</c:v>
                </c:pt>
                <c:pt idx="429">
                  <c:v>42900</c:v>
                </c:pt>
                <c:pt idx="430">
                  <c:v>42901</c:v>
                </c:pt>
                <c:pt idx="431">
                  <c:v>42902</c:v>
                </c:pt>
                <c:pt idx="432">
                  <c:v>42905</c:v>
                </c:pt>
                <c:pt idx="433">
                  <c:v>42906</c:v>
                </c:pt>
                <c:pt idx="434">
                  <c:v>42907</c:v>
                </c:pt>
                <c:pt idx="435">
                  <c:v>42908</c:v>
                </c:pt>
                <c:pt idx="436">
                  <c:v>42912</c:v>
                </c:pt>
                <c:pt idx="437">
                  <c:v>42913</c:v>
                </c:pt>
                <c:pt idx="438">
                  <c:v>42914</c:v>
                </c:pt>
                <c:pt idx="439">
                  <c:v>42915</c:v>
                </c:pt>
                <c:pt idx="440">
                  <c:v>42916</c:v>
                </c:pt>
                <c:pt idx="441">
                  <c:v>42919</c:v>
                </c:pt>
                <c:pt idx="442">
                  <c:v>42920</c:v>
                </c:pt>
                <c:pt idx="443">
                  <c:v>42921</c:v>
                </c:pt>
                <c:pt idx="444">
                  <c:v>42922</c:v>
                </c:pt>
                <c:pt idx="445">
                  <c:v>42923</c:v>
                </c:pt>
                <c:pt idx="446">
                  <c:v>42926</c:v>
                </c:pt>
                <c:pt idx="447">
                  <c:v>42927</c:v>
                </c:pt>
                <c:pt idx="448">
                  <c:v>42928</c:v>
                </c:pt>
                <c:pt idx="449">
                  <c:v>42929</c:v>
                </c:pt>
                <c:pt idx="450">
                  <c:v>42930</c:v>
                </c:pt>
                <c:pt idx="451">
                  <c:v>42933</c:v>
                </c:pt>
                <c:pt idx="452">
                  <c:v>42934</c:v>
                </c:pt>
                <c:pt idx="453">
                  <c:v>42935</c:v>
                </c:pt>
                <c:pt idx="454">
                  <c:v>42936</c:v>
                </c:pt>
                <c:pt idx="455">
                  <c:v>42937</c:v>
                </c:pt>
                <c:pt idx="456">
                  <c:v>42940</c:v>
                </c:pt>
                <c:pt idx="457">
                  <c:v>42941</c:v>
                </c:pt>
                <c:pt idx="458">
                  <c:v>42942</c:v>
                </c:pt>
                <c:pt idx="459">
                  <c:v>42943</c:v>
                </c:pt>
                <c:pt idx="460">
                  <c:v>42944</c:v>
                </c:pt>
                <c:pt idx="461">
                  <c:v>42947</c:v>
                </c:pt>
                <c:pt idx="462">
                  <c:v>42948</c:v>
                </c:pt>
                <c:pt idx="463">
                  <c:v>42949</c:v>
                </c:pt>
                <c:pt idx="464">
                  <c:v>42950</c:v>
                </c:pt>
                <c:pt idx="465">
                  <c:v>42951</c:v>
                </c:pt>
                <c:pt idx="466">
                  <c:v>42954</c:v>
                </c:pt>
                <c:pt idx="467">
                  <c:v>42955</c:v>
                </c:pt>
                <c:pt idx="468">
                  <c:v>42956</c:v>
                </c:pt>
                <c:pt idx="469">
                  <c:v>42957</c:v>
                </c:pt>
                <c:pt idx="470">
                  <c:v>42958</c:v>
                </c:pt>
                <c:pt idx="471">
                  <c:v>42961</c:v>
                </c:pt>
                <c:pt idx="472">
                  <c:v>42962</c:v>
                </c:pt>
                <c:pt idx="473">
                  <c:v>42963</c:v>
                </c:pt>
                <c:pt idx="474">
                  <c:v>42964</c:v>
                </c:pt>
                <c:pt idx="475">
                  <c:v>42965</c:v>
                </c:pt>
                <c:pt idx="476">
                  <c:v>42968</c:v>
                </c:pt>
                <c:pt idx="477">
                  <c:v>42969</c:v>
                </c:pt>
                <c:pt idx="478">
                  <c:v>42970</c:v>
                </c:pt>
                <c:pt idx="479">
                  <c:v>42971</c:v>
                </c:pt>
                <c:pt idx="480">
                  <c:v>42972</c:v>
                </c:pt>
                <c:pt idx="481">
                  <c:v>42975</c:v>
                </c:pt>
                <c:pt idx="482">
                  <c:v>42976</c:v>
                </c:pt>
                <c:pt idx="483">
                  <c:v>42977</c:v>
                </c:pt>
                <c:pt idx="484">
                  <c:v>42978</c:v>
                </c:pt>
                <c:pt idx="485">
                  <c:v>42979</c:v>
                </c:pt>
                <c:pt idx="486">
                  <c:v>42982</c:v>
                </c:pt>
                <c:pt idx="487">
                  <c:v>42983</c:v>
                </c:pt>
                <c:pt idx="488">
                  <c:v>42984</c:v>
                </c:pt>
                <c:pt idx="489">
                  <c:v>42985</c:v>
                </c:pt>
                <c:pt idx="490">
                  <c:v>42986</c:v>
                </c:pt>
                <c:pt idx="491">
                  <c:v>42989</c:v>
                </c:pt>
                <c:pt idx="492">
                  <c:v>42990</c:v>
                </c:pt>
                <c:pt idx="493">
                  <c:v>42991</c:v>
                </c:pt>
                <c:pt idx="494">
                  <c:v>42992</c:v>
                </c:pt>
                <c:pt idx="495">
                  <c:v>42993</c:v>
                </c:pt>
                <c:pt idx="496">
                  <c:v>42996</c:v>
                </c:pt>
                <c:pt idx="497">
                  <c:v>42997</c:v>
                </c:pt>
                <c:pt idx="498">
                  <c:v>42998</c:v>
                </c:pt>
                <c:pt idx="499">
                  <c:v>42999</c:v>
                </c:pt>
                <c:pt idx="500">
                  <c:v>43000</c:v>
                </c:pt>
                <c:pt idx="501">
                  <c:v>43003</c:v>
                </c:pt>
                <c:pt idx="502">
                  <c:v>43004</c:v>
                </c:pt>
                <c:pt idx="503">
                  <c:v>43005</c:v>
                </c:pt>
                <c:pt idx="504">
                  <c:v>43006</c:v>
                </c:pt>
                <c:pt idx="505">
                  <c:v>43007</c:v>
                </c:pt>
                <c:pt idx="506">
                  <c:v>43010</c:v>
                </c:pt>
                <c:pt idx="507">
                  <c:v>43011</c:v>
                </c:pt>
                <c:pt idx="508">
                  <c:v>43012</c:v>
                </c:pt>
                <c:pt idx="509">
                  <c:v>43013</c:v>
                </c:pt>
                <c:pt idx="510">
                  <c:v>43014</c:v>
                </c:pt>
                <c:pt idx="511">
                  <c:v>43017</c:v>
                </c:pt>
                <c:pt idx="512">
                  <c:v>43018</c:v>
                </c:pt>
                <c:pt idx="513">
                  <c:v>43019</c:v>
                </c:pt>
                <c:pt idx="514">
                  <c:v>43020</c:v>
                </c:pt>
                <c:pt idx="515">
                  <c:v>43021</c:v>
                </c:pt>
                <c:pt idx="516">
                  <c:v>43024</c:v>
                </c:pt>
                <c:pt idx="517">
                  <c:v>43025</c:v>
                </c:pt>
                <c:pt idx="518">
                  <c:v>43032</c:v>
                </c:pt>
                <c:pt idx="519">
                  <c:v>43039</c:v>
                </c:pt>
                <c:pt idx="520">
                  <c:v>43046</c:v>
                </c:pt>
                <c:pt idx="521">
                  <c:v>43053</c:v>
                </c:pt>
                <c:pt idx="522">
                  <c:v>43060</c:v>
                </c:pt>
                <c:pt idx="523">
                  <c:v>43067</c:v>
                </c:pt>
                <c:pt idx="524">
                  <c:v>43074</c:v>
                </c:pt>
                <c:pt idx="525">
                  <c:v>43081</c:v>
                </c:pt>
                <c:pt idx="526">
                  <c:v>43088</c:v>
                </c:pt>
                <c:pt idx="527">
                  <c:v>43097</c:v>
                </c:pt>
                <c:pt idx="528">
                  <c:v>43103</c:v>
                </c:pt>
                <c:pt idx="529">
                  <c:v>43109</c:v>
                </c:pt>
                <c:pt idx="530">
                  <c:v>43116</c:v>
                </c:pt>
                <c:pt idx="531">
                  <c:v>43123</c:v>
                </c:pt>
                <c:pt idx="532">
                  <c:v>43130</c:v>
                </c:pt>
                <c:pt idx="533">
                  <c:v>43137</c:v>
                </c:pt>
                <c:pt idx="534">
                  <c:v>43144</c:v>
                </c:pt>
                <c:pt idx="535">
                  <c:v>43151</c:v>
                </c:pt>
                <c:pt idx="536">
                  <c:v>43158</c:v>
                </c:pt>
                <c:pt idx="537">
                  <c:v>43165</c:v>
                </c:pt>
                <c:pt idx="538">
                  <c:v>43172</c:v>
                </c:pt>
                <c:pt idx="539">
                  <c:v>43179</c:v>
                </c:pt>
                <c:pt idx="540">
                  <c:v>43186</c:v>
                </c:pt>
                <c:pt idx="541">
                  <c:v>43195</c:v>
                </c:pt>
                <c:pt idx="542">
                  <c:v>43202</c:v>
                </c:pt>
                <c:pt idx="543">
                  <c:v>43209</c:v>
                </c:pt>
                <c:pt idx="544">
                  <c:v>43216</c:v>
                </c:pt>
                <c:pt idx="545">
                  <c:v>43224</c:v>
                </c:pt>
                <c:pt idx="546">
                  <c:v>43234</c:v>
                </c:pt>
                <c:pt idx="547">
                  <c:v>43238</c:v>
                </c:pt>
                <c:pt idx="548">
                  <c:v>43245</c:v>
                </c:pt>
                <c:pt idx="549">
                  <c:v>43252</c:v>
                </c:pt>
                <c:pt idx="550">
                  <c:v>43259</c:v>
                </c:pt>
                <c:pt idx="551">
                  <c:v>43266</c:v>
                </c:pt>
                <c:pt idx="552">
                  <c:v>43276</c:v>
                </c:pt>
                <c:pt idx="553">
                  <c:v>43280</c:v>
                </c:pt>
                <c:pt idx="554">
                  <c:v>43287</c:v>
                </c:pt>
                <c:pt idx="555">
                  <c:v>43294</c:v>
                </c:pt>
                <c:pt idx="556">
                  <c:v>43301</c:v>
                </c:pt>
                <c:pt idx="557">
                  <c:v>43308</c:v>
                </c:pt>
                <c:pt idx="558">
                  <c:v>43315</c:v>
                </c:pt>
                <c:pt idx="559">
                  <c:v>43322</c:v>
                </c:pt>
                <c:pt idx="560">
                  <c:v>43329</c:v>
                </c:pt>
                <c:pt idx="561">
                  <c:v>43336</c:v>
                </c:pt>
                <c:pt idx="562">
                  <c:v>43343</c:v>
                </c:pt>
                <c:pt idx="563">
                  <c:v>43350</c:v>
                </c:pt>
                <c:pt idx="564">
                  <c:v>43357</c:v>
                </c:pt>
                <c:pt idx="565">
                  <c:v>43364</c:v>
                </c:pt>
                <c:pt idx="566">
                  <c:v>43371</c:v>
                </c:pt>
                <c:pt idx="567">
                  <c:v>43378</c:v>
                </c:pt>
                <c:pt idx="568">
                  <c:v>43385</c:v>
                </c:pt>
                <c:pt idx="569">
                  <c:v>43392</c:v>
                </c:pt>
                <c:pt idx="570">
                  <c:v>43399</c:v>
                </c:pt>
                <c:pt idx="571">
                  <c:v>43406</c:v>
                </c:pt>
                <c:pt idx="572">
                  <c:v>43413</c:v>
                </c:pt>
                <c:pt idx="573">
                  <c:v>43420</c:v>
                </c:pt>
                <c:pt idx="574">
                  <c:v>43427</c:v>
                </c:pt>
                <c:pt idx="575">
                  <c:v>43434</c:v>
                </c:pt>
                <c:pt idx="576">
                  <c:v>43441</c:v>
                </c:pt>
                <c:pt idx="577">
                  <c:v>43448</c:v>
                </c:pt>
                <c:pt idx="578">
                  <c:v>43455</c:v>
                </c:pt>
                <c:pt idx="579">
                  <c:v>43467</c:v>
                </c:pt>
                <c:pt idx="580">
                  <c:v>43472</c:v>
                </c:pt>
                <c:pt idx="581">
                  <c:v>43479</c:v>
                </c:pt>
                <c:pt idx="582">
                  <c:v>43486</c:v>
                </c:pt>
                <c:pt idx="583">
                  <c:v>43493</c:v>
                </c:pt>
                <c:pt idx="584">
                  <c:v>43500</c:v>
                </c:pt>
                <c:pt idx="585">
                  <c:v>43507</c:v>
                </c:pt>
                <c:pt idx="586">
                  <c:v>43514</c:v>
                </c:pt>
                <c:pt idx="587">
                  <c:v>43521</c:v>
                </c:pt>
                <c:pt idx="588">
                  <c:v>43528</c:v>
                </c:pt>
                <c:pt idx="589">
                  <c:v>43535</c:v>
                </c:pt>
                <c:pt idx="590">
                  <c:v>43542</c:v>
                </c:pt>
                <c:pt idx="591">
                  <c:v>43549</c:v>
                </c:pt>
                <c:pt idx="592">
                  <c:v>43556</c:v>
                </c:pt>
                <c:pt idx="593">
                  <c:v>43563</c:v>
                </c:pt>
                <c:pt idx="594">
                  <c:v>43570</c:v>
                </c:pt>
                <c:pt idx="595">
                  <c:v>43579</c:v>
                </c:pt>
                <c:pt idx="596">
                  <c:v>43584</c:v>
                </c:pt>
                <c:pt idx="597">
                  <c:v>43591</c:v>
                </c:pt>
                <c:pt idx="598">
                  <c:v>43598</c:v>
                </c:pt>
                <c:pt idx="599">
                  <c:v>43605</c:v>
                </c:pt>
                <c:pt idx="600">
                  <c:v>43612</c:v>
                </c:pt>
                <c:pt idx="601">
                  <c:v>43620</c:v>
                </c:pt>
                <c:pt idx="602">
                  <c:v>43628</c:v>
                </c:pt>
                <c:pt idx="603">
                  <c:v>43634</c:v>
                </c:pt>
                <c:pt idx="604">
                  <c:v>43642</c:v>
                </c:pt>
                <c:pt idx="605">
                  <c:v>43649</c:v>
                </c:pt>
                <c:pt idx="606">
                  <c:v>43656</c:v>
                </c:pt>
                <c:pt idx="607">
                  <c:v>43663</c:v>
                </c:pt>
                <c:pt idx="608">
                  <c:v>43670</c:v>
                </c:pt>
                <c:pt idx="609">
                  <c:v>43677</c:v>
                </c:pt>
                <c:pt idx="610">
                  <c:v>43684</c:v>
                </c:pt>
                <c:pt idx="611">
                  <c:v>43691</c:v>
                </c:pt>
                <c:pt idx="612">
                  <c:v>43698</c:v>
                </c:pt>
                <c:pt idx="613">
                  <c:v>43705</c:v>
                </c:pt>
                <c:pt idx="614">
                  <c:v>43712</c:v>
                </c:pt>
                <c:pt idx="615">
                  <c:v>43719</c:v>
                </c:pt>
                <c:pt idx="616">
                  <c:v>43726</c:v>
                </c:pt>
                <c:pt idx="617">
                  <c:v>43733</c:v>
                </c:pt>
                <c:pt idx="618">
                  <c:v>43740</c:v>
                </c:pt>
                <c:pt idx="619">
                  <c:v>43747</c:v>
                </c:pt>
                <c:pt idx="620">
                  <c:v>43754</c:v>
                </c:pt>
                <c:pt idx="621">
                  <c:v>43761</c:v>
                </c:pt>
                <c:pt idx="622">
                  <c:v>43768</c:v>
                </c:pt>
                <c:pt idx="623">
                  <c:v>43775</c:v>
                </c:pt>
                <c:pt idx="624">
                  <c:v>43782</c:v>
                </c:pt>
                <c:pt idx="625">
                  <c:v>43789</c:v>
                </c:pt>
                <c:pt idx="626">
                  <c:v>43796</c:v>
                </c:pt>
                <c:pt idx="627">
                  <c:v>43803</c:v>
                </c:pt>
                <c:pt idx="628">
                  <c:v>43810</c:v>
                </c:pt>
                <c:pt idx="629">
                  <c:v>43817</c:v>
                </c:pt>
                <c:pt idx="630">
                  <c:v>43829</c:v>
                </c:pt>
                <c:pt idx="631">
                  <c:v>43833</c:v>
                </c:pt>
                <c:pt idx="632">
                  <c:v>43839</c:v>
                </c:pt>
                <c:pt idx="633">
                  <c:v>43846</c:v>
                </c:pt>
                <c:pt idx="634">
                  <c:v>43853</c:v>
                </c:pt>
                <c:pt idx="635">
                  <c:v>43860</c:v>
                </c:pt>
                <c:pt idx="636">
                  <c:v>43867</c:v>
                </c:pt>
                <c:pt idx="637">
                  <c:v>43874</c:v>
                </c:pt>
                <c:pt idx="638">
                  <c:v>43881</c:v>
                </c:pt>
                <c:pt idx="639">
                  <c:v>43888</c:v>
                </c:pt>
                <c:pt idx="640">
                  <c:v>43895</c:v>
                </c:pt>
                <c:pt idx="641">
                  <c:v>43902</c:v>
                </c:pt>
                <c:pt idx="642">
                  <c:v>43909</c:v>
                </c:pt>
                <c:pt idx="643">
                  <c:v>43916</c:v>
                </c:pt>
                <c:pt idx="644">
                  <c:v>43923</c:v>
                </c:pt>
                <c:pt idx="645">
                  <c:v>43930</c:v>
                </c:pt>
                <c:pt idx="646">
                  <c:v>43937</c:v>
                </c:pt>
                <c:pt idx="647">
                  <c:v>43944</c:v>
                </c:pt>
                <c:pt idx="648">
                  <c:v>43951</c:v>
                </c:pt>
                <c:pt idx="649">
                  <c:v>43958</c:v>
                </c:pt>
                <c:pt idx="650">
                  <c:v>43965</c:v>
                </c:pt>
                <c:pt idx="651">
                  <c:v>43973</c:v>
                </c:pt>
                <c:pt idx="652">
                  <c:v>43979</c:v>
                </c:pt>
                <c:pt idx="653">
                  <c:v>43986</c:v>
                </c:pt>
                <c:pt idx="654">
                  <c:v>43993</c:v>
                </c:pt>
                <c:pt idx="655">
                  <c:v>44000</c:v>
                </c:pt>
                <c:pt idx="656">
                  <c:v>44007</c:v>
                </c:pt>
                <c:pt idx="657">
                  <c:v>44014</c:v>
                </c:pt>
                <c:pt idx="658">
                  <c:v>44021</c:v>
                </c:pt>
                <c:pt idx="659">
                  <c:v>44028</c:v>
                </c:pt>
                <c:pt idx="660">
                  <c:v>44035</c:v>
                </c:pt>
                <c:pt idx="661">
                  <c:v>44042</c:v>
                </c:pt>
                <c:pt idx="662">
                  <c:v>44049</c:v>
                </c:pt>
                <c:pt idx="663">
                  <c:v>44056</c:v>
                </c:pt>
                <c:pt idx="664">
                  <c:v>44063</c:v>
                </c:pt>
                <c:pt idx="665">
                  <c:v>44070</c:v>
                </c:pt>
                <c:pt idx="666">
                  <c:v>44077</c:v>
                </c:pt>
                <c:pt idx="667">
                  <c:v>44084</c:v>
                </c:pt>
                <c:pt idx="668">
                  <c:v>44091</c:v>
                </c:pt>
                <c:pt idx="669">
                  <c:v>44098</c:v>
                </c:pt>
                <c:pt idx="670">
                  <c:v>44105</c:v>
                </c:pt>
                <c:pt idx="671">
                  <c:v>44112</c:v>
                </c:pt>
                <c:pt idx="672">
                  <c:v>44119</c:v>
                </c:pt>
                <c:pt idx="673">
                  <c:v>44126</c:v>
                </c:pt>
                <c:pt idx="674">
                  <c:v>44133</c:v>
                </c:pt>
                <c:pt idx="675">
                  <c:v>44140</c:v>
                </c:pt>
                <c:pt idx="676">
                  <c:v>44147</c:v>
                </c:pt>
                <c:pt idx="677">
                  <c:v>44154</c:v>
                </c:pt>
                <c:pt idx="678">
                  <c:v>44161</c:v>
                </c:pt>
                <c:pt idx="679">
                  <c:v>44168</c:v>
                </c:pt>
                <c:pt idx="680">
                  <c:v>44175</c:v>
                </c:pt>
                <c:pt idx="681">
                  <c:v>44182</c:v>
                </c:pt>
                <c:pt idx="682">
                  <c:v>44193</c:v>
                </c:pt>
                <c:pt idx="683">
                  <c:v>44200</c:v>
                </c:pt>
                <c:pt idx="684">
                  <c:v>44204</c:v>
                </c:pt>
                <c:pt idx="685">
                  <c:v>44210</c:v>
                </c:pt>
                <c:pt idx="686">
                  <c:v>44217</c:v>
                </c:pt>
                <c:pt idx="687">
                  <c:v>44224</c:v>
                </c:pt>
                <c:pt idx="688">
                  <c:v>44231</c:v>
                </c:pt>
                <c:pt idx="689">
                  <c:v>44238</c:v>
                </c:pt>
                <c:pt idx="690">
                  <c:v>44245</c:v>
                </c:pt>
                <c:pt idx="691">
                  <c:v>44252</c:v>
                </c:pt>
                <c:pt idx="692">
                  <c:v>44259</c:v>
                </c:pt>
                <c:pt idx="693">
                  <c:v>44266</c:v>
                </c:pt>
                <c:pt idx="694">
                  <c:v>44273</c:v>
                </c:pt>
                <c:pt idx="695">
                  <c:v>44280</c:v>
                </c:pt>
                <c:pt idx="696">
                  <c:v>44287</c:v>
                </c:pt>
                <c:pt idx="697">
                  <c:v>44294</c:v>
                </c:pt>
                <c:pt idx="698">
                  <c:v>44301</c:v>
                </c:pt>
                <c:pt idx="699">
                  <c:v>44308</c:v>
                </c:pt>
                <c:pt idx="700">
                  <c:v>44315</c:v>
                </c:pt>
                <c:pt idx="701">
                  <c:v>44322</c:v>
                </c:pt>
                <c:pt idx="702">
                  <c:v>44330</c:v>
                </c:pt>
                <c:pt idx="703">
                  <c:v>44336</c:v>
                </c:pt>
                <c:pt idx="704">
                  <c:v>44343</c:v>
                </c:pt>
                <c:pt idx="705">
                  <c:v>44350</c:v>
                </c:pt>
                <c:pt idx="706">
                  <c:v>44357</c:v>
                </c:pt>
                <c:pt idx="707">
                  <c:v>44364</c:v>
                </c:pt>
                <c:pt idx="708">
                  <c:v>44371</c:v>
                </c:pt>
                <c:pt idx="709">
                  <c:v>44378</c:v>
                </c:pt>
                <c:pt idx="710">
                  <c:v>44385</c:v>
                </c:pt>
                <c:pt idx="711">
                  <c:v>44392</c:v>
                </c:pt>
                <c:pt idx="712">
                  <c:v>44399</c:v>
                </c:pt>
                <c:pt idx="713">
                  <c:v>44406</c:v>
                </c:pt>
                <c:pt idx="714">
                  <c:v>44413</c:v>
                </c:pt>
                <c:pt idx="715">
                  <c:v>44420</c:v>
                </c:pt>
                <c:pt idx="716">
                  <c:v>44427</c:v>
                </c:pt>
                <c:pt idx="717">
                  <c:v>44434</c:v>
                </c:pt>
                <c:pt idx="718">
                  <c:v>44441</c:v>
                </c:pt>
                <c:pt idx="719">
                  <c:v>44448</c:v>
                </c:pt>
                <c:pt idx="720">
                  <c:v>44455</c:v>
                </c:pt>
                <c:pt idx="721">
                  <c:v>44462</c:v>
                </c:pt>
                <c:pt idx="722">
                  <c:v>44469</c:v>
                </c:pt>
                <c:pt idx="723">
                  <c:v>44476</c:v>
                </c:pt>
                <c:pt idx="724">
                  <c:v>44483</c:v>
                </c:pt>
                <c:pt idx="725">
                  <c:v>44490</c:v>
                </c:pt>
                <c:pt idx="726">
                  <c:v>44497</c:v>
                </c:pt>
                <c:pt idx="727">
                  <c:v>44504</c:v>
                </c:pt>
                <c:pt idx="728">
                  <c:v>44511</c:v>
                </c:pt>
                <c:pt idx="729">
                  <c:v>44518</c:v>
                </c:pt>
                <c:pt idx="730">
                  <c:v>44525</c:v>
                </c:pt>
                <c:pt idx="731">
                  <c:v>44532</c:v>
                </c:pt>
                <c:pt idx="732">
                  <c:v>44539</c:v>
                </c:pt>
                <c:pt idx="733">
                  <c:v>44546</c:v>
                </c:pt>
                <c:pt idx="734">
                  <c:v>44553</c:v>
                </c:pt>
                <c:pt idx="735">
                  <c:v>44560</c:v>
                </c:pt>
                <c:pt idx="736">
                  <c:v>44568</c:v>
                </c:pt>
                <c:pt idx="737">
                  <c:v>44574</c:v>
                </c:pt>
                <c:pt idx="738">
                  <c:v>44581</c:v>
                </c:pt>
                <c:pt idx="739">
                  <c:v>44588</c:v>
                </c:pt>
                <c:pt idx="740">
                  <c:v>44595</c:v>
                </c:pt>
                <c:pt idx="741">
                  <c:v>44602</c:v>
                </c:pt>
                <c:pt idx="742">
                  <c:v>44609</c:v>
                </c:pt>
                <c:pt idx="743">
                  <c:v>44616</c:v>
                </c:pt>
                <c:pt idx="744">
                  <c:v>44623</c:v>
                </c:pt>
                <c:pt idx="745">
                  <c:v>44630</c:v>
                </c:pt>
                <c:pt idx="746">
                  <c:v>44637</c:v>
                </c:pt>
                <c:pt idx="747">
                  <c:v>44644</c:v>
                </c:pt>
                <c:pt idx="748">
                  <c:v>44651</c:v>
                </c:pt>
                <c:pt idx="749">
                  <c:v>44658</c:v>
                </c:pt>
                <c:pt idx="750">
                  <c:v>44665</c:v>
                </c:pt>
                <c:pt idx="751">
                  <c:v>44672</c:v>
                </c:pt>
                <c:pt idx="752">
                  <c:v>44679</c:v>
                </c:pt>
                <c:pt idx="753">
                  <c:v>44686</c:v>
                </c:pt>
                <c:pt idx="754">
                  <c:v>44693</c:v>
                </c:pt>
                <c:pt idx="755">
                  <c:v>44700</c:v>
                </c:pt>
                <c:pt idx="756">
                  <c:v>44708</c:v>
                </c:pt>
                <c:pt idx="757">
                  <c:v>44714</c:v>
                </c:pt>
                <c:pt idx="758">
                  <c:v>44721</c:v>
                </c:pt>
                <c:pt idx="759">
                  <c:v>44728</c:v>
                </c:pt>
                <c:pt idx="760">
                  <c:v>44735</c:v>
                </c:pt>
                <c:pt idx="761">
                  <c:v>44742</c:v>
                </c:pt>
                <c:pt idx="762">
                  <c:v>44749</c:v>
                </c:pt>
                <c:pt idx="763">
                  <c:v>44756</c:v>
                </c:pt>
                <c:pt idx="764">
                  <c:v>44763</c:v>
                </c:pt>
                <c:pt idx="765">
                  <c:v>44770</c:v>
                </c:pt>
                <c:pt idx="766">
                  <c:v>44777</c:v>
                </c:pt>
                <c:pt idx="767">
                  <c:v>44784</c:v>
                </c:pt>
                <c:pt idx="768">
                  <c:v>44791</c:v>
                </c:pt>
                <c:pt idx="769">
                  <c:v>44798</c:v>
                </c:pt>
                <c:pt idx="770">
                  <c:v>44805</c:v>
                </c:pt>
                <c:pt idx="771">
                  <c:v>44812</c:v>
                </c:pt>
                <c:pt idx="772">
                  <c:v>44819</c:v>
                </c:pt>
                <c:pt idx="773">
                  <c:v>44826</c:v>
                </c:pt>
                <c:pt idx="774">
                  <c:v>44833</c:v>
                </c:pt>
                <c:pt idx="775">
                  <c:v>44840</c:v>
                </c:pt>
                <c:pt idx="776">
                  <c:v>44847</c:v>
                </c:pt>
                <c:pt idx="777">
                  <c:v>44854</c:v>
                </c:pt>
                <c:pt idx="778">
                  <c:v>44861</c:v>
                </c:pt>
                <c:pt idx="779">
                  <c:v>44868</c:v>
                </c:pt>
                <c:pt idx="780">
                  <c:v>44875</c:v>
                </c:pt>
                <c:pt idx="781">
                  <c:v>44882</c:v>
                </c:pt>
                <c:pt idx="782">
                  <c:v>44889</c:v>
                </c:pt>
                <c:pt idx="783">
                  <c:v>44896</c:v>
                </c:pt>
                <c:pt idx="784">
                  <c:v>44903</c:v>
                </c:pt>
                <c:pt idx="785">
                  <c:v>44910</c:v>
                </c:pt>
                <c:pt idx="786">
                  <c:v>44917</c:v>
                </c:pt>
                <c:pt idx="787">
                  <c:v>44924</c:v>
                </c:pt>
                <c:pt idx="788">
                  <c:v>44931</c:v>
                </c:pt>
                <c:pt idx="789">
                  <c:v>44938</c:v>
                </c:pt>
                <c:pt idx="790">
                  <c:v>44945</c:v>
                </c:pt>
                <c:pt idx="791">
                  <c:v>44952</c:v>
                </c:pt>
                <c:pt idx="792">
                  <c:v>44959</c:v>
                </c:pt>
                <c:pt idx="793">
                  <c:v>44966</c:v>
                </c:pt>
                <c:pt idx="794">
                  <c:v>44973</c:v>
                </c:pt>
                <c:pt idx="795">
                  <c:v>44980</c:v>
                </c:pt>
                <c:pt idx="796">
                  <c:v>44987</c:v>
                </c:pt>
                <c:pt idx="797">
                  <c:v>44994</c:v>
                </c:pt>
                <c:pt idx="798">
                  <c:v>45001</c:v>
                </c:pt>
                <c:pt idx="799">
                  <c:v>45008</c:v>
                </c:pt>
                <c:pt idx="800">
                  <c:v>45015</c:v>
                </c:pt>
                <c:pt idx="801">
                  <c:v>45022</c:v>
                </c:pt>
                <c:pt idx="802">
                  <c:v>45029</c:v>
                </c:pt>
                <c:pt idx="803">
                  <c:v>45036</c:v>
                </c:pt>
                <c:pt idx="804">
                  <c:v>45043</c:v>
                </c:pt>
                <c:pt idx="805">
                  <c:v>45050</c:v>
                </c:pt>
                <c:pt idx="806">
                  <c:v>45057</c:v>
                </c:pt>
                <c:pt idx="807">
                  <c:v>45065</c:v>
                </c:pt>
                <c:pt idx="808">
                  <c:v>45071</c:v>
                </c:pt>
                <c:pt idx="809">
                  <c:v>45078</c:v>
                </c:pt>
                <c:pt idx="810">
                  <c:v>45085</c:v>
                </c:pt>
                <c:pt idx="811">
                  <c:v>45092</c:v>
                </c:pt>
                <c:pt idx="812">
                  <c:v>45099</c:v>
                </c:pt>
                <c:pt idx="813">
                  <c:v>45106</c:v>
                </c:pt>
                <c:pt idx="814">
                  <c:v>45113</c:v>
                </c:pt>
                <c:pt idx="815">
                  <c:v>45120</c:v>
                </c:pt>
                <c:pt idx="816">
                  <c:v>45127</c:v>
                </c:pt>
                <c:pt idx="817">
                  <c:v>45134</c:v>
                </c:pt>
                <c:pt idx="818">
                  <c:v>45141</c:v>
                </c:pt>
                <c:pt idx="819">
                  <c:v>45148</c:v>
                </c:pt>
                <c:pt idx="820">
                  <c:v>45155</c:v>
                </c:pt>
                <c:pt idx="821">
                  <c:v>45162</c:v>
                </c:pt>
                <c:pt idx="822">
                  <c:v>45169</c:v>
                </c:pt>
                <c:pt idx="823">
                  <c:v>45176</c:v>
                </c:pt>
                <c:pt idx="824">
                  <c:v>45183</c:v>
                </c:pt>
                <c:pt idx="825">
                  <c:v>45190</c:v>
                </c:pt>
                <c:pt idx="826">
                  <c:v>45197</c:v>
                </c:pt>
                <c:pt idx="827">
                  <c:v>45204</c:v>
                </c:pt>
                <c:pt idx="828">
                  <c:v>45211</c:v>
                </c:pt>
                <c:pt idx="829">
                  <c:v>45218</c:v>
                </c:pt>
                <c:pt idx="830">
                  <c:v>45225</c:v>
                </c:pt>
                <c:pt idx="831">
                  <c:v>45232</c:v>
                </c:pt>
                <c:pt idx="832">
                  <c:v>45239</c:v>
                </c:pt>
                <c:pt idx="833">
                  <c:v>45246</c:v>
                </c:pt>
                <c:pt idx="834">
                  <c:v>45253</c:v>
                </c:pt>
                <c:pt idx="835">
                  <c:v>45260</c:v>
                </c:pt>
                <c:pt idx="836">
                  <c:v>45267</c:v>
                </c:pt>
                <c:pt idx="837">
                  <c:v>45274</c:v>
                </c:pt>
                <c:pt idx="838">
                  <c:v>45281</c:v>
                </c:pt>
                <c:pt idx="839">
                  <c:v>45289</c:v>
                </c:pt>
                <c:pt idx="840">
                  <c:v>45296</c:v>
                </c:pt>
                <c:pt idx="841">
                  <c:v>45303</c:v>
                </c:pt>
                <c:pt idx="842">
                  <c:v>45310</c:v>
                </c:pt>
                <c:pt idx="843">
                  <c:v>45317</c:v>
                </c:pt>
                <c:pt idx="844">
                  <c:v>45324</c:v>
                </c:pt>
                <c:pt idx="845">
                  <c:v>45331</c:v>
                </c:pt>
                <c:pt idx="846">
                  <c:v>45338</c:v>
                </c:pt>
                <c:pt idx="847">
                  <c:v>45345</c:v>
                </c:pt>
                <c:pt idx="848">
                  <c:v>45352</c:v>
                </c:pt>
                <c:pt idx="849">
                  <c:v>45359</c:v>
                </c:pt>
                <c:pt idx="850">
                  <c:v>45366</c:v>
                </c:pt>
                <c:pt idx="851">
                  <c:v>45373</c:v>
                </c:pt>
                <c:pt idx="852">
                  <c:v>45384</c:v>
                </c:pt>
                <c:pt idx="853">
                  <c:v>45387</c:v>
                </c:pt>
                <c:pt idx="854">
                  <c:v>45394</c:v>
                </c:pt>
                <c:pt idx="855">
                  <c:v>45401</c:v>
                </c:pt>
                <c:pt idx="856">
                  <c:v>45408</c:v>
                </c:pt>
                <c:pt idx="857">
                  <c:v>45418</c:v>
                </c:pt>
                <c:pt idx="858">
                  <c:v>45426</c:v>
                </c:pt>
                <c:pt idx="859">
                  <c:v>45434</c:v>
                </c:pt>
                <c:pt idx="860">
                  <c:v>45440</c:v>
                </c:pt>
                <c:pt idx="861">
                  <c:v>45447</c:v>
                </c:pt>
                <c:pt idx="862">
                  <c:v>45454</c:v>
                </c:pt>
                <c:pt idx="863">
                  <c:v>45461</c:v>
                </c:pt>
                <c:pt idx="864">
                  <c:v>45469</c:v>
                </c:pt>
                <c:pt idx="865">
                  <c:v>45476</c:v>
                </c:pt>
                <c:pt idx="866">
                  <c:v>45483</c:v>
                </c:pt>
                <c:pt idx="867">
                  <c:v>45490</c:v>
                </c:pt>
                <c:pt idx="868">
                  <c:v>45497</c:v>
                </c:pt>
                <c:pt idx="869">
                  <c:v>45504</c:v>
                </c:pt>
                <c:pt idx="870">
                  <c:v>45511</c:v>
                </c:pt>
                <c:pt idx="871">
                  <c:v>45518</c:v>
                </c:pt>
                <c:pt idx="872">
                  <c:v>45525</c:v>
                </c:pt>
                <c:pt idx="873">
                  <c:v>45532</c:v>
                </c:pt>
                <c:pt idx="874">
                  <c:v>45539</c:v>
                </c:pt>
                <c:pt idx="875">
                  <c:v>45546</c:v>
                </c:pt>
                <c:pt idx="876">
                  <c:v>45553</c:v>
                </c:pt>
                <c:pt idx="877">
                  <c:v>45560</c:v>
                </c:pt>
                <c:pt idx="878">
                  <c:v>45567</c:v>
                </c:pt>
                <c:pt idx="879">
                  <c:v>45574</c:v>
                </c:pt>
                <c:pt idx="880">
                  <c:v>45581</c:v>
                </c:pt>
                <c:pt idx="881">
                  <c:v>45588</c:v>
                </c:pt>
                <c:pt idx="882">
                  <c:v>45595</c:v>
                </c:pt>
                <c:pt idx="883">
                  <c:v>45602</c:v>
                </c:pt>
                <c:pt idx="884">
                  <c:v>45609</c:v>
                </c:pt>
                <c:pt idx="885">
                  <c:v>45616</c:v>
                </c:pt>
                <c:pt idx="886">
                  <c:v>45623</c:v>
                </c:pt>
                <c:pt idx="887">
                  <c:v>45630</c:v>
                </c:pt>
                <c:pt idx="888">
                  <c:v>45637</c:v>
                </c:pt>
                <c:pt idx="889">
                  <c:v>45644</c:v>
                </c:pt>
                <c:pt idx="890">
                  <c:v>45656</c:v>
                </c:pt>
                <c:pt idx="891">
                  <c:v>45660</c:v>
                </c:pt>
                <c:pt idx="892">
                  <c:v>45666</c:v>
                </c:pt>
                <c:pt idx="893">
                  <c:v>45673</c:v>
                </c:pt>
                <c:pt idx="894">
                  <c:v>45680</c:v>
                </c:pt>
                <c:pt idx="895">
                  <c:v>45687</c:v>
                </c:pt>
                <c:pt idx="896">
                  <c:v>45694</c:v>
                </c:pt>
                <c:pt idx="897">
                  <c:v>45701</c:v>
                </c:pt>
                <c:pt idx="898">
                  <c:v>45708</c:v>
                </c:pt>
                <c:pt idx="899">
                  <c:v>45715</c:v>
                </c:pt>
                <c:pt idx="900">
                  <c:v>45722</c:v>
                </c:pt>
                <c:pt idx="901">
                  <c:v>45729</c:v>
                </c:pt>
                <c:pt idx="902">
                  <c:v>45736</c:v>
                </c:pt>
                <c:pt idx="903">
                  <c:v>45743</c:v>
                </c:pt>
                <c:pt idx="904">
                  <c:v>45750</c:v>
                </c:pt>
                <c:pt idx="905">
                  <c:v>45757</c:v>
                </c:pt>
                <c:pt idx="906">
                  <c:v>45764</c:v>
                </c:pt>
                <c:pt idx="907">
                  <c:v>45771</c:v>
                </c:pt>
                <c:pt idx="908">
                  <c:v>45779</c:v>
                </c:pt>
                <c:pt idx="909">
                  <c:v>45785</c:v>
                </c:pt>
                <c:pt idx="910">
                  <c:v>45792</c:v>
                </c:pt>
                <c:pt idx="911">
                  <c:v>45799</c:v>
                </c:pt>
                <c:pt idx="912">
                  <c:v>45807</c:v>
                </c:pt>
                <c:pt idx="913">
                  <c:v>45813</c:v>
                </c:pt>
                <c:pt idx="914">
                  <c:v>45820</c:v>
                </c:pt>
                <c:pt idx="915">
                  <c:v>45827</c:v>
                </c:pt>
                <c:pt idx="916">
                  <c:v>45834</c:v>
                </c:pt>
                <c:pt idx="917">
                  <c:v>45841</c:v>
                </c:pt>
                <c:pt idx="918">
                  <c:v>45848</c:v>
                </c:pt>
                <c:pt idx="919">
                  <c:v>45855</c:v>
                </c:pt>
                <c:pt idx="920">
                  <c:v>45862</c:v>
                </c:pt>
                <c:pt idx="921">
                  <c:v>45869</c:v>
                </c:pt>
                <c:pt idx="922">
                  <c:v>45876</c:v>
                </c:pt>
                <c:pt idx="923">
                  <c:v>45883</c:v>
                </c:pt>
                <c:pt idx="924">
                  <c:v>45890</c:v>
                </c:pt>
                <c:pt idx="925">
                  <c:v>45897</c:v>
                </c:pt>
                <c:pt idx="926">
                  <c:v>45904</c:v>
                </c:pt>
                <c:pt idx="927">
                  <c:v>45911</c:v>
                </c:pt>
                <c:pt idx="928">
                  <c:v>45918</c:v>
                </c:pt>
                <c:pt idx="929">
                  <c:v>45925</c:v>
                </c:pt>
                <c:pt idx="930">
                  <c:v>45932</c:v>
                </c:pt>
                <c:pt idx="931">
                  <c:v>45939</c:v>
                </c:pt>
                <c:pt idx="932">
                  <c:v>45946</c:v>
                </c:pt>
                <c:pt idx="933">
                  <c:v>45953</c:v>
                </c:pt>
                <c:pt idx="934">
                  <c:v>45960</c:v>
                </c:pt>
                <c:pt idx="935">
                  <c:v>45967</c:v>
                </c:pt>
                <c:pt idx="936">
                  <c:v>45974</c:v>
                </c:pt>
                <c:pt idx="937">
                  <c:v>45981</c:v>
                </c:pt>
                <c:pt idx="938">
                  <c:v>45988</c:v>
                </c:pt>
                <c:pt idx="939">
                  <c:v>45995</c:v>
                </c:pt>
                <c:pt idx="940">
                  <c:v>46002</c:v>
                </c:pt>
                <c:pt idx="941">
                  <c:v>46009</c:v>
                </c:pt>
                <c:pt idx="942">
                  <c:v>46021</c:v>
                </c:pt>
                <c:pt idx="943">
                  <c:v>46027</c:v>
                </c:pt>
                <c:pt idx="944">
                  <c:v>46031</c:v>
                </c:pt>
                <c:pt idx="945">
                  <c:v>46038</c:v>
                </c:pt>
                <c:pt idx="946">
                  <c:v>46045</c:v>
                </c:pt>
                <c:pt idx="947">
                  <c:v>46052</c:v>
                </c:pt>
                <c:pt idx="948">
                  <c:v>46059</c:v>
                </c:pt>
                <c:pt idx="949">
                  <c:v>46066</c:v>
                </c:pt>
                <c:pt idx="950">
                  <c:v>46073</c:v>
                </c:pt>
                <c:pt idx="951">
                  <c:v>46080</c:v>
                </c:pt>
                <c:pt idx="952">
                  <c:v>46087</c:v>
                </c:pt>
                <c:pt idx="953">
                  <c:v>46094</c:v>
                </c:pt>
                <c:pt idx="954">
                  <c:v>46101</c:v>
                </c:pt>
                <c:pt idx="955">
                  <c:v>46108</c:v>
                </c:pt>
                <c:pt idx="956">
                  <c:v>46119</c:v>
                </c:pt>
                <c:pt idx="957">
                  <c:v>46122</c:v>
                </c:pt>
                <c:pt idx="958">
                  <c:v>46129</c:v>
                </c:pt>
                <c:pt idx="959">
                  <c:v>46136</c:v>
                </c:pt>
                <c:pt idx="960">
                  <c:v>46146</c:v>
                </c:pt>
                <c:pt idx="961">
                  <c:v>46150</c:v>
                </c:pt>
                <c:pt idx="962">
                  <c:v>46160</c:v>
                </c:pt>
                <c:pt idx="963">
                  <c:v>46164</c:v>
                </c:pt>
                <c:pt idx="964">
                  <c:v>46171</c:v>
                </c:pt>
                <c:pt idx="965">
                  <c:v>46178</c:v>
                </c:pt>
                <c:pt idx="966">
                  <c:v>46185</c:v>
                </c:pt>
                <c:pt idx="967">
                  <c:v>46195</c:v>
                </c:pt>
                <c:pt idx="968">
                  <c:v>46199</c:v>
                </c:pt>
                <c:pt idx="969">
                  <c:v>46206</c:v>
                </c:pt>
                <c:pt idx="970">
                  <c:v>46213</c:v>
                </c:pt>
                <c:pt idx="971">
                  <c:v>46220</c:v>
                </c:pt>
                <c:pt idx="972">
                  <c:v>46227</c:v>
                </c:pt>
                <c:pt idx="973">
                  <c:v>46234</c:v>
                </c:pt>
                <c:pt idx="974">
                  <c:v>46241</c:v>
                </c:pt>
                <c:pt idx="975">
                  <c:v>46248</c:v>
                </c:pt>
                <c:pt idx="976">
                  <c:v>46255</c:v>
                </c:pt>
                <c:pt idx="977">
                  <c:v>46262</c:v>
                </c:pt>
                <c:pt idx="978">
                  <c:v>46269</c:v>
                </c:pt>
                <c:pt idx="979">
                  <c:v>46276</c:v>
                </c:pt>
                <c:pt idx="980">
                  <c:v>46283</c:v>
                </c:pt>
                <c:pt idx="981">
                  <c:v>46290</c:v>
                </c:pt>
                <c:pt idx="982">
                  <c:v>46297</c:v>
                </c:pt>
                <c:pt idx="983">
                  <c:v>46304</c:v>
                </c:pt>
                <c:pt idx="984">
                  <c:v>46311</c:v>
                </c:pt>
                <c:pt idx="985">
                  <c:v>46318</c:v>
                </c:pt>
                <c:pt idx="986">
                  <c:v>46325</c:v>
                </c:pt>
                <c:pt idx="987">
                  <c:v>46332</c:v>
                </c:pt>
                <c:pt idx="988">
                  <c:v>46339</c:v>
                </c:pt>
                <c:pt idx="989">
                  <c:v>46346</c:v>
                </c:pt>
                <c:pt idx="990">
                  <c:v>46353</c:v>
                </c:pt>
                <c:pt idx="991">
                  <c:v>46360</c:v>
                </c:pt>
                <c:pt idx="992">
                  <c:v>46367</c:v>
                </c:pt>
                <c:pt idx="993">
                  <c:v>46374</c:v>
                </c:pt>
                <c:pt idx="994">
                  <c:v>46385</c:v>
                </c:pt>
                <c:pt idx="995">
                  <c:v>46392</c:v>
                </c:pt>
                <c:pt idx="996">
                  <c:v>46398</c:v>
                </c:pt>
                <c:pt idx="997">
                  <c:v>46405</c:v>
                </c:pt>
                <c:pt idx="998">
                  <c:v>46412</c:v>
                </c:pt>
                <c:pt idx="999">
                  <c:v>46419</c:v>
                </c:pt>
                <c:pt idx="1000">
                  <c:v>46426</c:v>
                </c:pt>
                <c:pt idx="1001">
                  <c:v>46433</c:v>
                </c:pt>
                <c:pt idx="1002">
                  <c:v>46440</c:v>
                </c:pt>
                <c:pt idx="1003">
                  <c:v>46447</c:v>
                </c:pt>
                <c:pt idx="1004">
                  <c:v>46454</c:v>
                </c:pt>
                <c:pt idx="1005">
                  <c:v>46461</c:v>
                </c:pt>
                <c:pt idx="1006">
                  <c:v>46468</c:v>
                </c:pt>
                <c:pt idx="1007">
                  <c:v>46477</c:v>
                </c:pt>
                <c:pt idx="1008">
                  <c:v>46482</c:v>
                </c:pt>
                <c:pt idx="1009">
                  <c:v>46489</c:v>
                </c:pt>
                <c:pt idx="1010">
                  <c:v>46496</c:v>
                </c:pt>
                <c:pt idx="1011">
                  <c:v>46503</c:v>
                </c:pt>
                <c:pt idx="1012">
                  <c:v>46510</c:v>
                </c:pt>
                <c:pt idx="1013">
                  <c:v>46518</c:v>
                </c:pt>
                <c:pt idx="1014">
                  <c:v>46526</c:v>
                </c:pt>
                <c:pt idx="1015">
                  <c:v>46532</c:v>
                </c:pt>
                <c:pt idx="1016">
                  <c:v>46539</c:v>
                </c:pt>
                <c:pt idx="1017">
                  <c:v>46546</c:v>
                </c:pt>
                <c:pt idx="1018">
                  <c:v>46553</c:v>
                </c:pt>
                <c:pt idx="1019">
                  <c:v>46560</c:v>
                </c:pt>
                <c:pt idx="1020">
                  <c:v>46568</c:v>
                </c:pt>
                <c:pt idx="1021">
                  <c:v>46575</c:v>
                </c:pt>
                <c:pt idx="1022">
                  <c:v>46582</c:v>
                </c:pt>
                <c:pt idx="1023">
                  <c:v>46589</c:v>
                </c:pt>
                <c:pt idx="1024">
                  <c:v>46596</c:v>
                </c:pt>
                <c:pt idx="1025">
                  <c:v>46603</c:v>
                </c:pt>
                <c:pt idx="1026">
                  <c:v>46610</c:v>
                </c:pt>
                <c:pt idx="1027">
                  <c:v>46617</c:v>
                </c:pt>
                <c:pt idx="1028">
                  <c:v>46624</c:v>
                </c:pt>
                <c:pt idx="1029">
                  <c:v>46631</c:v>
                </c:pt>
                <c:pt idx="1030">
                  <c:v>46638</c:v>
                </c:pt>
                <c:pt idx="1031">
                  <c:v>46645</c:v>
                </c:pt>
                <c:pt idx="1032">
                  <c:v>46652</c:v>
                </c:pt>
                <c:pt idx="1033">
                  <c:v>46659</c:v>
                </c:pt>
                <c:pt idx="1034">
                  <c:v>46666</c:v>
                </c:pt>
                <c:pt idx="1035">
                  <c:v>46673</c:v>
                </c:pt>
                <c:pt idx="1036">
                  <c:v>46680</c:v>
                </c:pt>
                <c:pt idx="1037">
                  <c:v>46687</c:v>
                </c:pt>
                <c:pt idx="1038">
                  <c:v>46694</c:v>
                </c:pt>
                <c:pt idx="1039">
                  <c:v>46701</c:v>
                </c:pt>
                <c:pt idx="1040">
                  <c:v>46708</c:v>
                </c:pt>
                <c:pt idx="1041">
                  <c:v>46715</c:v>
                </c:pt>
                <c:pt idx="1042">
                  <c:v>46722</c:v>
                </c:pt>
                <c:pt idx="1043">
                  <c:v>46729</c:v>
                </c:pt>
                <c:pt idx="1044">
                  <c:v>46736</c:v>
                </c:pt>
                <c:pt idx="1045">
                  <c:v>46743</c:v>
                </c:pt>
                <c:pt idx="1046">
                  <c:v>46750</c:v>
                </c:pt>
                <c:pt idx="1047">
                  <c:v>46757</c:v>
                </c:pt>
                <c:pt idx="1048">
                  <c:v>46764</c:v>
                </c:pt>
                <c:pt idx="1049">
                  <c:v>46771</c:v>
                </c:pt>
                <c:pt idx="1050">
                  <c:v>46778</c:v>
                </c:pt>
                <c:pt idx="1051">
                  <c:v>46785</c:v>
                </c:pt>
                <c:pt idx="1052">
                  <c:v>46792</c:v>
                </c:pt>
                <c:pt idx="1053">
                  <c:v>46799</c:v>
                </c:pt>
                <c:pt idx="1054">
                  <c:v>46806</c:v>
                </c:pt>
                <c:pt idx="1055">
                  <c:v>46813</c:v>
                </c:pt>
                <c:pt idx="1056">
                  <c:v>46820</c:v>
                </c:pt>
                <c:pt idx="1057">
                  <c:v>46827</c:v>
                </c:pt>
                <c:pt idx="1058">
                  <c:v>46834</c:v>
                </c:pt>
                <c:pt idx="1059">
                  <c:v>46841</c:v>
                </c:pt>
                <c:pt idx="1060">
                  <c:v>46848</c:v>
                </c:pt>
                <c:pt idx="1061">
                  <c:v>46855</c:v>
                </c:pt>
                <c:pt idx="1062">
                  <c:v>46863</c:v>
                </c:pt>
                <c:pt idx="1063">
                  <c:v>46870</c:v>
                </c:pt>
                <c:pt idx="1064">
                  <c:v>46877</c:v>
                </c:pt>
                <c:pt idx="1065">
                  <c:v>46884</c:v>
                </c:pt>
                <c:pt idx="1066">
                  <c:v>46891</c:v>
                </c:pt>
                <c:pt idx="1067">
                  <c:v>46899</c:v>
                </c:pt>
                <c:pt idx="1068">
                  <c:v>46905</c:v>
                </c:pt>
                <c:pt idx="1069">
                  <c:v>46912</c:v>
                </c:pt>
                <c:pt idx="1070">
                  <c:v>46919</c:v>
                </c:pt>
                <c:pt idx="1071">
                  <c:v>46926</c:v>
                </c:pt>
                <c:pt idx="1072">
                  <c:v>46933</c:v>
                </c:pt>
                <c:pt idx="1073">
                  <c:v>46940</c:v>
                </c:pt>
                <c:pt idx="1074">
                  <c:v>46947</c:v>
                </c:pt>
                <c:pt idx="1075">
                  <c:v>46954</c:v>
                </c:pt>
                <c:pt idx="1076">
                  <c:v>46961</c:v>
                </c:pt>
                <c:pt idx="1077">
                  <c:v>46968</c:v>
                </c:pt>
                <c:pt idx="1078">
                  <c:v>46975</c:v>
                </c:pt>
                <c:pt idx="1079">
                  <c:v>46982</c:v>
                </c:pt>
                <c:pt idx="1080">
                  <c:v>46989</c:v>
                </c:pt>
                <c:pt idx="1081">
                  <c:v>46996</c:v>
                </c:pt>
                <c:pt idx="1082">
                  <c:v>47003</c:v>
                </c:pt>
                <c:pt idx="1083">
                  <c:v>47010</c:v>
                </c:pt>
                <c:pt idx="1084">
                  <c:v>47017</c:v>
                </c:pt>
                <c:pt idx="1085">
                  <c:v>47024</c:v>
                </c:pt>
                <c:pt idx="1086">
                  <c:v>47031</c:v>
                </c:pt>
                <c:pt idx="1087">
                  <c:v>47038</c:v>
                </c:pt>
                <c:pt idx="1088">
                  <c:v>47045</c:v>
                </c:pt>
                <c:pt idx="1089">
                  <c:v>47052</c:v>
                </c:pt>
                <c:pt idx="1090">
                  <c:v>47059</c:v>
                </c:pt>
                <c:pt idx="1091">
                  <c:v>47066</c:v>
                </c:pt>
                <c:pt idx="1092">
                  <c:v>47073</c:v>
                </c:pt>
                <c:pt idx="1093">
                  <c:v>47080</c:v>
                </c:pt>
                <c:pt idx="1094">
                  <c:v>47087</c:v>
                </c:pt>
                <c:pt idx="1095">
                  <c:v>47094</c:v>
                </c:pt>
                <c:pt idx="1096">
                  <c:v>47101</c:v>
                </c:pt>
                <c:pt idx="1097">
                  <c:v>47108</c:v>
                </c:pt>
                <c:pt idx="1098">
                  <c:v>47116</c:v>
                </c:pt>
                <c:pt idx="1099">
                  <c:v>47123</c:v>
                </c:pt>
                <c:pt idx="1100">
                  <c:v>47130</c:v>
                </c:pt>
                <c:pt idx="1101">
                  <c:v>47137</c:v>
                </c:pt>
                <c:pt idx="1102">
                  <c:v>47144</c:v>
                </c:pt>
                <c:pt idx="1103">
                  <c:v>47151</c:v>
                </c:pt>
                <c:pt idx="1104">
                  <c:v>47158</c:v>
                </c:pt>
                <c:pt idx="1105">
                  <c:v>47165</c:v>
                </c:pt>
                <c:pt idx="1106">
                  <c:v>47172</c:v>
                </c:pt>
                <c:pt idx="1107">
                  <c:v>47179</c:v>
                </c:pt>
                <c:pt idx="1108">
                  <c:v>47186</c:v>
                </c:pt>
                <c:pt idx="1109">
                  <c:v>47193</c:v>
                </c:pt>
                <c:pt idx="1110">
                  <c:v>47200</c:v>
                </c:pt>
                <c:pt idx="1111">
                  <c:v>47211</c:v>
                </c:pt>
                <c:pt idx="1112">
                  <c:v>47214</c:v>
                </c:pt>
                <c:pt idx="1113">
                  <c:v>47221</c:v>
                </c:pt>
                <c:pt idx="1114">
                  <c:v>47228</c:v>
                </c:pt>
                <c:pt idx="1115">
                  <c:v>47235</c:v>
                </c:pt>
                <c:pt idx="1116">
                  <c:v>47242</c:v>
                </c:pt>
                <c:pt idx="1117">
                  <c:v>47252</c:v>
                </c:pt>
                <c:pt idx="1118">
                  <c:v>47256</c:v>
                </c:pt>
                <c:pt idx="1119">
                  <c:v>47263</c:v>
                </c:pt>
                <c:pt idx="1120">
                  <c:v>47270</c:v>
                </c:pt>
                <c:pt idx="1121">
                  <c:v>47277</c:v>
                </c:pt>
                <c:pt idx="1122">
                  <c:v>47284</c:v>
                </c:pt>
                <c:pt idx="1123">
                  <c:v>47294</c:v>
                </c:pt>
                <c:pt idx="1124">
                  <c:v>47298</c:v>
                </c:pt>
                <c:pt idx="1125">
                  <c:v>47305</c:v>
                </c:pt>
                <c:pt idx="1126">
                  <c:v>47312</c:v>
                </c:pt>
                <c:pt idx="1127">
                  <c:v>47319</c:v>
                </c:pt>
                <c:pt idx="1128">
                  <c:v>47326</c:v>
                </c:pt>
                <c:pt idx="1129">
                  <c:v>47333</c:v>
                </c:pt>
                <c:pt idx="1130">
                  <c:v>47340</c:v>
                </c:pt>
                <c:pt idx="1131">
                  <c:v>47347</c:v>
                </c:pt>
                <c:pt idx="1132">
                  <c:v>47354</c:v>
                </c:pt>
                <c:pt idx="1133">
                  <c:v>47361</c:v>
                </c:pt>
                <c:pt idx="1134">
                  <c:v>47368</c:v>
                </c:pt>
                <c:pt idx="1135">
                  <c:v>47375</c:v>
                </c:pt>
                <c:pt idx="1136">
                  <c:v>47382</c:v>
                </c:pt>
                <c:pt idx="1137">
                  <c:v>47389</c:v>
                </c:pt>
                <c:pt idx="1138">
                  <c:v>47396</c:v>
                </c:pt>
                <c:pt idx="1139">
                  <c:v>47403</c:v>
                </c:pt>
                <c:pt idx="1140">
                  <c:v>47410</c:v>
                </c:pt>
                <c:pt idx="1141">
                  <c:v>47417</c:v>
                </c:pt>
                <c:pt idx="1142">
                  <c:v>47424</c:v>
                </c:pt>
                <c:pt idx="1143">
                  <c:v>47431</c:v>
                </c:pt>
                <c:pt idx="1144">
                  <c:v>47438</c:v>
                </c:pt>
                <c:pt idx="1145">
                  <c:v>47445</c:v>
                </c:pt>
                <c:pt idx="1146">
                  <c:v>47452</c:v>
                </c:pt>
                <c:pt idx="1147">
                  <c:v>47459</c:v>
                </c:pt>
                <c:pt idx="1148">
                  <c:v>47466</c:v>
                </c:pt>
                <c:pt idx="1149">
                  <c:v>47473</c:v>
                </c:pt>
                <c:pt idx="1150">
                  <c:v>47485</c:v>
                </c:pt>
                <c:pt idx="1151">
                  <c:v>47490</c:v>
                </c:pt>
                <c:pt idx="1152">
                  <c:v>47497</c:v>
                </c:pt>
                <c:pt idx="1153">
                  <c:v>47504</c:v>
                </c:pt>
                <c:pt idx="1154">
                  <c:v>47511</c:v>
                </c:pt>
                <c:pt idx="1155">
                  <c:v>47518</c:v>
                </c:pt>
                <c:pt idx="1156">
                  <c:v>47525</c:v>
                </c:pt>
                <c:pt idx="1157">
                  <c:v>47532</c:v>
                </c:pt>
                <c:pt idx="1158">
                  <c:v>47539</c:v>
                </c:pt>
                <c:pt idx="1159">
                  <c:v>47546</c:v>
                </c:pt>
                <c:pt idx="1160">
                  <c:v>47553</c:v>
                </c:pt>
                <c:pt idx="1161">
                  <c:v>47560</c:v>
                </c:pt>
                <c:pt idx="1162">
                  <c:v>47567</c:v>
                </c:pt>
                <c:pt idx="1163">
                  <c:v>47574</c:v>
                </c:pt>
                <c:pt idx="1164">
                  <c:v>47581</c:v>
                </c:pt>
                <c:pt idx="1165">
                  <c:v>47588</c:v>
                </c:pt>
                <c:pt idx="1166">
                  <c:v>47597</c:v>
                </c:pt>
                <c:pt idx="1167">
                  <c:v>47602</c:v>
                </c:pt>
                <c:pt idx="1168">
                  <c:v>47609</c:v>
                </c:pt>
                <c:pt idx="1169">
                  <c:v>47616</c:v>
                </c:pt>
                <c:pt idx="1170">
                  <c:v>47623</c:v>
                </c:pt>
                <c:pt idx="1171">
                  <c:v>47630</c:v>
                </c:pt>
                <c:pt idx="1172">
                  <c:v>47638</c:v>
                </c:pt>
                <c:pt idx="1173">
                  <c:v>47646</c:v>
                </c:pt>
                <c:pt idx="1174">
                  <c:v>47652</c:v>
                </c:pt>
                <c:pt idx="1175">
                  <c:v>47660</c:v>
                </c:pt>
                <c:pt idx="1176">
                  <c:v>47667</c:v>
                </c:pt>
                <c:pt idx="1177">
                  <c:v>47674</c:v>
                </c:pt>
                <c:pt idx="1178">
                  <c:v>47681</c:v>
                </c:pt>
                <c:pt idx="1179">
                  <c:v>47688</c:v>
                </c:pt>
                <c:pt idx="1180">
                  <c:v>47695</c:v>
                </c:pt>
                <c:pt idx="1181">
                  <c:v>47702</c:v>
                </c:pt>
                <c:pt idx="1182">
                  <c:v>47709</c:v>
                </c:pt>
                <c:pt idx="1183">
                  <c:v>47716</c:v>
                </c:pt>
                <c:pt idx="1184">
                  <c:v>47723</c:v>
                </c:pt>
                <c:pt idx="1185">
                  <c:v>47730</c:v>
                </c:pt>
                <c:pt idx="1186">
                  <c:v>47737</c:v>
                </c:pt>
                <c:pt idx="1187">
                  <c:v>47744</c:v>
                </c:pt>
                <c:pt idx="1188">
                  <c:v>47751</c:v>
                </c:pt>
                <c:pt idx="1189">
                  <c:v>47758</c:v>
                </c:pt>
                <c:pt idx="1190">
                  <c:v>47765</c:v>
                </c:pt>
                <c:pt idx="1191">
                  <c:v>47772</c:v>
                </c:pt>
                <c:pt idx="1192">
                  <c:v>47779</c:v>
                </c:pt>
                <c:pt idx="1193">
                  <c:v>47786</c:v>
                </c:pt>
                <c:pt idx="1194">
                  <c:v>47793</c:v>
                </c:pt>
                <c:pt idx="1195">
                  <c:v>47800</c:v>
                </c:pt>
                <c:pt idx="1196">
                  <c:v>47807</c:v>
                </c:pt>
                <c:pt idx="1197">
                  <c:v>47814</c:v>
                </c:pt>
                <c:pt idx="1198">
                  <c:v>47821</c:v>
                </c:pt>
                <c:pt idx="1199">
                  <c:v>47828</c:v>
                </c:pt>
                <c:pt idx="1200">
                  <c:v>47835</c:v>
                </c:pt>
                <c:pt idx="1201">
                  <c:v>47847</c:v>
                </c:pt>
                <c:pt idx="1202">
                  <c:v>47851</c:v>
                </c:pt>
                <c:pt idx="1203">
                  <c:v>47857</c:v>
                </c:pt>
                <c:pt idx="1204">
                  <c:v>47864</c:v>
                </c:pt>
                <c:pt idx="1205">
                  <c:v>47871</c:v>
                </c:pt>
                <c:pt idx="1206">
                  <c:v>47878</c:v>
                </c:pt>
                <c:pt idx="1207">
                  <c:v>47885</c:v>
                </c:pt>
                <c:pt idx="1208">
                  <c:v>47892</c:v>
                </c:pt>
                <c:pt idx="1209">
                  <c:v>47899</c:v>
                </c:pt>
                <c:pt idx="1210">
                  <c:v>47906</c:v>
                </c:pt>
                <c:pt idx="1211">
                  <c:v>47913</c:v>
                </c:pt>
                <c:pt idx="1212">
                  <c:v>47920</c:v>
                </c:pt>
                <c:pt idx="1213">
                  <c:v>47927</c:v>
                </c:pt>
                <c:pt idx="1214">
                  <c:v>47934</c:v>
                </c:pt>
                <c:pt idx="1215">
                  <c:v>47941</c:v>
                </c:pt>
                <c:pt idx="1216">
                  <c:v>47948</c:v>
                </c:pt>
                <c:pt idx="1217">
                  <c:v>47955</c:v>
                </c:pt>
                <c:pt idx="1218">
                  <c:v>47962</c:v>
                </c:pt>
                <c:pt idx="1219">
                  <c:v>47970</c:v>
                </c:pt>
                <c:pt idx="1220">
                  <c:v>47976</c:v>
                </c:pt>
                <c:pt idx="1221">
                  <c:v>47983</c:v>
                </c:pt>
                <c:pt idx="1222">
                  <c:v>47991</c:v>
                </c:pt>
                <c:pt idx="1223">
                  <c:v>47997</c:v>
                </c:pt>
                <c:pt idx="1224">
                  <c:v>48004</c:v>
                </c:pt>
                <c:pt idx="1225">
                  <c:v>48011</c:v>
                </c:pt>
                <c:pt idx="1226">
                  <c:v>48018</c:v>
                </c:pt>
                <c:pt idx="1227">
                  <c:v>48025</c:v>
                </c:pt>
                <c:pt idx="1228">
                  <c:v>48032</c:v>
                </c:pt>
                <c:pt idx="1229">
                  <c:v>48039</c:v>
                </c:pt>
                <c:pt idx="1230">
                  <c:v>48046</c:v>
                </c:pt>
                <c:pt idx="1231">
                  <c:v>48053</c:v>
                </c:pt>
                <c:pt idx="1232">
                  <c:v>48060</c:v>
                </c:pt>
                <c:pt idx="1233">
                  <c:v>48067</c:v>
                </c:pt>
                <c:pt idx="1234">
                  <c:v>48074</c:v>
                </c:pt>
                <c:pt idx="1235">
                  <c:v>48081</c:v>
                </c:pt>
                <c:pt idx="1236">
                  <c:v>48088</c:v>
                </c:pt>
                <c:pt idx="1237">
                  <c:v>48095</c:v>
                </c:pt>
                <c:pt idx="1238">
                  <c:v>48102</c:v>
                </c:pt>
                <c:pt idx="1239">
                  <c:v>48109</c:v>
                </c:pt>
                <c:pt idx="1240">
                  <c:v>48116</c:v>
                </c:pt>
                <c:pt idx="1241">
                  <c:v>48123</c:v>
                </c:pt>
                <c:pt idx="1242">
                  <c:v>48130</c:v>
                </c:pt>
                <c:pt idx="1243">
                  <c:v>48137</c:v>
                </c:pt>
                <c:pt idx="1244">
                  <c:v>48144</c:v>
                </c:pt>
                <c:pt idx="1245">
                  <c:v>48151</c:v>
                </c:pt>
                <c:pt idx="1246">
                  <c:v>48158</c:v>
                </c:pt>
                <c:pt idx="1247">
                  <c:v>48165</c:v>
                </c:pt>
                <c:pt idx="1248">
                  <c:v>48172</c:v>
                </c:pt>
                <c:pt idx="1249">
                  <c:v>48179</c:v>
                </c:pt>
                <c:pt idx="1250">
                  <c:v>48186</c:v>
                </c:pt>
                <c:pt idx="1251">
                  <c:v>48193</c:v>
                </c:pt>
                <c:pt idx="1252">
                  <c:v>48200</c:v>
                </c:pt>
                <c:pt idx="1253">
                  <c:v>48212</c:v>
                </c:pt>
                <c:pt idx="1254">
                  <c:v>48218</c:v>
                </c:pt>
                <c:pt idx="1255">
                  <c:v>48222</c:v>
                </c:pt>
                <c:pt idx="1256">
                  <c:v>48229</c:v>
                </c:pt>
                <c:pt idx="1257">
                  <c:v>48236</c:v>
                </c:pt>
                <c:pt idx="1258">
                  <c:v>48243</c:v>
                </c:pt>
                <c:pt idx="1259">
                  <c:v>48250</c:v>
                </c:pt>
                <c:pt idx="1260">
                  <c:v>48257</c:v>
                </c:pt>
                <c:pt idx="1261">
                  <c:v>48264</c:v>
                </c:pt>
                <c:pt idx="1262">
                  <c:v>48271</c:v>
                </c:pt>
                <c:pt idx="1263">
                  <c:v>48278</c:v>
                </c:pt>
                <c:pt idx="1264">
                  <c:v>48285</c:v>
                </c:pt>
                <c:pt idx="1265">
                  <c:v>48292</c:v>
                </c:pt>
                <c:pt idx="1266">
                  <c:v>48303</c:v>
                </c:pt>
                <c:pt idx="1267">
                  <c:v>48306</c:v>
                </c:pt>
                <c:pt idx="1268">
                  <c:v>48313</c:v>
                </c:pt>
                <c:pt idx="1269">
                  <c:v>48320</c:v>
                </c:pt>
                <c:pt idx="1270">
                  <c:v>48327</c:v>
                </c:pt>
                <c:pt idx="1271">
                  <c:v>48334</c:v>
                </c:pt>
                <c:pt idx="1272">
                  <c:v>48344</c:v>
                </c:pt>
                <c:pt idx="1273">
                  <c:v>48348</c:v>
                </c:pt>
                <c:pt idx="1274">
                  <c:v>48355</c:v>
                </c:pt>
                <c:pt idx="1275">
                  <c:v>48362</c:v>
                </c:pt>
                <c:pt idx="1276">
                  <c:v>48369</c:v>
                </c:pt>
                <c:pt idx="1277">
                  <c:v>48376</c:v>
                </c:pt>
                <c:pt idx="1278">
                  <c:v>48383</c:v>
                </c:pt>
                <c:pt idx="1279">
                  <c:v>48393</c:v>
                </c:pt>
                <c:pt idx="1280">
                  <c:v>48397</c:v>
                </c:pt>
                <c:pt idx="1281">
                  <c:v>48404</c:v>
                </c:pt>
                <c:pt idx="1282">
                  <c:v>48411</c:v>
                </c:pt>
                <c:pt idx="1283">
                  <c:v>48418</c:v>
                </c:pt>
                <c:pt idx="1284">
                  <c:v>48425</c:v>
                </c:pt>
                <c:pt idx="1285">
                  <c:v>48432</c:v>
                </c:pt>
                <c:pt idx="1286">
                  <c:v>48439</c:v>
                </c:pt>
                <c:pt idx="1287">
                  <c:v>48446</c:v>
                </c:pt>
                <c:pt idx="1288">
                  <c:v>48453</c:v>
                </c:pt>
                <c:pt idx="1289">
                  <c:v>48460</c:v>
                </c:pt>
                <c:pt idx="1290">
                  <c:v>48467</c:v>
                </c:pt>
                <c:pt idx="1291">
                  <c:v>48474</c:v>
                </c:pt>
                <c:pt idx="1292">
                  <c:v>48481</c:v>
                </c:pt>
                <c:pt idx="1293">
                  <c:v>48488</c:v>
                </c:pt>
                <c:pt idx="1294">
                  <c:v>48495</c:v>
                </c:pt>
                <c:pt idx="1295">
                  <c:v>48502</c:v>
                </c:pt>
                <c:pt idx="1296">
                  <c:v>48509</c:v>
                </c:pt>
                <c:pt idx="1297">
                  <c:v>48516</c:v>
                </c:pt>
                <c:pt idx="1298">
                  <c:v>48523</c:v>
                </c:pt>
                <c:pt idx="1299">
                  <c:v>48530</c:v>
                </c:pt>
                <c:pt idx="1300">
                  <c:v>48537</c:v>
                </c:pt>
                <c:pt idx="1301">
                  <c:v>48544</c:v>
                </c:pt>
                <c:pt idx="1302">
                  <c:v>48551</c:v>
                </c:pt>
                <c:pt idx="1303">
                  <c:v>48558</c:v>
                </c:pt>
                <c:pt idx="1304">
                  <c:v>48565</c:v>
                </c:pt>
                <c:pt idx="1305">
                  <c:v>48575</c:v>
                </c:pt>
                <c:pt idx="1306">
                  <c:v>48582</c:v>
                </c:pt>
                <c:pt idx="1307">
                  <c:v>48589</c:v>
                </c:pt>
                <c:pt idx="1308">
                  <c:v>48593</c:v>
                </c:pt>
                <c:pt idx="1309">
                  <c:v>48600</c:v>
                </c:pt>
                <c:pt idx="1310">
                  <c:v>48607</c:v>
                </c:pt>
                <c:pt idx="1311">
                  <c:v>48614</c:v>
                </c:pt>
                <c:pt idx="1312">
                  <c:v>48621</c:v>
                </c:pt>
                <c:pt idx="1313">
                  <c:v>48628</c:v>
                </c:pt>
                <c:pt idx="1314">
                  <c:v>48635</c:v>
                </c:pt>
                <c:pt idx="1315">
                  <c:v>48642</c:v>
                </c:pt>
                <c:pt idx="1316">
                  <c:v>48649</c:v>
                </c:pt>
                <c:pt idx="1317">
                  <c:v>48656</c:v>
                </c:pt>
                <c:pt idx="1318">
                  <c:v>48663</c:v>
                </c:pt>
                <c:pt idx="1319">
                  <c:v>48670</c:v>
                </c:pt>
                <c:pt idx="1320">
                  <c:v>48677</c:v>
                </c:pt>
                <c:pt idx="1321">
                  <c:v>48688</c:v>
                </c:pt>
                <c:pt idx="1322">
                  <c:v>48691</c:v>
                </c:pt>
                <c:pt idx="1323">
                  <c:v>48698</c:v>
                </c:pt>
                <c:pt idx="1324">
                  <c:v>48705</c:v>
                </c:pt>
                <c:pt idx="1325">
                  <c:v>48712</c:v>
                </c:pt>
                <c:pt idx="1326">
                  <c:v>48719</c:v>
                </c:pt>
                <c:pt idx="1327">
                  <c:v>48729</c:v>
                </c:pt>
                <c:pt idx="1328">
                  <c:v>48733</c:v>
                </c:pt>
                <c:pt idx="1329">
                  <c:v>48740</c:v>
                </c:pt>
                <c:pt idx="1330">
                  <c:v>48747</c:v>
                </c:pt>
                <c:pt idx="1331">
                  <c:v>48757</c:v>
                </c:pt>
                <c:pt idx="1332">
                  <c:v>48761</c:v>
                </c:pt>
                <c:pt idx="1333">
                  <c:v>48768</c:v>
                </c:pt>
                <c:pt idx="1334">
                  <c:v>48775</c:v>
                </c:pt>
                <c:pt idx="1335">
                  <c:v>48782</c:v>
                </c:pt>
                <c:pt idx="1336">
                  <c:v>48789</c:v>
                </c:pt>
                <c:pt idx="1337">
                  <c:v>48796</c:v>
                </c:pt>
                <c:pt idx="1338">
                  <c:v>48803</c:v>
                </c:pt>
                <c:pt idx="1339">
                  <c:v>48810</c:v>
                </c:pt>
                <c:pt idx="1340">
                  <c:v>48817</c:v>
                </c:pt>
                <c:pt idx="1341">
                  <c:v>48824</c:v>
                </c:pt>
                <c:pt idx="1342">
                  <c:v>48831</c:v>
                </c:pt>
                <c:pt idx="1343">
                  <c:v>48838</c:v>
                </c:pt>
                <c:pt idx="1344">
                  <c:v>48845</c:v>
                </c:pt>
                <c:pt idx="1345">
                  <c:v>48852</c:v>
                </c:pt>
                <c:pt idx="1346">
                  <c:v>48859</c:v>
                </c:pt>
                <c:pt idx="1347">
                  <c:v>48866</c:v>
                </c:pt>
                <c:pt idx="1348">
                  <c:v>48873</c:v>
                </c:pt>
                <c:pt idx="1349">
                  <c:v>48880</c:v>
                </c:pt>
                <c:pt idx="1350">
                  <c:v>48887</c:v>
                </c:pt>
                <c:pt idx="1351">
                  <c:v>48894</c:v>
                </c:pt>
                <c:pt idx="1352">
                  <c:v>48901</c:v>
                </c:pt>
                <c:pt idx="1353">
                  <c:v>48908</c:v>
                </c:pt>
                <c:pt idx="1354">
                  <c:v>48915</c:v>
                </c:pt>
                <c:pt idx="1355">
                  <c:v>48922</c:v>
                </c:pt>
                <c:pt idx="1356">
                  <c:v>48929</c:v>
                </c:pt>
                <c:pt idx="1357">
                  <c:v>48936</c:v>
                </c:pt>
                <c:pt idx="1358">
                  <c:v>48943</c:v>
                </c:pt>
                <c:pt idx="1359">
                  <c:v>48953</c:v>
                </c:pt>
                <c:pt idx="1360">
                  <c:v>48957</c:v>
                </c:pt>
                <c:pt idx="1361">
                  <c:v>48964</c:v>
                </c:pt>
                <c:pt idx="1362">
                  <c:v>48971</c:v>
                </c:pt>
                <c:pt idx="1363">
                  <c:v>48978</c:v>
                </c:pt>
                <c:pt idx="1364">
                  <c:v>48985</c:v>
                </c:pt>
                <c:pt idx="1365">
                  <c:v>48992</c:v>
                </c:pt>
                <c:pt idx="1366">
                  <c:v>48999</c:v>
                </c:pt>
                <c:pt idx="1367">
                  <c:v>49006</c:v>
                </c:pt>
                <c:pt idx="1368">
                  <c:v>49013</c:v>
                </c:pt>
                <c:pt idx="1369">
                  <c:v>49020</c:v>
                </c:pt>
                <c:pt idx="1370">
                  <c:v>49027</c:v>
                </c:pt>
                <c:pt idx="1371">
                  <c:v>49034</c:v>
                </c:pt>
                <c:pt idx="1372">
                  <c:v>49045</c:v>
                </c:pt>
                <c:pt idx="1373">
                  <c:v>49048</c:v>
                </c:pt>
                <c:pt idx="1374">
                  <c:v>49055</c:v>
                </c:pt>
                <c:pt idx="1375">
                  <c:v>49062</c:v>
                </c:pt>
                <c:pt idx="1376">
                  <c:v>49069</c:v>
                </c:pt>
                <c:pt idx="1377">
                  <c:v>49076</c:v>
                </c:pt>
                <c:pt idx="1378">
                  <c:v>49086</c:v>
                </c:pt>
                <c:pt idx="1379">
                  <c:v>49090</c:v>
                </c:pt>
                <c:pt idx="1380">
                  <c:v>49097</c:v>
                </c:pt>
                <c:pt idx="1381">
                  <c:v>49104</c:v>
                </c:pt>
                <c:pt idx="1382">
                  <c:v>49111</c:v>
                </c:pt>
                <c:pt idx="1383">
                  <c:v>49121</c:v>
                </c:pt>
                <c:pt idx="1384">
                  <c:v>49125</c:v>
                </c:pt>
                <c:pt idx="1385">
                  <c:v>49132</c:v>
                </c:pt>
                <c:pt idx="1386">
                  <c:v>49139</c:v>
                </c:pt>
                <c:pt idx="1387">
                  <c:v>49146</c:v>
                </c:pt>
                <c:pt idx="1388">
                  <c:v>49153</c:v>
                </c:pt>
                <c:pt idx="1389">
                  <c:v>49160</c:v>
                </c:pt>
                <c:pt idx="1390">
                  <c:v>49167</c:v>
                </c:pt>
                <c:pt idx="1391">
                  <c:v>49174</c:v>
                </c:pt>
                <c:pt idx="1392">
                  <c:v>49181</c:v>
                </c:pt>
                <c:pt idx="1393">
                  <c:v>49188</c:v>
                </c:pt>
                <c:pt idx="1394">
                  <c:v>49195</c:v>
                </c:pt>
                <c:pt idx="1395">
                  <c:v>49202</c:v>
                </c:pt>
                <c:pt idx="1396">
                  <c:v>49209</c:v>
                </c:pt>
                <c:pt idx="1397">
                  <c:v>49216</c:v>
                </c:pt>
                <c:pt idx="1398">
                  <c:v>49223</c:v>
                </c:pt>
                <c:pt idx="1399">
                  <c:v>49230</c:v>
                </c:pt>
                <c:pt idx="1400">
                  <c:v>49237</c:v>
                </c:pt>
                <c:pt idx="1401">
                  <c:v>49244</c:v>
                </c:pt>
                <c:pt idx="1402">
                  <c:v>49251</c:v>
                </c:pt>
                <c:pt idx="1403">
                  <c:v>49258</c:v>
                </c:pt>
                <c:pt idx="1404">
                  <c:v>49265</c:v>
                </c:pt>
                <c:pt idx="1405">
                  <c:v>49272</c:v>
                </c:pt>
                <c:pt idx="1406">
                  <c:v>49279</c:v>
                </c:pt>
                <c:pt idx="1407">
                  <c:v>49286</c:v>
                </c:pt>
                <c:pt idx="1408">
                  <c:v>49293</c:v>
                </c:pt>
                <c:pt idx="1409">
                  <c:v>49300</c:v>
                </c:pt>
                <c:pt idx="1410">
                  <c:v>49307</c:v>
                </c:pt>
                <c:pt idx="1411">
                  <c:v>49314</c:v>
                </c:pt>
                <c:pt idx="1412">
                  <c:v>49321</c:v>
                </c:pt>
                <c:pt idx="1413">
                  <c:v>49328</c:v>
                </c:pt>
                <c:pt idx="1414">
                  <c:v>49335</c:v>
                </c:pt>
                <c:pt idx="1415">
                  <c:v>49342</c:v>
                </c:pt>
                <c:pt idx="1416">
                  <c:v>49349</c:v>
                </c:pt>
                <c:pt idx="1417">
                  <c:v>49356</c:v>
                </c:pt>
                <c:pt idx="1418">
                  <c:v>49363</c:v>
                </c:pt>
                <c:pt idx="1419">
                  <c:v>49370</c:v>
                </c:pt>
                <c:pt idx="1420">
                  <c:v>49377</c:v>
                </c:pt>
                <c:pt idx="1421">
                  <c:v>49384</c:v>
                </c:pt>
                <c:pt idx="1422">
                  <c:v>49395</c:v>
                </c:pt>
                <c:pt idx="1423">
                  <c:v>49398</c:v>
                </c:pt>
                <c:pt idx="1424">
                  <c:v>49405</c:v>
                </c:pt>
                <c:pt idx="1425">
                  <c:v>49412</c:v>
                </c:pt>
                <c:pt idx="1426">
                  <c:v>49419</c:v>
                </c:pt>
                <c:pt idx="1427">
                  <c:v>49426</c:v>
                </c:pt>
                <c:pt idx="1428">
                  <c:v>49436</c:v>
                </c:pt>
                <c:pt idx="1429">
                  <c:v>49440</c:v>
                </c:pt>
                <c:pt idx="1430">
                  <c:v>49447</c:v>
                </c:pt>
                <c:pt idx="1431">
                  <c:v>49454</c:v>
                </c:pt>
                <c:pt idx="1432">
                  <c:v>49461</c:v>
                </c:pt>
                <c:pt idx="1433">
                  <c:v>49468</c:v>
                </c:pt>
                <c:pt idx="1434">
                  <c:v>49475</c:v>
                </c:pt>
                <c:pt idx="1435">
                  <c:v>49485</c:v>
                </c:pt>
                <c:pt idx="1436">
                  <c:v>49489</c:v>
                </c:pt>
                <c:pt idx="1437">
                  <c:v>49496</c:v>
                </c:pt>
                <c:pt idx="1438">
                  <c:v>49503</c:v>
                </c:pt>
                <c:pt idx="1439">
                  <c:v>49510</c:v>
                </c:pt>
                <c:pt idx="1440">
                  <c:v>49517</c:v>
                </c:pt>
                <c:pt idx="1441">
                  <c:v>49524</c:v>
                </c:pt>
                <c:pt idx="1442">
                  <c:v>49531</c:v>
                </c:pt>
                <c:pt idx="1443">
                  <c:v>49538</c:v>
                </c:pt>
                <c:pt idx="1444">
                  <c:v>49545</c:v>
                </c:pt>
                <c:pt idx="1445">
                  <c:v>49552</c:v>
                </c:pt>
                <c:pt idx="1446">
                  <c:v>49559</c:v>
                </c:pt>
                <c:pt idx="1447">
                  <c:v>49566</c:v>
                </c:pt>
                <c:pt idx="1448">
                  <c:v>49573</c:v>
                </c:pt>
                <c:pt idx="1449">
                  <c:v>49580</c:v>
                </c:pt>
                <c:pt idx="1450">
                  <c:v>49587</c:v>
                </c:pt>
                <c:pt idx="1451">
                  <c:v>49594</c:v>
                </c:pt>
                <c:pt idx="1452">
                  <c:v>49601</c:v>
                </c:pt>
                <c:pt idx="1453">
                  <c:v>49608</c:v>
                </c:pt>
                <c:pt idx="1454">
                  <c:v>49615</c:v>
                </c:pt>
                <c:pt idx="1455">
                  <c:v>49622</c:v>
                </c:pt>
                <c:pt idx="1456">
                  <c:v>49629</c:v>
                </c:pt>
                <c:pt idx="1457">
                  <c:v>49636</c:v>
                </c:pt>
                <c:pt idx="1458">
                  <c:v>49643</c:v>
                </c:pt>
                <c:pt idx="1459">
                  <c:v>49650</c:v>
                </c:pt>
                <c:pt idx="1460">
                  <c:v>49657</c:v>
                </c:pt>
                <c:pt idx="1461">
                  <c:v>49664</c:v>
                </c:pt>
                <c:pt idx="1462">
                  <c:v>49676</c:v>
                </c:pt>
                <c:pt idx="1463">
                  <c:v>49681</c:v>
                </c:pt>
                <c:pt idx="1464">
                  <c:v>49688</c:v>
                </c:pt>
                <c:pt idx="1465">
                  <c:v>49695</c:v>
                </c:pt>
                <c:pt idx="1466">
                  <c:v>49702</c:v>
                </c:pt>
                <c:pt idx="1467">
                  <c:v>49709</c:v>
                </c:pt>
                <c:pt idx="1468">
                  <c:v>49716</c:v>
                </c:pt>
                <c:pt idx="1469">
                  <c:v>49723</c:v>
                </c:pt>
                <c:pt idx="1470">
                  <c:v>49730</c:v>
                </c:pt>
                <c:pt idx="1471">
                  <c:v>49737</c:v>
                </c:pt>
                <c:pt idx="1472">
                  <c:v>49744</c:v>
                </c:pt>
                <c:pt idx="1473">
                  <c:v>49751</c:v>
                </c:pt>
                <c:pt idx="1474">
                  <c:v>49758</c:v>
                </c:pt>
                <c:pt idx="1475">
                  <c:v>49765</c:v>
                </c:pt>
                <c:pt idx="1476">
                  <c:v>49772</c:v>
                </c:pt>
                <c:pt idx="1477">
                  <c:v>49781</c:v>
                </c:pt>
                <c:pt idx="1478">
                  <c:v>49786</c:v>
                </c:pt>
                <c:pt idx="1479">
                  <c:v>49793</c:v>
                </c:pt>
                <c:pt idx="1480">
                  <c:v>49801</c:v>
                </c:pt>
                <c:pt idx="1481">
                  <c:v>49808</c:v>
                </c:pt>
                <c:pt idx="1482">
                  <c:v>49815</c:v>
                </c:pt>
                <c:pt idx="1483">
                  <c:v>49822</c:v>
                </c:pt>
                <c:pt idx="1484">
                  <c:v>49830</c:v>
                </c:pt>
                <c:pt idx="1485">
                  <c:v>49836</c:v>
                </c:pt>
                <c:pt idx="1486">
                  <c:v>49843</c:v>
                </c:pt>
                <c:pt idx="1487">
                  <c:v>49851</c:v>
                </c:pt>
                <c:pt idx="1488">
                  <c:v>49858</c:v>
                </c:pt>
                <c:pt idx="1489">
                  <c:v>49865</c:v>
                </c:pt>
                <c:pt idx="1490">
                  <c:v>49872</c:v>
                </c:pt>
                <c:pt idx="1491">
                  <c:v>49879</c:v>
                </c:pt>
                <c:pt idx="1492">
                  <c:v>49886</c:v>
                </c:pt>
                <c:pt idx="1493">
                  <c:v>49893</c:v>
                </c:pt>
                <c:pt idx="1494">
                  <c:v>49900</c:v>
                </c:pt>
                <c:pt idx="1495">
                  <c:v>49907</c:v>
                </c:pt>
                <c:pt idx="1496">
                  <c:v>49914</c:v>
                </c:pt>
                <c:pt idx="1497">
                  <c:v>49921</c:v>
                </c:pt>
                <c:pt idx="1498">
                  <c:v>49928</c:v>
                </c:pt>
                <c:pt idx="1499">
                  <c:v>49935</c:v>
                </c:pt>
                <c:pt idx="1500">
                  <c:v>49942</c:v>
                </c:pt>
                <c:pt idx="1501">
                  <c:v>49949</c:v>
                </c:pt>
                <c:pt idx="1502">
                  <c:v>49956</c:v>
                </c:pt>
                <c:pt idx="1503">
                  <c:v>49963</c:v>
                </c:pt>
                <c:pt idx="1504">
                  <c:v>49970</c:v>
                </c:pt>
                <c:pt idx="1505">
                  <c:v>49977</c:v>
                </c:pt>
                <c:pt idx="1506">
                  <c:v>49984</c:v>
                </c:pt>
                <c:pt idx="1507">
                  <c:v>49991</c:v>
                </c:pt>
                <c:pt idx="1508">
                  <c:v>49998</c:v>
                </c:pt>
                <c:pt idx="1509">
                  <c:v>50005</c:v>
                </c:pt>
                <c:pt idx="1510">
                  <c:v>50012</c:v>
                </c:pt>
                <c:pt idx="1511">
                  <c:v>50019</c:v>
                </c:pt>
                <c:pt idx="1512">
                  <c:v>50026</c:v>
                </c:pt>
                <c:pt idx="1513">
                  <c:v>50038</c:v>
                </c:pt>
                <c:pt idx="1514">
                  <c:v>50042</c:v>
                </c:pt>
                <c:pt idx="1515">
                  <c:v>50048</c:v>
                </c:pt>
                <c:pt idx="1516">
                  <c:v>50054</c:v>
                </c:pt>
                <c:pt idx="1517">
                  <c:v>50061</c:v>
                </c:pt>
                <c:pt idx="1518">
                  <c:v>50068</c:v>
                </c:pt>
                <c:pt idx="1519">
                  <c:v>50075</c:v>
                </c:pt>
                <c:pt idx="1520">
                  <c:v>50082</c:v>
                </c:pt>
                <c:pt idx="1521">
                  <c:v>50089</c:v>
                </c:pt>
                <c:pt idx="1522">
                  <c:v>50096</c:v>
                </c:pt>
                <c:pt idx="1523">
                  <c:v>50103</c:v>
                </c:pt>
                <c:pt idx="1524">
                  <c:v>50110</c:v>
                </c:pt>
                <c:pt idx="1525">
                  <c:v>50117</c:v>
                </c:pt>
                <c:pt idx="1526">
                  <c:v>50124</c:v>
                </c:pt>
                <c:pt idx="1527">
                  <c:v>50131</c:v>
                </c:pt>
                <c:pt idx="1528">
                  <c:v>50139</c:v>
                </c:pt>
                <c:pt idx="1529">
                  <c:v>50146</c:v>
                </c:pt>
                <c:pt idx="1530">
                  <c:v>50153</c:v>
                </c:pt>
                <c:pt idx="1531">
                  <c:v>50160</c:v>
                </c:pt>
                <c:pt idx="1532">
                  <c:v>50167</c:v>
                </c:pt>
                <c:pt idx="1533">
                  <c:v>50175</c:v>
                </c:pt>
                <c:pt idx="1534">
                  <c:v>50181</c:v>
                </c:pt>
                <c:pt idx="1535">
                  <c:v>50188</c:v>
                </c:pt>
                <c:pt idx="1536">
                  <c:v>50195</c:v>
                </c:pt>
                <c:pt idx="1537">
                  <c:v>50202</c:v>
                </c:pt>
                <c:pt idx="1538">
                  <c:v>50209</c:v>
                </c:pt>
                <c:pt idx="1539">
                  <c:v>50216</c:v>
                </c:pt>
                <c:pt idx="1540">
                  <c:v>50223</c:v>
                </c:pt>
                <c:pt idx="1541">
                  <c:v>50230</c:v>
                </c:pt>
                <c:pt idx="1542">
                  <c:v>50237</c:v>
                </c:pt>
                <c:pt idx="1543">
                  <c:v>50244</c:v>
                </c:pt>
                <c:pt idx="1544">
                  <c:v>50251</c:v>
                </c:pt>
                <c:pt idx="1545">
                  <c:v>50258</c:v>
                </c:pt>
                <c:pt idx="1546">
                  <c:v>50265</c:v>
                </c:pt>
                <c:pt idx="1547">
                  <c:v>50272</c:v>
                </c:pt>
                <c:pt idx="1548">
                  <c:v>50279</c:v>
                </c:pt>
                <c:pt idx="1549">
                  <c:v>50286</c:v>
                </c:pt>
                <c:pt idx="1550">
                  <c:v>50293</c:v>
                </c:pt>
                <c:pt idx="1551">
                  <c:v>50300</c:v>
                </c:pt>
                <c:pt idx="1552">
                  <c:v>50307</c:v>
                </c:pt>
                <c:pt idx="1553">
                  <c:v>50314</c:v>
                </c:pt>
                <c:pt idx="1554">
                  <c:v>50321</c:v>
                </c:pt>
                <c:pt idx="1555">
                  <c:v>50328</c:v>
                </c:pt>
                <c:pt idx="1556">
                  <c:v>50335</c:v>
                </c:pt>
                <c:pt idx="1557">
                  <c:v>50342</c:v>
                </c:pt>
                <c:pt idx="1558">
                  <c:v>50349</c:v>
                </c:pt>
                <c:pt idx="1559">
                  <c:v>50356</c:v>
                </c:pt>
                <c:pt idx="1560">
                  <c:v>50363</c:v>
                </c:pt>
                <c:pt idx="1561">
                  <c:v>50370</c:v>
                </c:pt>
                <c:pt idx="1562">
                  <c:v>50377</c:v>
                </c:pt>
                <c:pt idx="1563">
                  <c:v>50384</c:v>
                </c:pt>
                <c:pt idx="1564">
                  <c:v>50391</c:v>
                </c:pt>
                <c:pt idx="1565">
                  <c:v>50402</c:v>
                </c:pt>
                <c:pt idx="1566">
                  <c:v>50409</c:v>
                </c:pt>
                <c:pt idx="1567">
                  <c:v>50413</c:v>
                </c:pt>
                <c:pt idx="1568">
                  <c:v>50419</c:v>
                </c:pt>
                <c:pt idx="1569">
                  <c:v>50426</c:v>
                </c:pt>
                <c:pt idx="1570">
                  <c:v>50433</c:v>
                </c:pt>
                <c:pt idx="1571">
                  <c:v>50440</c:v>
                </c:pt>
                <c:pt idx="1572">
                  <c:v>50447</c:v>
                </c:pt>
                <c:pt idx="1573">
                  <c:v>50454</c:v>
                </c:pt>
                <c:pt idx="1574">
                  <c:v>50461</c:v>
                </c:pt>
                <c:pt idx="1575">
                  <c:v>50468</c:v>
                </c:pt>
                <c:pt idx="1576">
                  <c:v>50475</c:v>
                </c:pt>
                <c:pt idx="1577">
                  <c:v>50482</c:v>
                </c:pt>
                <c:pt idx="1578">
                  <c:v>50489</c:v>
                </c:pt>
                <c:pt idx="1579">
                  <c:v>50496</c:v>
                </c:pt>
                <c:pt idx="1580">
                  <c:v>50503</c:v>
                </c:pt>
                <c:pt idx="1581">
                  <c:v>50510</c:v>
                </c:pt>
                <c:pt idx="1582">
                  <c:v>50517</c:v>
                </c:pt>
                <c:pt idx="1583">
                  <c:v>50524</c:v>
                </c:pt>
                <c:pt idx="1584">
                  <c:v>50531</c:v>
                </c:pt>
                <c:pt idx="1585">
                  <c:v>50538</c:v>
                </c:pt>
                <c:pt idx="1586">
                  <c:v>50545</c:v>
                </c:pt>
                <c:pt idx="1587">
                  <c:v>50552</c:v>
                </c:pt>
                <c:pt idx="1588">
                  <c:v>50560</c:v>
                </c:pt>
                <c:pt idx="1589">
                  <c:v>50566</c:v>
                </c:pt>
                <c:pt idx="1590">
                  <c:v>50573</c:v>
                </c:pt>
                <c:pt idx="1591">
                  <c:v>50580</c:v>
                </c:pt>
                <c:pt idx="1592">
                  <c:v>50587</c:v>
                </c:pt>
                <c:pt idx="1593">
                  <c:v>50594</c:v>
                </c:pt>
                <c:pt idx="1594">
                  <c:v>50601</c:v>
                </c:pt>
                <c:pt idx="1595">
                  <c:v>50608</c:v>
                </c:pt>
                <c:pt idx="1596">
                  <c:v>50615</c:v>
                </c:pt>
                <c:pt idx="1597">
                  <c:v>50622</c:v>
                </c:pt>
                <c:pt idx="1598">
                  <c:v>50629</c:v>
                </c:pt>
                <c:pt idx="1599">
                  <c:v>50636</c:v>
                </c:pt>
                <c:pt idx="1600">
                  <c:v>50643</c:v>
                </c:pt>
                <c:pt idx="1601">
                  <c:v>50650</c:v>
                </c:pt>
                <c:pt idx="1602">
                  <c:v>50657</c:v>
                </c:pt>
                <c:pt idx="1603">
                  <c:v>50664</c:v>
                </c:pt>
                <c:pt idx="1604">
                  <c:v>50671</c:v>
                </c:pt>
                <c:pt idx="1605">
                  <c:v>50678</c:v>
                </c:pt>
                <c:pt idx="1606">
                  <c:v>50685</c:v>
                </c:pt>
                <c:pt idx="1607">
                  <c:v>50692</c:v>
                </c:pt>
                <c:pt idx="1608">
                  <c:v>50699</c:v>
                </c:pt>
                <c:pt idx="1609">
                  <c:v>50706</c:v>
                </c:pt>
                <c:pt idx="1610">
                  <c:v>50713</c:v>
                </c:pt>
                <c:pt idx="1611">
                  <c:v>50720</c:v>
                </c:pt>
                <c:pt idx="1612">
                  <c:v>50727</c:v>
                </c:pt>
                <c:pt idx="1613">
                  <c:v>50734</c:v>
                </c:pt>
                <c:pt idx="1614">
                  <c:v>50741</c:v>
                </c:pt>
                <c:pt idx="1615">
                  <c:v>50748</c:v>
                </c:pt>
                <c:pt idx="1616">
                  <c:v>50755</c:v>
                </c:pt>
                <c:pt idx="1617">
                  <c:v>50762</c:v>
                </c:pt>
                <c:pt idx="1618">
                  <c:v>50769</c:v>
                </c:pt>
                <c:pt idx="1619">
                  <c:v>50777</c:v>
                </c:pt>
                <c:pt idx="1620">
                  <c:v>50783</c:v>
                </c:pt>
                <c:pt idx="1621">
                  <c:v>50790</c:v>
                </c:pt>
                <c:pt idx="1622">
                  <c:v>50797</c:v>
                </c:pt>
                <c:pt idx="1623">
                  <c:v>50804</c:v>
                </c:pt>
                <c:pt idx="1624">
                  <c:v>50811</c:v>
                </c:pt>
                <c:pt idx="1625">
                  <c:v>50818</c:v>
                </c:pt>
                <c:pt idx="1626">
                  <c:v>50825</c:v>
                </c:pt>
                <c:pt idx="1627">
                  <c:v>50832</c:v>
                </c:pt>
                <c:pt idx="1628">
                  <c:v>50839</c:v>
                </c:pt>
                <c:pt idx="1629">
                  <c:v>50846</c:v>
                </c:pt>
                <c:pt idx="1630">
                  <c:v>50853</c:v>
                </c:pt>
                <c:pt idx="1631">
                  <c:v>50860</c:v>
                </c:pt>
                <c:pt idx="1632">
                  <c:v>50867</c:v>
                </c:pt>
                <c:pt idx="1633">
                  <c:v>50874</c:v>
                </c:pt>
                <c:pt idx="1634">
                  <c:v>50881</c:v>
                </c:pt>
                <c:pt idx="1635">
                  <c:v>50888</c:v>
                </c:pt>
                <c:pt idx="1636">
                  <c:v>50895</c:v>
                </c:pt>
                <c:pt idx="1637">
                  <c:v>50902</c:v>
                </c:pt>
                <c:pt idx="1638">
                  <c:v>50910</c:v>
                </c:pt>
                <c:pt idx="1639">
                  <c:v>50916</c:v>
                </c:pt>
                <c:pt idx="1640">
                  <c:v>50923</c:v>
                </c:pt>
                <c:pt idx="1641">
                  <c:v>50930</c:v>
                </c:pt>
                <c:pt idx="1642">
                  <c:v>50937</c:v>
                </c:pt>
                <c:pt idx="1643">
                  <c:v>50944</c:v>
                </c:pt>
                <c:pt idx="1644">
                  <c:v>50951</c:v>
                </c:pt>
                <c:pt idx="1645">
                  <c:v>50958</c:v>
                </c:pt>
                <c:pt idx="1646">
                  <c:v>50965</c:v>
                </c:pt>
                <c:pt idx="1647">
                  <c:v>50972</c:v>
                </c:pt>
                <c:pt idx="1648">
                  <c:v>50979</c:v>
                </c:pt>
                <c:pt idx="1649">
                  <c:v>50986</c:v>
                </c:pt>
                <c:pt idx="1650">
                  <c:v>50993</c:v>
                </c:pt>
                <c:pt idx="1651">
                  <c:v>51000</c:v>
                </c:pt>
                <c:pt idx="1652">
                  <c:v>51007</c:v>
                </c:pt>
                <c:pt idx="1653">
                  <c:v>51014</c:v>
                </c:pt>
                <c:pt idx="1654">
                  <c:v>51021</c:v>
                </c:pt>
                <c:pt idx="1655">
                  <c:v>51028</c:v>
                </c:pt>
                <c:pt idx="1656">
                  <c:v>51035</c:v>
                </c:pt>
                <c:pt idx="1657">
                  <c:v>51042</c:v>
                </c:pt>
                <c:pt idx="1658">
                  <c:v>51049</c:v>
                </c:pt>
                <c:pt idx="1659">
                  <c:v>51056</c:v>
                </c:pt>
                <c:pt idx="1660">
                  <c:v>51063</c:v>
                </c:pt>
                <c:pt idx="1661">
                  <c:v>51070</c:v>
                </c:pt>
                <c:pt idx="1662">
                  <c:v>51077</c:v>
                </c:pt>
                <c:pt idx="1663">
                  <c:v>51084</c:v>
                </c:pt>
                <c:pt idx="1664">
                  <c:v>51091</c:v>
                </c:pt>
                <c:pt idx="1665">
                  <c:v>51098</c:v>
                </c:pt>
                <c:pt idx="1666">
                  <c:v>51105</c:v>
                </c:pt>
                <c:pt idx="1667">
                  <c:v>51112</c:v>
                </c:pt>
                <c:pt idx="1668">
                  <c:v>51119</c:v>
                </c:pt>
                <c:pt idx="1669">
                  <c:v>51126</c:v>
                </c:pt>
                <c:pt idx="1670">
                  <c:v>51133</c:v>
                </c:pt>
                <c:pt idx="1671">
                  <c:v>51140</c:v>
                </c:pt>
                <c:pt idx="1672">
                  <c:v>51147</c:v>
                </c:pt>
                <c:pt idx="1673">
                  <c:v>51154</c:v>
                </c:pt>
                <c:pt idx="1674">
                  <c:v>51161</c:v>
                </c:pt>
                <c:pt idx="1675">
                  <c:v>51168</c:v>
                </c:pt>
                <c:pt idx="1676">
                  <c:v>51175</c:v>
                </c:pt>
                <c:pt idx="1677">
                  <c:v>51182</c:v>
                </c:pt>
                <c:pt idx="1678">
                  <c:v>51189</c:v>
                </c:pt>
                <c:pt idx="1679">
                  <c:v>51196</c:v>
                </c:pt>
                <c:pt idx="1680">
                  <c:v>51203</c:v>
                </c:pt>
                <c:pt idx="1681">
                  <c:v>51210</c:v>
                </c:pt>
                <c:pt idx="1682">
                  <c:v>51217</c:v>
                </c:pt>
                <c:pt idx="1683">
                  <c:v>51224</c:v>
                </c:pt>
                <c:pt idx="1684">
                  <c:v>51231</c:v>
                </c:pt>
                <c:pt idx="1685">
                  <c:v>51238</c:v>
                </c:pt>
                <c:pt idx="1686">
                  <c:v>51245</c:v>
                </c:pt>
                <c:pt idx="1687">
                  <c:v>51252</c:v>
                </c:pt>
                <c:pt idx="1688">
                  <c:v>51260</c:v>
                </c:pt>
                <c:pt idx="1689">
                  <c:v>51270</c:v>
                </c:pt>
                <c:pt idx="1690">
                  <c:v>51274</c:v>
                </c:pt>
                <c:pt idx="1691">
                  <c:v>51281</c:v>
                </c:pt>
                <c:pt idx="1692">
                  <c:v>51288</c:v>
                </c:pt>
                <c:pt idx="1693">
                  <c:v>51295</c:v>
                </c:pt>
                <c:pt idx="1694">
                  <c:v>51302</c:v>
                </c:pt>
                <c:pt idx="1695">
                  <c:v>51312</c:v>
                </c:pt>
                <c:pt idx="1696">
                  <c:v>51316</c:v>
                </c:pt>
                <c:pt idx="1697">
                  <c:v>51323</c:v>
                </c:pt>
                <c:pt idx="1698">
                  <c:v>51330</c:v>
                </c:pt>
                <c:pt idx="1699">
                  <c:v>51337</c:v>
                </c:pt>
                <c:pt idx="1700">
                  <c:v>51344</c:v>
                </c:pt>
                <c:pt idx="1701">
                  <c:v>51351</c:v>
                </c:pt>
                <c:pt idx="1702">
                  <c:v>51358</c:v>
                </c:pt>
                <c:pt idx="1703">
                  <c:v>51365</c:v>
                </c:pt>
                <c:pt idx="1704">
                  <c:v>51372</c:v>
                </c:pt>
                <c:pt idx="1705">
                  <c:v>51379</c:v>
                </c:pt>
                <c:pt idx="1706">
                  <c:v>51386</c:v>
                </c:pt>
                <c:pt idx="1707">
                  <c:v>51393</c:v>
                </c:pt>
                <c:pt idx="1708">
                  <c:v>51400</c:v>
                </c:pt>
                <c:pt idx="1709">
                  <c:v>51407</c:v>
                </c:pt>
                <c:pt idx="1710">
                  <c:v>51414</c:v>
                </c:pt>
                <c:pt idx="1711">
                  <c:v>51421</c:v>
                </c:pt>
                <c:pt idx="1712">
                  <c:v>51428</c:v>
                </c:pt>
                <c:pt idx="1713">
                  <c:v>51435</c:v>
                </c:pt>
                <c:pt idx="1714">
                  <c:v>51442</c:v>
                </c:pt>
                <c:pt idx="1715">
                  <c:v>51449</c:v>
                </c:pt>
                <c:pt idx="1716">
                  <c:v>51456</c:v>
                </c:pt>
                <c:pt idx="1717">
                  <c:v>51463</c:v>
                </c:pt>
                <c:pt idx="1718">
                  <c:v>51470</c:v>
                </c:pt>
                <c:pt idx="1719">
                  <c:v>51477</c:v>
                </c:pt>
                <c:pt idx="1720">
                  <c:v>51484</c:v>
                </c:pt>
                <c:pt idx="1721">
                  <c:v>51491</c:v>
                </c:pt>
                <c:pt idx="1722">
                  <c:v>51503</c:v>
                </c:pt>
                <c:pt idx="1723">
                  <c:v>51508</c:v>
                </c:pt>
                <c:pt idx="1724">
                  <c:v>51515</c:v>
                </c:pt>
                <c:pt idx="1725">
                  <c:v>51522</c:v>
                </c:pt>
                <c:pt idx="1726">
                  <c:v>51529</c:v>
                </c:pt>
                <c:pt idx="1727">
                  <c:v>51536</c:v>
                </c:pt>
                <c:pt idx="1728">
                  <c:v>51543</c:v>
                </c:pt>
                <c:pt idx="1729">
                  <c:v>51550</c:v>
                </c:pt>
                <c:pt idx="1730">
                  <c:v>51557</c:v>
                </c:pt>
                <c:pt idx="1731">
                  <c:v>51564</c:v>
                </c:pt>
                <c:pt idx="1732">
                  <c:v>51571</c:v>
                </c:pt>
                <c:pt idx="1733">
                  <c:v>51578</c:v>
                </c:pt>
                <c:pt idx="1734">
                  <c:v>51585</c:v>
                </c:pt>
                <c:pt idx="1735">
                  <c:v>51592</c:v>
                </c:pt>
                <c:pt idx="1736">
                  <c:v>51599</c:v>
                </c:pt>
                <c:pt idx="1737">
                  <c:v>51606</c:v>
                </c:pt>
                <c:pt idx="1738">
                  <c:v>51615</c:v>
                </c:pt>
                <c:pt idx="1739">
                  <c:v>51620</c:v>
                </c:pt>
                <c:pt idx="1740">
                  <c:v>51627</c:v>
                </c:pt>
                <c:pt idx="1741">
                  <c:v>51634</c:v>
                </c:pt>
                <c:pt idx="1742">
                  <c:v>51641</c:v>
                </c:pt>
                <c:pt idx="1743">
                  <c:v>51648</c:v>
                </c:pt>
                <c:pt idx="1744">
                  <c:v>51656</c:v>
                </c:pt>
                <c:pt idx="1745">
                  <c:v>51664</c:v>
                </c:pt>
                <c:pt idx="1746">
                  <c:v>51670</c:v>
                </c:pt>
                <c:pt idx="1747">
                  <c:v>51678</c:v>
                </c:pt>
                <c:pt idx="1748">
                  <c:v>51685</c:v>
                </c:pt>
                <c:pt idx="1749">
                  <c:v>51692</c:v>
                </c:pt>
                <c:pt idx="1750">
                  <c:v>51699</c:v>
                </c:pt>
                <c:pt idx="1751">
                  <c:v>51706</c:v>
                </c:pt>
                <c:pt idx="1752">
                  <c:v>51713</c:v>
                </c:pt>
                <c:pt idx="1753">
                  <c:v>51720</c:v>
                </c:pt>
                <c:pt idx="1754">
                  <c:v>51727</c:v>
                </c:pt>
                <c:pt idx="1755">
                  <c:v>51734</c:v>
                </c:pt>
                <c:pt idx="1756">
                  <c:v>51741</c:v>
                </c:pt>
                <c:pt idx="1757">
                  <c:v>51748</c:v>
                </c:pt>
                <c:pt idx="1758">
                  <c:v>51755</c:v>
                </c:pt>
                <c:pt idx="1759">
                  <c:v>51762</c:v>
                </c:pt>
                <c:pt idx="1760">
                  <c:v>51769</c:v>
                </c:pt>
                <c:pt idx="1761">
                  <c:v>51776</c:v>
                </c:pt>
                <c:pt idx="1762">
                  <c:v>51783</c:v>
                </c:pt>
                <c:pt idx="1763">
                  <c:v>51790</c:v>
                </c:pt>
                <c:pt idx="1764">
                  <c:v>51797</c:v>
                </c:pt>
                <c:pt idx="1765">
                  <c:v>51804</c:v>
                </c:pt>
                <c:pt idx="1766">
                  <c:v>51811</c:v>
                </c:pt>
                <c:pt idx="1767">
                  <c:v>51818</c:v>
                </c:pt>
                <c:pt idx="1768">
                  <c:v>51825</c:v>
                </c:pt>
                <c:pt idx="1769">
                  <c:v>51832</c:v>
                </c:pt>
                <c:pt idx="1770">
                  <c:v>51839</c:v>
                </c:pt>
                <c:pt idx="1771">
                  <c:v>51846</c:v>
                </c:pt>
                <c:pt idx="1772">
                  <c:v>51853</c:v>
                </c:pt>
                <c:pt idx="1773">
                  <c:v>51865</c:v>
                </c:pt>
                <c:pt idx="1774">
                  <c:v>51869</c:v>
                </c:pt>
                <c:pt idx="1775">
                  <c:v>51875</c:v>
                </c:pt>
                <c:pt idx="1776">
                  <c:v>51882</c:v>
                </c:pt>
                <c:pt idx="1777">
                  <c:v>51889</c:v>
                </c:pt>
                <c:pt idx="1778">
                  <c:v>51896</c:v>
                </c:pt>
                <c:pt idx="1779">
                  <c:v>51903</c:v>
                </c:pt>
                <c:pt idx="1780">
                  <c:v>51910</c:v>
                </c:pt>
                <c:pt idx="1781">
                  <c:v>51917</c:v>
                </c:pt>
                <c:pt idx="1782">
                  <c:v>51924</c:v>
                </c:pt>
                <c:pt idx="1783">
                  <c:v>51931</c:v>
                </c:pt>
                <c:pt idx="1784">
                  <c:v>51938</c:v>
                </c:pt>
                <c:pt idx="1785">
                  <c:v>51945</c:v>
                </c:pt>
                <c:pt idx="1786">
                  <c:v>51952</c:v>
                </c:pt>
                <c:pt idx="1787">
                  <c:v>51959</c:v>
                </c:pt>
                <c:pt idx="1788">
                  <c:v>51966</c:v>
                </c:pt>
                <c:pt idx="1789">
                  <c:v>51973</c:v>
                </c:pt>
                <c:pt idx="1790">
                  <c:v>51980</c:v>
                </c:pt>
                <c:pt idx="1791">
                  <c:v>51988</c:v>
                </c:pt>
                <c:pt idx="1792">
                  <c:v>51994</c:v>
                </c:pt>
                <c:pt idx="1793">
                  <c:v>52002</c:v>
                </c:pt>
                <c:pt idx="1794">
                  <c:v>52008</c:v>
                </c:pt>
                <c:pt idx="1795">
                  <c:v>52015</c:v>
                </c:pt>
                <c:pt idx="1796">
                  <c:v>52022</c:v>
                </c:pt>
                <c:pt idx="1797">
                  <c:v>52029</c:v>
                </c:pt>
                <c:pt idx="1798">
                  <c:v>52036</c:v>
                </c:pt>
                <c:pt idx="1799">
                  <c:v>52043</c:v>
                </c:pt>
                <c:pt idx="1800">
                  <c:v>52050</c:v>
                </c:pt>
                <c:pt idx="1801">
                  <c:v>52057</c:v>
                </c:pt>
                <c:pt idx="1802">
                  <c:v>52064</c:v>
                </c:pt>
                <c:pt idx="1803">
                  <c:v>52071</c:v>
                </c:pt>
                <c:pt idx="1804">
                  <c:v>52078</c:v>
                </c:pt>
                <c:pt idx="1805">
                  <c:v>52085</c:v>
                </c:pt>
                <c:pt idx="1806">
                  <c:v>52092</c:v>
                </c:pt>
                <c:pt idx="1807">
                  <c:v>52099</c:v>
                </c:pt>
                <c:pt idx="1808">
                  <c:v>52106</c:v>
                </c:pt>
                <c:pt idx="1809">
                  <c:v>52113</c:v>
                </c:pt>
                <c:pt idx="1810">
                  <c:v>52120</c:v>
                </c:pt>
                <c:pt idx="1811">
                  <c:v>52127</c:v>
                </c:pt>
                <c:pt idx="1812">
                  <c:v>52134</c:v>
                </c:pt>
                <c:pt idx="1813">
                  <c:v>52141</c:v>
                </c:pt>
                <c:pt idx="1814">
                  <c:v>52148</c:v>
                </c:pt>
                <c:pt idx="1815">
                  <c:v>52155</c:v>
                </c:pt>
                <c:pt idx="1816">
                  <c:v>52162</c:v>
                </c:pt>
                <c:pt idx="1817">
                  <c:v>52169</c:v>
                </c:pt>
                <c:pt idx="1818">
                  <c:v>52176</c:v>
                </c:pt>
                <c:pt idx="1819">
                  <c:v>52183</c:v>
                </c:pt>
                <c:pt idx="1820">
                  <c:v>52190</c:v>
                </c:pt>
                <c:pt idx="1821">
                  <c:v>52197</c:v>
                </c:pt>
                <c:pt idx="1822">
                  <c:v>52204</c:v>
                </c:pt>
                <c:pt idx="1823">
                  <c:v>52211</c:v>
                </c:pt>
                <c:pt idx="1824">
                  <c:v>52218</c:v>
                </c:pt>
                <c:pt idx="1825">
                  <c:v>52230</c:v>
                </c:pt>
                <c:pt idx="1826">
                  <c:v>52236</c:v>
                </c:pt>
                <c:pt idx="1827">
                  <c:v>52240</c:v>
                </c:pt>
                <c:pt idx="1828">
                  <c:v>52247</c:v>
                </c:pt>
                <c:pt idx="1829">
                  <c:v>52254</c:v>
                </c:pt>
                <c:pt idx="1830">
                  <c:v>52261</c:v>
                </c:pt>
                <c:pt idx="1831">
                  <c:v>52268</c:v>
                </c:pt>
                <c:pt idx="1832">
                  <c:v>52275</c:v>
                </c:pt>
                <c:pt idx="1833">
                  <c:v>52282</c:v>
                </c:pt>
                <c:pt idx="1834">
                  <c:v>52289</c:v>
                </c:pt>
                <c:pt idx="1835">
                  <c:v>52296</c:v>
                </c:pt>
                <c:pt idx="1836">
                  <c:v>52303</c:v>
                </c:pt>
                <c:pt idx="1837">
                  <c:v>52310</c:v>
                </c:pt>
                <c:pt idx="1838">
                  <c:v>52321</c:v>
                </c:pt>
                <c:pt idx="1839">
                  <c:v>52324</c:v>
                </c:pt>
                <c:pt idx="1840">
                  <c:v>52331</c:v>
                </c:pt>
                <c:pt idx="1841">
                  <c:v>52338</c:v>
                </c:pt>
                <c:pt idx="1842">
                  <c:v>52345</c:v>
                </c:pt>
                <c:pt idx="1843">
                  <c:v>52355</c:v>
                </c:pt>
                <c:pt idx="1844">
                  <c:v>52362</c:v>
                </c:pt>
                <c:pt idx="1845">
                  <c:v>52366</c:v>
                </c:pt>
                <c:pt idx="1846">
                  <c:v>52373</c:v>
                </c:pt>
                <c:pt idx="1847">
                  <c:v>52380</c:v>
                </c:pt>
                <c:pt idx="1848">
                  <c:v>52387</c:v>
                </c:pt>
                <c:pt idx="1849">
                  <c:v>52394</c:v>
                </c:pt>
                <c:pt idx="1850">
                  <c:v>52404</c:v>
                </c:pt>
                <c:pt idx="1851">
                  <c:v>52408</c:v>
                </c:pt>
                <c:pt idx="1852">
                  <c:v>52415</c:v>
                </c:pt>
                <c:pt idx="1853">
                  <c:v>52422</c:v>
                </c:pt>
                <c:pt idx="1854">
                  <c:v>52429</c:v>
                </c:pt>
                <c:pt idx="1855">
                  <c:v>52436</c:v>
                </c:pt>
                <c:pt idx="1856">
                  <c:v>52443</c:v>
                </c:pt>
                <c:pt idx="1857">
                  <c:v>52450</c:v>
                </c:pt>
                <c:pt idx="1858">
                  <c:v>52457</c:v>
                </c:pt>
                <c:pt idx="1859">
                  <c:v>52464</c:v>
                </c:pt>
                <c:pt idx="1860">
                  <c:v>52471</c:v>
                </c:pt>
                <c:pt idx="1861">
                  <c:v>52478</c:v>
                </c:pt>
                <c:pt idx="1862">
                  <c:v>52485</c:v>
                </c:pt>
                <c:pt idx="1863">
                  <c:v>52492</c:v>
                </c:pt>
                <c:pt idx="1864">
                  <c:v>52499</c:v>
                </c:pt>
                <c:pt idx="1865">
                  <c:v>52506</c:v>
                </c:pt>
                <c:pt idx="1866">
                  <c:v>52513</c:v>
                </c:pt>
                <c:pt idx="1867">
                  <c:v>52520</c:v>
                </c:pt>
                <c:pt idx="1868">
                  <c:v>52527</c:v>
                </c:pt>
                <c:pt idx="1869">
                  <c:v>52534</c:v>
                </c:pt>
                <c:pt idx="1870">
                  <c:v>52541</c:v>
                </c:pt>
                <c:pt idx="1871">
                  <c:v>52548</c:v>
                </c:pt>
                <c:pt idx="1872">
                  <c:v>52555</c:v>
                </c:pt>
                <c:pt idx="1873">
                  <c:v>52562</c:v>
                </c:pt>
                <c:pt idx="1874">
                  <c:v>52569</c:v>
                </c:pt>
                <c:pt idx="1875">
                  <c:v>52576</c:v>
                </c:pt>
                <c:pt idx="1876">
                  <c:v>52583</c:v>
                </c:pt>
                <c:pt idx="1877">
                  <c:v>52594</c:v>
                </c:pt>
                <c:pt idx="1878">
                  <c:v>52601</c:v>
                </c:pt>
                <c:pt idx="1879">
                  <c:v>52607</c:v>
                </c:pt>
                <c:pt idx="1880">
                  <c:v>52614</c:v>
                </c:pt>
                <c:pt idx="1881">
                  <c:v>52621</c:v>
                </c:pt>
                <c:pt idx="1882">
                  <c:v>52628</c:v>
                </c:pt>
                <c:pt idx="1883">
                  <c:v>52635</c:v>
                </c:pt>
                <c:pt idx="1884">
                  <c:v>52642</c:v>
                </c:pt>
                <c:pt idx="1885">
                  <c:v>52649</c:v>
                </c:pt>
                <c:pt idx="1886">
                  <c:v>52656</c:v>
                </c:pt>
                <c:pt idx="1887">
                  <c:v>52663</c:v>
                </c:pt>
                <c:pt idx="1888">
                  <c:v>52670</c:v>
                </c:pt>
                <c:pt idx="1889">
                  <c:v>52677</c:v>
                </c:pt>
                <c:pt idx="1890">
                  <c:v>52684</c:v>
                </c:pt>
                <c:pt idx="1891">
                  <c:v>52691</c:v>
                </c:pt>
                <c:pt idx="1892">
                  <c:v>52698</c:v>
                </c:pt>
                <c:pt idx="1893">
                  <c:v>52707</c:v>
                </c:pt>
                <c:pt idx="1894">
                  <c:v>52712</c:v>
                </c:pt>
                <c:pt idx="1895">
                  <c:v>52719</c:v>
                </c:pt>
                <c:pt idx="1896">
                  <c:v>52726</c:v>
                </c:pt>
                <c:pt idx="1897">
                  <c:v>52733</c:v>
                </c:pt>
                <c:pt idx="1898">
                  <c:v>52740</c:v>
                </c:pt>
                <c:pt idx="1899">
                  <c:v>52748</c:v>
                </c:pt>
                <c:pt idx="1900">
                  <c:v>52756</c:v>
                </c:pt>
                <c:pt idx="1901">
                  <c:v>52762</c:v>
                </c:pt>
                <c:pt idx="1902">
                  <c:v>52769</c:v>
                </c:pt>
                <c:pt idx="1903">
                  <c:v>52777</c:v>
                </c:pt>
                <c:pt idx="1904">
                  <c:v>52784</c:v>
                </c:pt>
                <c:pt idx="1905">
                  <c:v>52791</c:v>
                </c:pt>
                <c:pt idx="1906">
                  <c:v>52798</c:v>
                </c:pt>
                <c:pt idx="1907">
                  <c:v>52805</c:v>
                </c:pt>
                <c:pt idx="1908">
                  <c:v>52812</c:v>
                </c:pt>
                <c:pt idx="1909">
                  <c:v>52819</c:v>
                </c:pt>
                <c:pt idx="1910">
                  <c:v>52826</c:v>
                </c:pt>
                <c:pt idx="1911">
                  <c:v>52833</c:v>
                </c:pt>
                <c:pt idx="1912">
                  <c:v>52840</c:v>
                </c:pt>
                <c:pt idx="1913">
                  <c:v>52847</c:v>
                </c:pt>
                <c:pt idx="1914">
                  <c:v>52854</c:v>
                </c:pt>
                <c:pt idx="1915">
                  <c:v>52861</c:v>
                </c:pt>
                <c:pt idx="1916">
                  <c:v>52868</c:v>
                </c:pt>
                <c:pt idx="1917">
                  <c:v>52875</c:v>
                </c:pt>
                <c:pt idx="1918">
                  <c:v>52882</c:v>
                </c:pt>
                <c:pt idx="1919">
                  <c:v>52889</c:v>
                </c:pt>
                <c:pt idx="1920">
                  <c:v>52896</c:v>
                </c:pt>
                <c:pt idx="1921">
                  <c:v>52903</c:v>
                </c:pt>
                <c:pt idx="1922">
                  <c:v>52910</c:v>
                </c:pt>
                <c:pt idx="1923">
                  <c:v>52917</c:v>
                </c:pt>
                <c:pt idx="1924">
                  <c:v>52924</c:v>
                </c:pt>
                <c:pt idx="1925">
                  <c:v>52931</c:v>
                </c:pt>
                <c:pt idx="1926">
                  <c:v>52938</c:v>
                </c:pt>
                <c:pt idx="1927">
                  <c:v>52945</c:v>
                </c:pt>
                <c:pt idx="1928">
                  <c:v>52952</c:v>
                </c:pt>
                <c:pt idx="1929">
                  <c:v>52960</c:v>
                </c:pt>
                <c:pt idx="1930">
                  <c:v>52967</c:v>
                </c:pt>
                <c:pt idx="1931">
                  <c:v>52974</c:v>
                </c:pt>
                <c:pt idx="1932">
                  <c:v>52981</c:v>
                </c:pt>
                <c:pt idx="1933">
                  <c:v>52988</c:v>
                </c:pt>
                <c:pt idx="1934">
                  <c:v>52995</c:v>
                </c:pt>
                <c:pt idx="1935">
                  <c:v>53002</c:v>
                </c:pt>
                <c:pt idx="1936">
                  <c:v>53009</c:v>
                </c:pt>
                <c:pt idx="1937">
                  <c:v>53016</c:v>
                </c:pt>
                <c:pt idx="1938">
                  <c:v>53023</c:v>
                </c:pt>
                <c:pt idx="1939">
                  <c:v>53030</c:v>
                </c:pt>
                <c:pt idx="1940">
                  <c:v>53037</c:v>
                </c:pt>
                <c:pt idx="1941">
                  <c:v>53044</c:v>
                </c:pt>
                <c:pt idx="1942">
                  <c:v>53051</c:v>
                </c:pt>
                <c:pt idx="1943">
                  <c:v>53058</c:v>
                </c:pt>
                <c:pt idx="1944">
                  <c:v>53065</c:v>
                </c:pt>
                <c:pt idx="1945">
                  <c:v>53072</c:v>
                </c:pt>
                <c:pt idx="1946">
                  <c:v>53079</c:v>
                </c:pt>
                <c:pt idx="1947">
                  <c:v>53086</c:v>
                </c:pt>
                <c:pt idx="1948">
                  <c:v>53093</c:v>
                </c:pt>
                <c:pt idx="1949">
                  <c:v>53101</c:v>
                </c:pt>
                <c:pt idx="1950">
                  <c:v>53107</c:v>
                </c:pt>
                <c:pt idx="1951">
                  <c:v>53114</c:v>
                </c:pt>
                <c:pt idx="1952">
                  <c:v>53121</c:v>
                </c:pt>
                <c:pt idx="1953">
                  <c:v>53128</c:v>
                </c:pt>
                <c:pt idx="1954">
                  <c:v>53135</c:v>
                </c:pt>
                <c:pt idx="1955">
                  <c:v>53142</c:v>
                </c:pt>
                <c:pt idx="1956">
                  <c:v>53149</c:v>
                </c:pt>
                <c:pt idx="1957">
                  <c:v>53156</c:v>
                </c:pt>
                <c:pt idx="1958">
                  <c:v>53163</c:v>
                </c:pt>
                <c:pt idx="1959">
                  <c:v>53170</c:v>
                </c:pt>
                <c:pt idx="1960">
                  <c:v>53177</c:v>
                </c:pt>
                <c:pt idx="1961">
                  <c:v>53184</c:v>
                </c:pt>
                <c:pt idx="1962">
                  <c:v>53191</c:v>
                </c:pt>
                <c:pt idx="1963">
                  <c:v>53198</c:v>
                </c:pt>
                <c:pt idx="1964">
                  <c:v>53205</c:v>
                </c:pt>
                <c:pt idx="1965">
                  <c:v>53212</c:v>
                </c:pt>
                <c:pt idx="1966">
                  <c:v>53219</c:v>
                </c:pt>
                <c:pt idx="1967">
                  <c:v>53226</c:v>
                </c:pt>
                <c:pt idx="1968">
                  <c:v>53233</c:v>
                </c:pt>
                <c:pt idx="1969">
                  <c:v>53240</c:v>
                </c:pt>
                <c:pt idx="1970">
                  <c:v>53247</c:v>
                </c:pt>
                <c:pt idx="1971">
                  <c:v>53254</c:v>
                </c:pt>
                <c:pt idx="1972">
                  <c:v>53261</c:v>
                </c:pt>
                <c:pt idx="1973">
                  <c:v>53268</c:v>
                </c:pt>
                <c:pt idx="1974">
                  <c:v>53275</c:v>
                </c:pt>
                <c:pt idx="1975">
                  <c:v>53282</c:v>
                </c:pt>
                <c:pt idx="1976">
                  <c:v>53289</c:v>
                </c:pt>
                <c:pt idx="1977">
                  <c:v>53296</c:v>
                </c:pt>
                <c:pt idx="1978">
                  <c:v>53303</c:v>
                </c:pt>
                <c:pt idx="1979">
                  <c:v>53310</c:v>
                </c:pt>
                <c:pt idx="1980">
                  <c:v>53317</c:v>
                </c:pt>
                <c:pt idx="1981">
                  <c:v>53325</c:v>
                </c:pt>
                <c:pt idx="1982">
                  <c:v>53332</c:v>
                </c:pt>
                <c:pt idx="1983">
                  <c:v>53339</c:v>
                </c:pt>
                <c:pt idx="1984">
                  <c:v>53346</c:v>
                </c:pt>
                <c:pt idx="1985">
                  <c:v>53353</c:v>
                </c:pt>
                <c:pt idx="1986">
                  <c:v>53360</c:v>
                </c:pt>
                <c:pt idx="1987">
                  <c:v>53367</c:v>
                </c:pt>
                <c:pt idx="1988">
                  <c:v>53374</c:v>
                </c:pt>
                <c:pt idx="1989">
                  <c:v>53381</c:v>
                </c:pt>
                <c:pt idx="1990">
                  <c:v>53388</c:v>
                </c:pt>
                <c:pt idx="1991">
                  <c:v>53395</c:v>
                </c:pt>
                <c:pt idx="1992">
                  <c:v>53402</c:v>
                </c:pt>
                <c:pt idx="1993">
                  <c:v>53413</c:v>
                </c:pt>
                <c:pt idx="1994">
                  <c:v>53416</c:v>
                </c:pt>
                <c:pt idx="1995">
                  <c:v>53423</c:v>
                </c:pt>
                <c:pt idx="1996">
                  <c:v>53430</c:v>
                </c:pt>
                <c:pt idx="1997">
                  <c:v>53437</c:v>
                </c:pt>
                <c:pt idx="1998">
                  <c:v>53444</c:v>
                </c:pt>
                <c:pt idx="1999">
                  <c:v>53454</c:v>
                </c:pt>
                <c:pt idx="2000">
                  <c:v>53458</c:v>
                </c:pt>
                <c:pt idx="2001">
                  <c:v>53465</c:v>
                </c:pt>
                <c:pt idx="2002">
                  <c:v>53472</c:v>
                </c:pt>
                <c:pt idx="2003">
                  <c:v>53479</c:v>
                </c:pt>
                <c:pt idx="2004">
                  <c:v>53486</c:v>
                </c:pt>
                <c:pt idx="2005">
                  <c:v>53493</c:v>
                </c:pt>
                <c:pt idx="2006">
                  <c:v>53503</c:v>
                </c:pt>
                <c:pt idx="2007">
                  <c:v>53507</c:v>
                </c:pt>
                <c:pt idx="2008">
                  <c:v>53514</c:v>
                </c:pt>
                <c:pt idx="2009">
                  <c:v>53521</c:v>
                </c:pt>
                <c:pt idx="2010">
                  <c:v>53528</c:v>
                </c:pt>
                <c:pt idx="2011">
                  <c:v>53535</c:v>
                </c:pt>
                <c:pt idx="2012">
                  <c:v>53542</c:v>
                </c:pt>
                <c:pt idx="2013">
                  <c:v>53549</c:v>
                </c:pt>
                <c:pt idx="2014">
                  <c:v>53556</c:v>
                </c:pt>
                <c:pt idx="2015">
                  <c:v>53563</c:v>
                </c:pt>
                <c:pt idx="2016">
                  <c:v>53570</c:v>
                </c:pt>
                <c:pt idx="2017">
                  <c:v>53577</c:v>
                </c:pt>
                <c:pt idx="2018">
                  <c:v>53584</c:v>
                </c:pt>
                <c:pt idx="2019">
                  <c:v>53591</c:v>
                </c:pt>
                <c:pt idx="2020">
                  <c:v>53598</c:v>
                </c:pt>
                <c:pt idx="2021">
                  <c:v>53605</c:v>
                </c:pt>
                <c:pt idx="2022">
                  <c:v>53612</c:v>
                </c:pt>
                <c:pt idx="2023">
                  <c:v>53619</c:v>
                </c:pt>
                <c:pt idx="2024">
                  <c:v>53626</c:v>
                </c:pt>
                <c:pt idx="2025">
                  <c:v>53633</c:v>
                </c:pt>
                <c:pt idx="2026">
                  <c:v>53640</c:v>
                </c:pt>
                <c:pt idx="2027">
                  <c:v>53647</c:v>
                </c:pt>
                <c:pt idx="2028">
                  <c:v>53654</c:v>
                </c:pt>
                <c:pt idx="2029">
                  <c:v>53661</c:v>
                </c:pt>
                <c:pt idx="2030">
                  <c:v>53668</c:v>
                </c:pt>
                <c:pt idx="2031">
                  <c:v>53675</c:v>
                </c:pt>
                <c:pt idx="2032">
                  <c:v>53682</c:v>
                </c:pt>
                <c:pt idx="2033">
                  <c:v>53694</c:v>
                </c:pt>
                <c:pt idx="2034">
                  <c:v>53699</c:v>
                </c:pt>
                <c:pt idx="2035">
                  <c:v>53706</c:v>
                </c:pt>
                <c:pt idx="2036">
                  <c:v>53713</c:v>
                </c:pt>
                <c:pt idx="2037">
                  <c:v>53720</c:v>
                </c:pt>
                <c:pt idx="2038">
                  <c:v>53727</c:v>
                </c:pt>
                <c:pt idx="2039">
                  <c:v>53734</c:v>
                </c:pt>
                <c:pt idx="2040">
                  <c:v>53741</c:v>
                </c:pt>
                <c:pt idx="2041">
                  <c:v>53748</c:v>
                </c:pt>
                <c:pt idx="2042">
                  <c:v>53755</c:v>
                </c:pt>
                <c:pt idx="2043">
                  <c:v>53762</c:v>
                </c:pt>
                <c:pt idx="2044">
                  <c:v>53769</c:v>
                </c:pt>
                <c:pt idx="2045">
                  <c:v>53776</c:v>
                </c:pt>
                <c:pt idx="2046">
                  <c:v>53783</c:v>
                </c:pt>
                <c:pt idx="2047">
                  <c:v>53790</c:v>
                </c:pt>
                <c:pt idx="2048">
                  <c:v>53799</c:v>
                </c:pt>
                <c:pt idx="2049">
                  <c:v>53804</c:v>
                </c:pt>
                <c:pt idx="2050">
                  <c:v>53811</c:v>
                </c:pt>
                <c:pt idx="2051">
                  <c:v>53818</c:v>
                </c:pt>
                <c:pt idx="2052">
                  <c:v>53825</c:v>
                </c:pt>
                <c:pt idx="2053">
                  <c:v>53832</c:v>
                </c:pt>
                <c:pt idx="2054">
                  <c:v>53840</c:v>
                </c:pt>
                <c:pt idx="2055">
                  <c:v>53848</c:v>
                </c:pt>
                <c:pt idx="2056">
                  <c:v>53854</c:v>
                </c:pt>
                <c:pt idx="2057">
                  <c:v>53861</c:v>
                </c:pt>
                <c:pt idx="2058">
                  <c:v>53869</c:v>
                </c:pt>
                <c:pt idx="2059">
                  <c:v>53876</c:v>
                </c:pt>
                <c:pt idx="2060">
                  <c:v>53883</c:v>
                </c:pt>
                <c:pt idx="2061">
                  <c:v>53890</c:v>
                </c:pt>
                <c:pt idx="2062">
                  <c:v>53897</c:v>
                </c:pt>
                <c:pt idx="2063">
                  <c:v>53904</c:v>
                </c:pt>
                <c:pt idx="2064">
                  <c:v>53911</c:v>
                </c:pt>
                <c:pt idx="2065">
                  <c:v>53918</c:v>
                </c:pt>
                <c:pt idx="2066">
                  <c:v>53925</c:v>
                </c:pt>
                <c:pt idx="2067">
                  <c:v>53932</c:v>
                </c:pt>
                <c:pt idx="2068">
                  <c:v>53939</c:v>
                </c:pt>
                <c:pt idx="2069">
                  <c:v>53946</c:v>
                </c:pt>
                <c:pt idx="2070">
                  <c:v>53953</c:v>
                </c:pt>
                <c:pt idx="2071">
                  <c:v>53960</c:v>
                </c:pt>
                <c:pt idx="2072">
                  <c:v>53967</c:v>
                </c:pt>
                <c:pt idx="2073">
                  <c:v>53974</c:v>
                </c:pt>
                <c:pt idx="2074">
                  <c:v>53981</c:v>
                </c:pt>
                <c:pt idx="2075">
                  <c:v>53988</c:v>
                </c:pt>
                <c:pt idx="2076">
                  <c:v>53995</c:v>
                </c:pt>
                <c:pt idx="2077">
                  <c:v>54002</c:v>
                </c:pt>
                <c:pt idx="2078">
                  <c:v>54009</c:v>
                </c:pt>
                <c:pt idx="2079">
                  <c:v>54016</c:v>
                </c:pt>
                <c:pt idx="2080">
                  <c:v>54023</c:v>
                </c:pt>
                <c:pt idx="2081">
                  <c:v>54030</c:v>
                </c:pt>
                <c:pt idx="2082">
                  <c:v>54037</c:v>
                </c:pt>
                <c:pt idx="2083">
                  <c:v>54044</c:v>
                </c:pt>
                <c:pt idx="2084">
                  <c:v>54056</c:v>
                </c:pt>
                <c:pt idx="2085">
                  <c:v>54060</c:v>
                </c:pt>
                <c:pt idx="2086">
                  <c:v>54066</c:v>
                </c:pt>
                <c:pt idx="2087">
                  <c:v>54073</c:v>
                </c:pt>
                <c:pt idx="2088">
                  <c:v>54080</c:v>
                </c:pt>
                <c:pt idx="2089">
                  <c:v>54087</c:v>
                </c:pt>
                <c:pt idx="2090">
                  <c:v>54094</c:v>
                </c:pt>
                <c:pt idx="2091">
                  <c:v>54101</c:v>
                </c:pt>
                <c:pt idx="2092">
                  <c:v>54108</c:v>
                </c:pt>
                <c:pt idx="2093">
                  <c:v>54115</c:v>
                </c:pt>
                <c:pt idx="2094">
                  <c:v>54122</c:v>
                </c:pt>
                <c:pt idx="2095">
                  <c:v>54129</c:v>
                </c:pt>
                <c:pt idx="2096">
                  <c:v>54136</c:v>
                </c:pt>
                <c:pt idx="2097">
                  <c:v>54143</c:v>
                </c:pt>
                <c:pt idx="2098">
                  <c:v>54150</c:v>
                </c:pt>
                <c:pt idx="2099">
                  <c:v>54157</c:v>
                </c:pt>
                <c:pt idx="2100">
                  <c:v>54164</c:v>
                </c:pt>
                <c:pt idx="2101">
                  <c:v>54171</c:v>
                </c:pt>
                <c:pt idx="2102">
                  <c:v>54178</c:v>
                </c:pt>
                <c:pt idx="2103">
                  <c:v>54185</c:v>
                </c:pt>
                <c:pt idx="2104">
                  <c:v>54193</c:v>
                </c:pt>
                <c:pt idx="2105">
                  <c:v>54199</c:v>
                </c:pt>
                <c:pt idx="2106">
                  <c:v>54206</c:v>
                </c:pt>
                <c:pt idx="2107">
                  <c:v>54213</c:v>
                </c:pt>
                <c:pt idx="2108">
                  <c:v>54220</c:v>
                </c:pt>
                <c:pt idx="2109">
                  <c:v>54227</c:v>
                </c:pt>
                <c:pt idx="2110">
                  <c:v>54234</c:v>
                </c:pt>
                <c:pt idx="2111">
                  <c:v>54241</c:v>
                </c:pt>
                <c:pt idx="2112">
                  <c:v>54248</c:v>
                </c:pt>
                <c:pt idx="2113">
                  <c:v>54255</c:v>
                </c:pt>
                <c:pt idx="2114">
                  <c:v>54262</c:v>
                </c:pt>
                <c:pt idx="2115">
                  <c:v>54269</c:v>
                </c:pt>
                <c:pt idx="2116">
                  <c:v>54276</c:v>
                </c:pt>
                <c:pt idx="2117">
                  <c:v>54283</c:v>
                </c:pt>
                <c:pt idx="2118">
                  <c:v>54290</c:v>
                </c:pt>
                <c:pt idx="2119">
                  <c:v>54297</c:v>
                </c:pt>
                <c:pt idx="2120">
                  <c:v>54304</c:v>
                </c:pt>
                <c:pt idx="2121">
                  <c:v>54311</c:v>
                </c:pt>
                <c:pt idx="2122">
                  <c:v>54318</c:v>
                </c:pt>
                <c:pt idx="2123">
                  <c:v>54325</c:v>
                </c:pt>
                <c:pt idx="2124">
                  <c:v>54332</c:v>
                </c:pt>
                <c:pt idx="2125">
                  <c:v>54339</c:v>
                </c:pt>
                <c:pt idx="2126">
                  <c:v>54346</c:v>
                </c:pt>
                <c:pt idx="2127">
                  <c:v>54353</c:v>
                </c:pt>
                <c:pt idx="2128">
                  <c:v>54360</c:v>
                </c:pt>
                <c:pt idx="2129">
                  <c:v>54367</c:v>
                </c:pt>
                <c:pt idx="2130">
                  <c:v>54374</c:v>
                </c:pt>
                <c:pt idx="2131">
                  <c:v>54381</c:v>
                </c:pt>
                <c:pt idx="2132">
                  <c:v>54388</c:v>
                </c:pt>
                <c:pt idx="2133">
                  <c:v>54395</c:v>
                </c:pt>
                <c:pt idx="2134">
                  <c:v>54402</c:v>
                </c:pt>
                <c:pt idx="2135">
                  <c:v>54409</c:v>
                </c:pt>
                <c:pt idx="2136">
                  <c:v>54420</c:v>
                </c:pt>
                <c:pt idx="2137">
                  <c:v>54427</c:v>
                </c:pt>
                <c:pt idx="2138">
                  <c:v>54431</c:v>
                </c:pt>
                <c:pt idx="2139">
                  <c:v>54437</c:v>
                </c:pt>
                <c:pt idx="2140">
                  <c:v>54444</c:v>
                </c:pt>
                <c:pt idx="2141">
                  <c:v>54451</c:v>
                </c:pt>
                <c:pt idx="2142">
                  <c:v>54458</c:v>
                </c:pt>
                <c:pt idx="2143">
                  <c:v>54465</c:v>
                </c:pt>
                <c:pt idx="2144">
                  <c:v>54472</c:v>
                </c:pt>
                <c:pt idx="2145">
                  <c:v>54479</c:v>
                </c:pt>
                <c:pt idx="2146">
                  <c:v>54486</c:v>
                </c:pt>
                <c:pt idx="2147">
                  <c:v>54493</c:v>
                </c:pt>
                <c:pt idx="2148">
                  <c:v>54500</c:v>
                </c:pt>
                <c:pt idx="2149">
                  <c:v>54507</c:v>
                </c:pt>
                <c:pt idx="2150">
                  <c:v>54514</c:v>
                </c:pt>
                <c:pt idx="2151">
                  <c:v>54521</c:v>
                </c:pt>
                <c:pt idx="2152">
                  <c:v>54528</c:v>
                </c:pt>
                <c:pt idx="2153">
                  <c:v>54535</c:v>
                </c:pt>
                <c:pt idx="2154">
                  <c:v>54542</c:v>
                </c:pt>
                <c:pt idx="2155">
                  <c:v>54549</c:v>
                </c:pt>
                <c:pt idx="2156">
                  <c:v>54556</c:v>
                </c:pt>
                <c:pt idx="2157">
                  <c:v>54563</c:v>
                </c:pt>
                <c:pt idx="2158">
                  <c:v>54571</c:v>
                </c:pt>
                <c:pt idx="2159">
                  <c:v>54577</c:v>
                </c:pt>
                <c:pt idx="2160">
                  <c:v>54584</c:v>
                </c:pt>
                <c:pt idx="2161">
                  <c:v>54591</c:v>
                </c:pt>
                <c:pt idx="2162">
                  <c:v>54598</c:v>
                </c:pt>
                <c:pt idx="2163">
                  <c:v>54605</c:v>
                </c:pt>
                <c:pt idx="2164">
                  <c:v>54612</c:v>
                </c:pt>
                <c:pt idx="2165">
                  <c:v>54619</c:v>
                </c:pt>
                <c:pt idx="2166">
                  <c:v>54626</c:v>
                </c:pt>
                <c:pt idx="2167">
                  <c:v>54633</c:v>
                </c:pt>
                <c:pt idx="2168">
                  <c:v>54640</c:v>
                </c:pt>
                <c:pt idx="2169">
                  <c:v>54647</c:v>
                </c:pt>
                <c:pt idx="2170">
                  <c:v>54654</c:v>
                </c:pt>
                <c:pt idx="2171">
                  <c:v>54661</c:v>
                </c:pt>
                <c:pt idx="2172">
                  <c:v>54668</c:v>
                </c:pt>
                <c:pt idx="2173">
                  <c:v>54675</c:v>
                </c:pt>
                <c:pt idx="2174">
                  <c:v>54682</c:v>
                </c:pt>
                <c:pt idx="2175">
                  <c:v>54689</c:v>
                </c:pt>
                <c:pt idx="2176">
                  <c:v>54696</c:v>
                </c:pt>
                <c:pt idx="2177">
                  <c:v>54703</c:v>
                </c:pt>
                <c:pt idx="2178">
                  <c:v>54710</c:v>
                </c:pt>
                <c:pt idx="2179">
                  <c:v>54717</c:v>
                </c:pt>
                <c:pt idx="2180">
                  <c:v>54724</c:v>
                </c:pt>
                <c:pt idx="2181">
                  <c:v>54731</c:v>
                </c:pt>
                <c:pt idx="2182">
                  <c:v>54738</c:v>
                </c:pt>
                <c:pt idx="2183">
                  <c:v>54745</c:v>
                </c:pt>
                <c:pt idx="2184">
                  <c:v>54752</c:v>
                </c:pt>
                <c:pt idx="2185">
                  <c:v>54759</c:v>
                </c:pt>
                <c:pt idx="2186">
                  <c:v>54766</c:v>
                </c:pt>
                <c:pt idx="2187">
                  <c:v>54773</c:v>
                </c:pt>
                <c:pt idx="2188">
                  <c:v>54780</c:v>
                </c:pt>
                <c:pt idx="2189">
                  <c:v>54787</c:v>
                </c:pt>
                <c:pt idx="2190">
                  <c:v>54795</c:v>
                </c:pt>
                <c:pt idx="2191">
                  <c:v>54801</c:v>
                </c:pt>
                <c:pt idx="2192">
                  <c:v>54808</c:v>
                </c:pt>
                <c:pt idx="2193">
                  <c:v>54815</c:v>
                </c:pt>
                <c:pt idx="2194">
                  <c:v>54822</c:v>
                </c:pt>
                <c:pt idx="2195">
                  <c:v>54829</c:v>
                </c:pt>
                <c:pt idx="2196">
                  <c:v>54836</c:v>
                </c:pt>
                <c:pt idx="2197">
                  <c:v>54843</c:v>
                </c:pt>
                <c:pt idx="2198">
                  <c:v>54850</c:v>
                </c:pt>
                <c:pt idx="2199">
                  <c:v>54857</c:v>
                </c:pt>
                <c:pt idx="2200">
                  <c:v>54864</c:v>
                </c:pt>
                <c:pt idx="2201">
                  <c:v>54871</c:v>
                </c:pt>
                <c:pt idx="2202">
                  <c:v>54878</c:v>
                </c:pt>
                <c:pt idx="2203">
                  <c:v>54885</c:v>
                </c:pt>
                <c:pt idx="2204">
                  <c:v>54892</c:v>
                </c:pt>
                <c:pt idx="2205">
                  <c:v>54899</c:v>
                </c:pt>
                <c:pt idx="2206">
                  <c:v>54906</c:v>
                </c:pt>
                <c:pt idx="2207">
                  <c:v>54913</c:v>
                </c:pt>
                <c:pt idx="2208">
                  <c:v>54920</c:v>
                </c:pt>
                <c:pt idx="2209">
                  <c:v>54928</c:v>
                </c:pt>
                <c:pt idx="2210">
                  <c:v>54934</c:v>
                </c:pt>
                <c:pt idx="2211">
                  <c:v>54941</c:v>
                </c:pt>
                <c:pt idx="2212">
                  <c:v>54948</c:v>
                </c:pt>
                <c:pt idx="2213">
                  <c:v>54955</c:v>
                </c:pt>
                <c:pt idx="2214">
                  <c:v>54962</c:v>
                </c:pt>
                <c:pt idx="2215">
                  <c:v>54969</c:v>
                </c:pt>
                <c:pt idx="2216">
                  <c:v>54976</c:v>
                </c:pt>
                <c:pt idx="2217">
                  <c:v>54983</c:v>
                </c:pt>
                <c:pt idx="2218">
                  <c:v>54990</c:v>
                </c:pt>
                <c:pt idx="2219">
                  <c:v>54997</c:v>
                </c:pt>
                <c:pt idx="2220">
                  <c:v>55004</c:v>
                </c:pt>
                <c:pt idx="2221">
                  <c:v>55011</c:v>
                </c:pt>
                <c:pt idx="2222">
                  <c:v>55018</c:v>
                </c:pt>
                <c:pt idx="2223">
                  <c:v>55025</c:v>
                </c:pt>
                <c:pt idx="2224">
                  <c:v>55032</c:v>
                </c:pt>
                <c:pt idx="2225">
                  <c:v>55039</c:v>
                </c:pt>
                <c:pt idx="2226">
                  <c:v>55046</c:v>
                </c:pt>
                <c:pt idx="2227">
                  <c:v>55053</c:v>
                </c:pt>
                <c:pt idx="2228">
                  <c:v>55060</c:v>
                </c:pt>
                <c:pt idx="2229">
                  <c:v>55067</c:v>
                </c:pt>
                <c:pt idx="2230">
                  <c:v>55074</c:v>
                </c:pt>
                <c:pt idx="2231">
                  <c:v>55081</c:v>
                </c:pt>
                <c:pt idx="2232">
                  <c:v>55088</c:v>
                </c:pt>
                <c:pt idx="2233">
                  <c:v>55095</c:v>
                </c:pt>
                <c:pt idx="2234">
                  <c:v>55102</c:v>
                </c:pt>
                <c:pt idx="2235">
                  <c:v>55109</c:v>
                </c:pt>
                <c:pt idx="2236">
                  <c:v>55116</c:v>
                </c:pt>
                <c:pt idx="2237">
                  <c:v>55123</c:v>
                </c:pt>
                <c:pt idx="2238">
                  <c:v>55130</c:v>
                </c:pt>
                <c:pt idx="2239">
                  <c:v>55137</c:v>
                </c:pt>
                <c:pt idx="2240">
                  <c:v>55144</c:v>
                </c:pt>
                <c:pt idx="2241">
                  <c:v>55151</c:v>
                </c:pt>
                <c:pt idx="2242">
                  <c:v>55158</c:v>
                </c:pt>
                <c:pt idx="2243">
                  <c:v>55165</c:v>
                </c:pt>
                <c:pt idx="2244">
                  <c:v>55172</c:v>
                </c:pt>
                <c:pt idx="2245">
                  <c:v>55179</c:v>
                </c:pt>
                <c:pt idx="2246">
                  <c:v>55186</c:v>
                </c:pt>
                <c:pt idx="2247">
                  <c:v>55193</c:v>
                </c:pt>
                <c:pt idx="2248">
                  <c:v>55200</c:v>
                </c:pt>
                <c:pt idx="2249">
                  <c:v>55207</c:v>
                </c:pt>
                <c:pt idx="2250">
                  <c:v>55214</c:v>
                </c:pt>
                <c:pt idx="2251">
                  <c:v>55221</c:v>
                </c:pt>
                <c:pt idx="2252">
                  <c:v>55228</c:v>
                </c:pt>
                <c:pt idx="2253">
                  <c:v>55235</c:v>
                </c:pt>
                <c:pt idx="2254">
                  <c:v>55242</c:v>
                </c:pt>
                <c:pt idx="2255">
                  <c:v>55249</c:v>
                </c:pt>
                <c:pt idx="2256">
                  <c:v>55256</c:v>
                </c:pt>
                <c:pt idx="2257">
                  <c:v>55263</c:v>
                </c:pt>
                <c:pt idx="2258">
                  <c:v>55270</c:v>
                </c:pt>
                <c:pt idx="2259">
                  <c:v>55277</c:v>
                </c:pt>
                <c:pt idx="2260">
                  <c:v>55285</c:v>
                </c:pt>
                <c:pt idx="2261">
                  <c:v>55291</c:v>
                </c:pt>
                <c:pt idx="2262">
                  <c:v>55298</c:v>
                </c:pt>
                <c:pt idx="2263">
                  <c:v>55305</c:v>
                </c:pt>
                <c:pt idx="2264">
                  <c:v>55312</c:v>
                </c:pt>
                <c:pt idx="2265">
                  <c:v>55319</c:v>
                </c:pt>
                <c:pt idx="2266">
                  <c:v>55326</c:v>
                </c:pt>
                <c:pt idx="2267">
                  <c:v>55333</c:v>
                </c:pt>
                <c:pt idx="2268">
                  <c:v>55340</c:v>
                </c:pt>
                <c:pt idx="2269">
                  <c:v>55347</c:v>
                </c:pt>
                <c:pt idx="2270">
                  <c:v>55354</c:v>
                </c:pt>
                <c:pt idx="2271">
                  <c:v>55361</c:v>
                </c:pt>
                <c:pt idx="2272">
                  <c:v>55368</c:v>
                </c:pt>
                <c:pt idx="2273">
                  <c:v>55375</c:v>
                </c:pt>
                <c:pt idx="2274">
                  <c:v>55382</c:v>
                </c:pt>
                <c:pt idx="2275">
                  <c:v>55389</c:v>
                </c:pt>
                <c:pt idx="2276">
                  <c:v>55396</c:v>
                </c:pt>
                <c:pt idx="2277">
                  <c:v>55403</c:v>
                </c:pt>
                <c:pt idx="2278">
                  <c:v>55410</c:v>
                </c:pt>
                <c:pt idx="2279">
                  <c:v>55417</c:v>
                </c:pt>
                <c:pt idx="2280">
                  <c:v>55424</c:v>
                </c:pt>
                <c:pt idx="2281">
                  <c:v>55431</c:v>
                </c:pt>
                <c:pt idx="2282">
                  <c:v>55438</c:v>
                </c:pt>
                <c:pt idx="2283">
                  <c:v>55445</c:v>
                </c:pt>
                <c:pt idx="2284">
                  <c:v>55452</c:v>
                </c:pt>
                <c:pt idx="2285">
                  <c:v>55459</c:v>
                </c:pt>
                <c:pt idx="2286">
                  <c:v>55466</c:v>
                </c:pt>
                <c:pt idx="2287">
                  <c:v>55473</c:v>
                </c:pt>
                <c:pt idx="2288">
                  <c:v>55480</c:v>
                </c:pt>
                <c:pt idx="2289">
                  <c:v>55487</c:v>
                </c:pt>
                <c:pt idx="2290">
                  <c:v>55494</c:v>
                </c:pt>
                <c:pt idx="2291">
                  <c:v>55501</c:v>
                </c:pt>
                <c:pt idx="2292">
                  <c:v>55508</c:v>
                </c:pt>
                <c:pt idx="2293">
                  <c:v>55516</c:v>
                </c:pt>
                <c:pt idx="2294">
                  <c:v>55523</c:v>
                </c:pt>
                <c:pt idx="2295">
                  <c:v>55530</c:v>
                </c:pt>
                <c:pt idx="2296">
                  <c:v>55537</c:v>
                </c:pt>
                <c:pt idx="2297">
                  <c:v>55544</c:v>
                </c:pt>
                <c:pt idx="2298">
                  <c:v>55551</c:v>
                </c:pt>
                <c:pt idx="2299">
                  <c:v>55558</c:v>
                </c:pt>
                <c:pt idx="2300">
                  <c:v>55565</c:v>
                </c:pt>
                <c:pt idx="2301">
                  <c:v>55572</c:v>
                </c:pt>
                <c:pt idx="2302">
                  <c:v>55579</c:v>
                </c:pt>
                <c:pt idx="2303">
                  <c:v>55586</c:v>
                </c:pt>
                <c:pt idx="2304">
                  <c:v>55593</c:v>
                </c:pt>
                <c:pt idx="2305">
                  <c:v>55600</c:v>
                </c:pt>
                <c:pt idx="2306">
                  <c:v>55607</c:v>
                </c:pt>
                <c:pt idx="2307">
                  <c:v>55614</c:v>
                </c:pt>
                <c:pt idx="2308">
                  <c:v>55621</c:v>
                </c:pt>
                <c:pt idx="2309">
                  <c:v>55632</c:v>
                </c:pt>
                <c:pt idx="2310">
                  <c:v>55635</c:v>
                </c:pt>
                <c:pt idx="2311">
                  <c:v>55645</c:v>
                </c:pt>
                <c:pt idx="2312">
                  <c:v>55652</c:v>
                </c:pt>
                <c:pt idx="2313">
                  <c:v>55659</c:v>
                </c:pt>
                <c:pt idx="2314">
                  <c:v>55666</c:v>
                </c:pt>
                <c:pt idx="2315">
                  <c:v>55674</c:v>
                </c:pt>
                <c:pt idx="2316">
                  <c:v>55682</c:v>
                </c:pt>
                <c:pt idx="2317">
                  <c:v>55688</c:v>
                </c:pt>
                <c:pt idx="2318">
                  <c:v>55696</c:v>
                </c:pt>
                <c:pt idx="2319">
                  <c:v>55703</c:v>
                </c:pt>
                <c:pt idx="2320">
                  <c:v>55710</c:v>
                </c:pt>
                <c:pt idx="2321">
                  <c:v>55717</c:v>
                </c:pt>
                <c:pt idx="2322">
                  <c:v>55724</c:v>
                </c:pt>
                <c:pt idx="2323">
                  <c:v>55731</c:v>
                </c:pt>
                <c:pt idx="2324">
                  <c:v>55738</c:v>
                </c:pt>
                <c:pt idx="2325">
                  <c:v>55745</c:v>
                </c:pt>
                <c:pt idx="2326">
                  <c:v>55752</c:v>
                </c:pt>
                <c:pt idx="2327">
                  <c:v>55759</c:v>
                </c:pt>
                <c:pt idx="2328">
                  <c:v>55766</c:v>
                </c:pt>
                <c:pt idx="2329">
                  <c:v>55773</c:v>
                </c:pt>
                <c:pt idx="2330">
                  <c:v>55780</c:v>
                </c:pt>
                <c:pt idx="2331">
                  <c:v>55787</c:v>
                </c:pt>
                <c:pt idx="2332">
                  <c:v>55794</c:v>
                </c:pt>
                <c:pt idx="2333">
                  <c:v>55801</c:v>
                </c:pt>
                <c:pt idx="2334">
                  <c:v>55808</c:v>
                </c:pt>
                <c:pt idx="2335">
                  <c:v>55815</c:v>
                </c:pt>
                <c:pt idx="2336">
                  <c:v>55822</c:v>
                </c:pt>
                <c:pt idx="2337">
                  <c:v>55829</c:v>
                </c:pt>
                <c:pt idx="2338">
                  <c:v>55836</c:v>
                </c:pt>
                <c:pt idx="2339">
                  <c:v>55843</c:v>
                </c:pt>
                <c:pt idx="2340">
                  <c:v>55850</c:v>
                </c:pt>
                <c:pt idx="2341">
                  <c:v>55857</c:v>
                </c:pt>
                <c:pt idx="2342">
                  <c:v>55864</c:v>
                </c:pt>
                <c:pt idx="2343">
                  <c:v>55871</c:v>
                </c:pt>
                <c:pt idx="2344">
                  <c:v>55883</c:v>
                </c:pt>
                <c:pt idx="2345">
                  <c:v>55887</c:v>
                </c:pt>
                <c:pt idx="2346">
                  <c:v>55893</c:v>
                </c:pt>
                <c:pt idx="2347">
                  <c:v>55900</c:v>
                </c:pt>
                <c:pt idx="2348">
                  <c:v>55907</c:v>
                </c:pt>
                <c:pt idx="2349">
                  <c:v>55914</c:v>
                </c:pt>
                <c:pt idx="2350">
                  <c:v>55921</c:v>
                </c:pt>
                <c:pt idx="2351">
                  <c:v>55928</c:v>
                </c:pt>
                <c:pt idx="2352">
                  <c:v>55935</c:v>
                </c:pt>
                <c:pt idx="2353">
                  <c:v>55942</c:v>
                </c:pt>
                <c:pt idx="2354">
                  <c:v>55949</c:v>
                </c:pt>
                <c:pt idx="2355">
                  <c:v>55956</c:v>
                </c:pt>
                <c:pt idx="2356">
                  <c:v>55963</c:v>
                </c:pt>
                <c:pt idx="2357">
                  <c:v>55970</c:v>
                </c:pt>
                <c:pt idx="2358">
                  <c:v>55977</c:v>
                </c:pt>
                <c:pt idx="2359">
                  <c:v>55984</c:v>
                </c:pt>
                <c:pt idx="2360">
                  <c:v>55991</c:v>
                </c:pt>
                <c:pt idx="2361">
                  <c:v>55998</c:v>
                </c:pt>
                <c:pt idx="2362">
                  <c:v>56006</c:v>
                </c:pt>
                <c:pt idx="2363">
                  <c:v>56012</c:v>
                </c:pt>
                <c:pt idx="2364">
                  <c:v>56020</c:v>
                </c:pt>
                <c:pt idx="2365">
                  <c:v>56026</c:v>
                </c:pt>
                <c:pt idx="2366">
                  <c:v>56033</c:v>
                </c:pt>
                <c:pt idx="2367">
                  <c:v>56040</c:v>
                </c:pt>
                <c:pt idx="2368">
                  <c:v>56047</c:v>
                </c:pt>
                <c:pt idx="2369">
                  <c:v>56054</c:v>
                </c:pt>
                <c:pt idx="2370">
                  <c:v>56061</c:v>
                </c:pt>
                <c:pt idx="2371">
                  <c:v>56068</c:v>
                </c:pt>
                <c:pt idx="2372">
                  <c:v>56075</c:v>
                </c:pt>
                <c:pt idx="2373">
                  <c:v>56082</c:v>
                </c:pt>
                <c:pt idx="2374">
                  <c:v>56089</c:v>
                </c:pt>
                <c:pt idx="2375">
                  <c:v>56096</c:v>
                </c:pt>
                <c:pt idx="2376">
                  <c:v>56103</c:v>
                </c:pt>
                <c:pt idx="2377">
                  <c:v>56110</c:v>
                </c:pt>
                <c:pt idx="2378">
                  <c:v>56117</c:v>
                </c:pt>
                <c:pt idx="2379">
                  <c:v>56124</c:v>
                </c:pt>
                <c:pt idx="2380">
                  <c:v>56131</c:v>
                </c:pt>
                <c:pt idx="2381">
                  <c:v>56138</c:v>
                </c:pt>
                <c:pt idx="2382">
                  <c:v>56145</c:v>
                </c:pt>
                <c:pt idx="2383">
                  <c:v>56152</c:v>
                </c:pt>
                <c:pt idx="2384">
                  <c:v>56159</c:v>
                </c:pt>
                <c:pt idx="2385">
                  <c:v>56166</c:v>
                </c:pt>
                <c:pt idx="2386">
                  <c:v>56173</c:v>
                </c:pt>
                <c:pt idx="2387">
                  <c:v>56180</c:v>
                </c:pt>
                <c:pt idx="2388">
                  <c:v>56187</c:v>
                </c:pt>
                <c:pt idx="2389">
                  <c:v>56194</c:v>
                </c:pt>
                <c:pt idx="2390">
                  <c:v>56201</c:v>
                </c:pt>
                <c:pt idx="2391">
                  <c:v>56208</c:v>
                </c:pt>
                <c:pt idx="2392">
                  <c:v>56215</c:v>
                </c:pt>
                <c:pt idx="2393">
                  <c:v>56222</c:v>
                </c:pt>
                <c:pt idx="2394">
                  <c:v>56229</c:v>
                </c:pt>
                <c:pt idx="2395">
                  <c:v>56236</c:v>
                </c:pt>
                <c:pt idx="2396">
                  <c:v>56248</c:v>
                </c:pt>
                <c:pt idx="2397">
                  <c:v>56254</c:v>
                </c:pt>
                <c:pt idx="2398">
                  <c:v>56258</c:v>
                </c:pt>
                <c:pt idx="2399">
                  <c:v>56265</c:v>
                </c:pt>
                <c:pt idx="2400">
                  <c:v>56272</c:v>
                </c:pt>
                <c:pt idx="2401">
                  <c:v>56279</c:v>
                </c:pt>
                <c:pt idx="2402">
                  <c:v>56286</c:v>
                </c:pt>
                <c:pt idx="2403">
                  <c:v>56293</c:v>
                </c:pt>
                <c:pt idx="2404">
                  <c:v>56300</c:v>
                </c:pt>
                <c:pt idx="2405">
                  <c:v>56307</c:v>
                </c:pt>
                <c:pt idx="2406">
                  <c:v>56314</c:v>
                </c:pt>
                <c:pt idx="2407">
                  <c:v>56321</c:v>
                </c:pt>
                <c:pt idx="2408">
                  <c:v>56328</c:v>
                </c:pt>
                <c:pt idx="2409">
                  <c:v>56339</c:v>
                </c:pt>
                <c:pt idx="2410">
                  <c:v>56342</c:v>
                </c:pt>
                <c:pt idx="2411">
                  <c:v>56349</c:v>
                </c:pt>
                <c:pt idx="2412">
                  <c:v>56356</c:v>
                </c:pt>
                <c:pt idx="2413">
                  <c:v>56363</c:v>
                </c:pt>
                <c:pt idx="2414">
                  <c:v>56373</c:v>
                </c:pt>
                <c:pt idx="2415">
                  <c:v>56380</c:v>
                </c:pt>
                <c:pt idx="2416">
                  <c:v>56384</c:v>
                </c:pt>
                <c:pt idx="2417">
                  <c:v>56391</c:v>
                </c:pt>
                <c:pt idx="2418">
                  <c:v>56398</c:v>
                </c:pt>
                <c:pt idx="2419">
                  <c:v>56405</c:v>
                </c:pt>
                <c:pt idx="2420">
                  <c:v>56412</c:v>
                </c:pt>
                <c:pt idx="2421">
                  <c:v>56422</c:v>
                </c:pt>
                <c:pt idx="2422">
                  <c:v>56426</c:v>
                </c:pt>
                <c:pt idx="2423">
                  <c:v>56433</c:v>
                </c:pt>
                <c:pt idx="2424">
                  <c:v>56440</c:v>
                </c:pt>
                <c:pt idx="2425">
                  <c:v>56447</c:v>
                </c:pt>
                <c:pt idx="2426">
                  <c:v>56454</c:v>
                </c:pt>
                <c:pt idx="2427">
                  <c:v>56461</c:v>
                </c:pt>
                <c:pt idx="2428">
                  <c:v>56468</c:v>
                </c:pt>
                <c:pt idx="2429">
                  <c:v>56475</c:v>
                </c:pt>
                <c:pt idx="2430">
                  <c:v>56482</c:v>
                </c:pt>
                <c:pt idx="2431">
                  <c:v>56489</c:v>
                </c:pt>
                <c:pt idx="2432">
                  <c:v>56496</c:v>
                </c:pt>
                <c:pt idx="2433">
                  <c:v>56503</c:v>
                </c:pt>
                <c:pt idx="2434">
                  <c:v>56510</c:v>
                </c:pt>
                <c:pt idx="2435">
                  <c:v>56517</c:v>
                </c:pt>
                <c:pt idx="2436">
                  <c:v>56524</c:v>
                </c:pt>
                <c:pt idx="2437">
                  <c:v>56531</c:v>
                </c:pt>
                <c:pt idx="2438">
                  <c:v>56538</c:v>
                </c:pt>
                <c:pt idx="2439">
                  <c:v>56545</c:v>
                </c:pt>
                <c:pt idx="2440">
                  <c:v>56552</c:v>
                </c:pt>
                <c:pt idx="2441">
                  <c:v>56559</c:v>
                </c:pt>
                <c:pt idx="2442">
                  <c:v>56566</c:v>
                </c:pt>
                <c:pt idx="2443">
                  <c:v>56573</c:v>
                </c:pt>
                <c:pt idx="2444">
                  <c:v>56580</c:v>
                </c:pt>
                <c:pt idx="2445">
                  <c:v>56587</c:v>
                </c:pt>
                <c:pt idx="2446">
                  <c:v>56594</c:v>
                </c:pt>
                <c:pt idx="2447">
                  <c:v>56601</c:v>
                </c:pt>
                <c:pt idx="2448">
                  <c:v>56612</c:v>
                </c:pt>
                <c:pt idx="2449">
                  <c:v>56619</c:v>
                </c:pt>
                <c:pt idx="2450">
                  <c:v>56625</c:v>
                </c:pt>
                <c:pt idx="2451">
                  <c:v>56632</c:v>
                </c:pt>
                <c:pt idx="2452">
                  <c:v>56639</c:v>
                </c:pt>
                <c:pt idx="2453">
                  <c:v>56646</c:v>
                </c:pt>
                <c:pt idx="2454">
                  <c:v>56653</c:v>
                </c:pt>
                <c:pt idx="2455">
                  <c:v>56660</c:v>
                </c:pt>
                <c:pt idx="2456">
                  <c:v>56667</c:v>
                </c:pt>
                <c:pt idx="2457">
                  <c:v>56674</c:v>
                </c:pt>
                <c:pt idx="2458">
                  <c:v>56681</c:v>
                </c:pt>
                <c:pt idx="2459">
                  <c:v>56688</c:v>
                </c:pt>
                <c:pt idx="2460">
                  <c:v>56695</c:v>
                </c:pt>
                <c:pt idx="2461">
                  <c:v>56702</c:v>
                </c:pt>
                <c:pt idx="2462">
                  <c:v>56709</c:v>
                </c:pt>
                <c:pt idx="2463">
                  <c:v>56716</c:v>
                </c:pt>
                <c:pt idx="2464">
                  <c:v>56725</c:v>
                </c:pt>
                <c:pt idx="2465">
                  <c:v>56730</c:v>
                </c:pt>
                <c:pt idx="2466">
                  <c:v>56737</c:v>
                </c:pt>
                <c:pt idx="2467">
                  <c:v>56744</c:v>
                </c:pt>
                <c:pt idx="2468">
                  <c:v>56751</c:v>
                </c:pt>
                <c:pt idx="2469">
                  <c:v>56758</c:v>
                </c:pt>
                <c:pt idx="2470">
                  <c:v>56766</c:v>
                </c:pt>
                <c:pt idx="2471">
                  <c:v>56774</c:v>
                </c:pt>
                <c:pt idx="2472">
                  <c:v>56780</c:v>
                </c:pt>
                <c:pt idx="2473">
                  <c:v>56787</c:v>
                </c:pt>
                <c:pt idx="2474">
                  <c:v>56795</c:v>
                </c:pt>
                <c:pt idx="2475">
                  <c:v>56802</c:v>
                </c:pt>
                <c:pt idx="2476">
                  <c:v>56809</c:v>
                </c:pt>
                <c:pt idx="2477">
                  <c:v>56816</c:v>
                </c:pt>
                <c:pt idx="2478">
                  <c:v>56823</c:v>
                </c:pt>
                <c:pt idx="2479">
                  <c:v>56830</c:v>
                </c:pt>
                <c:pt idx="2480">
                  <c:v>56837</c:v>
                </c:pt>
                <c:pt idx="2481">
                  <c:v>56844</c:v>
                </c:pt>
                <c:pt idx="2482">
                  <c:v>56851</c:v>
                </c:pt>
                <c:pt idx="2483">
                  <c:v>56858</c:v>
                </c:pt>
                <c:pt idx="2484">
                  <c:v>56865</c:v>
                </c:pt>
                <c:pt idx="2485">
                  <c:v>56872</c:v>
                </c:pt>
                <c:pt idx="2486">
                  <c:v>56879</c:v>
                </c:pt>
                <c:pt idx="2487">
                  <c:v>56886</c:v>
                </c:pt>
                <c:pt idx="2488">
                  <c:v>56893</c:v>
                </c:pt>
                <c:pt idx="2489">
                  <c:v>56900</c:v>
                </c:pt>
                <c:pt idx="2490">
                  <c:v>56907</c:v>
                </c:pt>
                <c:pt idx="2491">
                  <c:v>56914</c:v>
                </c:pt>
                <c:pt idx="2492">
                  <c:v>56921</c:v>
                </c:pt>
                <c:pt idx="2493">
                  <c:v>56928</c:v>
                </c:pt>
                <c:pt idx="2494">
                  <c:v>56935</c:v>
                </c:pt>
                <c:pt idx="2495">
                  <c:v>56942</c:v>
                </c:pt>
                <c:pt idx="2496">
                  <c:v>56949</c:v>
                </c:pt>
                <c:pt idx="2497">
                  <c:v>56956</c:v>
                </c:pt>
                <c:pt idx="2498">
                  <c:v>56963</c:v>
                </c:pt>
                <c:pt idx="2499">
                  <c:v>56970</c:v>
                </c:pt>
                <c:pt idx="2500">
                  <c:v>56977</c:v>
                </c:pt>
                <c:pt idx="2501">
                  <c:v>56984</c:v>
                </c:pt>
                <c:pt idx="2502">
                  <c:v>56991</c:v>
                </c:pt>
                <c:pt idx="2503">
                  <c:v>56998</c:v>
                </c:pt>
                <c:pt idx="2504">
                  <c:v>57005</c:v>
                </c:pt>
                <c:pt idx="2505">
                  <c:v>57012</c:v>
                </c:pt>
                <c:pt idx="2506">
                  <c:v>57019</c:v>
                </c:pt>
                <c:pt idx="2507">
                  <c:v>57026</c:v>
                </c:pt>
                <c:pt idx="2508">
                  <c:v>57033</c:v>
                </c:pt>
                <c:pt idx="2509">
                  <c:v>57040</c:v>
                </c:pt>
                <c:pt idx="2510">
                  <c:v>57047</c:v>
                </c:pt>
                <c:pt idx="2511">
                  <c:v>57054</c:v>
                </c:pt>
                <c:pt idx="2512">
                  <c:v>57061</c:v>
                </c:pt>
                <c:pt idx="2513">
                  <c:v>57068</c:v>
                </c:pt>
                <c:pt idx="2514">
                  <c:v>57076</c:v>
                </c:pt>
                <c:pt idx="2515">
                  <c:v>57083</c:v>
                </c:pt>
                <c:pt idx="2516">
                  <c:v>57090</c:v>
                </c:pt>
                <c:pt idx="2517">
                  <c:v>57097</c:v>
                </c:pt>
                <c:pt idx="2518">
                  <c:v>57104</c:v>
                </c:pt>
                <c:pt idx="2519">
                  <c:v>57112</c:v>
                </c:pt>
                <c:pt idx="2520">
                  <c:v>57118</c:v>
                </c:pt>
                <c:pt idx="2521">
                  <c:v>57125</c:v>
                </c:pt>
                <c:pt idx="2522">
                  <c:v>57132</c:v>
                </c:pt>
                <c:pt idx="2523">
                  <c:v>57139</c:v>
                </c:pt>
                <c:pt idx="2524">
                  <c:v>57146</c:v>
                </c:pt>
                <c:pt idx="2525">
                  <c:v>57153</c:v>
                </c:pt>
                <c:pt idx="2526">
                  <c:v>57160</c:v>
                </c:pt>
                <c:pt idx="2527">
                  <c:v>57167</c:v>
                </c:pt>
                <c:pt idx="2528">
                  <c:v>57174</c:v>
                </c:pt>
                <c:pt idx="2529">
                  <c:v>57181</c:v>
                </c:pt>
                <c:pt idx="2530">
                  <c:v>57188</c:v>
                </c:pt>
                <c:pt idx="2531">
                  <c:v>57195</c:v>
                </c:pt>
                <c:pt idx="2532">
                  <c:v>57202</c:v>
                </c:pt>
                <c:pt idx="2533">
                  <c:v>57209</c:v>
                </c:pt>
                <c:pt idx="2534">
                  <c:v>57216</c:v>
                </c:pt>
                <c:pt idx="2535">
                  <c:v>57223</c:v>
                </c:pt>
                <c:pt idx="2536">
                  <c:v>57230</c:v>
                </c:pt>
                <c:pt idx="2537">
                  <c:v>57237</c:v>
                </c:pt>
                <c:pt idx="2538">
                  <c:v>57244</c:v>
                </c:pt>
                <c:pt idx="2539">
                  <c:v>57251</c:v>
                </c:pt>
                <c:pt idx="2540">
                  <c:v>57258</c:v>
                </c:pt>
                <c:pt idx="2541">
                  <c:v>57265</c:v>
                </c:pt>
                <c:pt idx="2542">
                  <c:v>57272</c:v>
                </c:pt>
                <c:pt idx="2543">
                  <c:v>57279</c:v>
                </c:pt>
                <c:pt idx="2544">
                  <c:v>57286</c:v>
                </c:pt>
                <c:pt idx="2545">
                  <c:v>57293</c:v>
                </c:pt>
                <c:pt idx="2546">
                  <c:v>57300</c:v>
                </c:pt>
                <c:pt idx="2547">
                  <c:v>57307</c:v>
                </c:pt>
                <c:pt idx="2548">
                  <c:v>57314</c:v>
                </c:pt>
                <c:pt idx="2549">
                  <c:v>57321</c:v>
                </c:pt>
                <c:pt idx="2550">
                  <c:v>57328</c:v>
                </c:pt>
                <c:pt idx="2551">
                  <c:v>57335</c:v>
                </c:pt>
                <c:pt idx="2552">
                  <c:v>57343</c:v>
                </c:pt>
                <c:pt idx="2553">
                  <c:v>57350</c:v>
                </c:pt>
                <c:pt idx="2554">
                  <c:v>57357</c:v>
                </c:pt>
                <c:pt idx="2555">
                  <c:v>57364</c:v>
                </c:pt>
                <c:pt idx="2556">
                  <c:v>57371</c:v>
                </c:pt>
                <c:pt idx="2557">
                  <c:v>57378</c:v>
                </c:pt>
                <c:pt idx="2558">
                  <c:v>57385</c:v>
                </c:pt>
                <c:pt idx="2559">
                  <c:v>57392</c:v>
                </c:pt>
                <c:pt idx="2560">
                  <c:v>57399</c:v>
                </c:pt>
                <c:pt idx="2561">
                  <c:v>57406</c:v>
                </c:pt>
                <c:pt idx="2562">
                  <c:v>57413</c:v>
                </c:pt>
                <c:pt idx="2563">
                  <c:v>57420</c:v>
                </c:pt>
                <c:pt idx="2564">
                  <c:v>57427</c:v>
                </c:pt>
                <c:pt idx="2565">
                  <c:v>57434</c:v>
                </c:pt>
                <c:pt idx="2566">
                  <c:v>57441</c:v>
                </c:pt>
                <c:pt idx="2567">
                  <c:v>57448</c:v>
                </c:pt>
                <c:pt idx="2568">
                  <c:v>57459</c:v>
                </c:pt>
                <c:pt idx="2569">
                  <c:v>57462</c:v>
                </c:pt>
                <c:pt idx="2570">
                  <c:v>57469</c:v>
                </c:pt>
                <c:pt idx="2571">
                  <c:v>57476</c:v>
                </c:pt>
                <c:pt idx="2572">
                  <c:v>57483</c:v>
                </c:pt>
                <c:pt idx="2573">
                  <c:v>57490</c:v>
                </c:pt>
                <c:pt idx="2574">
                  <c:v>57500</c:v>
                </c:pt>
                <c:pt idx="2575">
                  <c:v>57504</c:v>
                </c:pt>
                <c:pt idx="2576">
                  <c:v>57511</c:v>
                </c:pt>
                <c:pt idx="2577">
                  <c:v>57521</c:v>
                </c:pt>
                <c:pt idx="2578">
                  <c:v>57525</c:v>
                </c:pt>
                <c:pt idx="2579">
                  <c:v>57532</c:v>
                </c:pt>
                <c:pt idx="2580">
                  <c:v>57539</c:v>
                </c:pt>
                <c:pt idx="2581">
                  <c:v>57546</c:v>
                </c:pt>
                <c:pt idx="2582">
                  <c:v>57553</c:v>
                </c:pt>
                <c:pt idx="2583">
                  <c:v>57560</c:v>
                </c:pt>
                <c:pt idx="2584">
                  <c:v>57567</c:v>
                </c:pt>
                <c:pt idx="2585">
                  <c:v>57574</c:v>
                </c:pt>
                <c:pt idx="2586">
                  <c:v>57581</c:v>
                </c:pt>
                <c:pt idx="2587">
                  <c:v>57588</c:v>
                </c:pt>
                <c:pt idx="2588">
                  <c:v>57595</c:v>
                </c:pt>
                <c:pt idx="2589">
                  <c:v>57602</c:v>
                </c:pt>
                <c:pt idx="2590">
                  <c:v>57609</c:v>
                </c:pt>
                <c:pt idx="2591">
                  <c:v>57616</c:v>
                </c:pt>
                <c:pt idx="2592">
                  <c:v>57623</c:v>
                </c:pt>
                <c:pt idx="2593">
                  <c:v>57630</c:v>
                </c:pt>
                <c:pt idx="2594">
                  <c:v>57637</c:v>
                </c:pt>
                <c:pt idx="2595">
                  <c:v>57644</c:v>
                </c:pt>
                <c:pt idx="2596">
                  <c:v>57651</c:v>
                </c:pt>
                <c:pt idx="2597">
                  <c:v>57658</c:v>
                </c:pt>
                <c:pt idx="2598">
                  <c:v>57665</c:v>
                </c:pt>
                <c:pt idx="2599">
                  <c:v>57672</c:v>
                </c:pt>
                <c:pt idx="2600">
                  <c:v>57679</c:v>
                </c:pt>
                <c:pt idx="2601">
                  <c:v>57686</c:v>
                </c:pt>
                <c:pt idx="2602">
                  <c:v>57693</c:v>
                </c:pt>
                <c:pt idx="2603">
                  <c:v>57700</c:v>
                </c:pt>
                <c:pt idx="2604">
                  <c:v>57712</c:v>
                </c:pt>
                <c:pt idx="2605">
                  <c:v>57717</c:v>
                </c:pt>
                <c:pt idx="2606">
                  <c:v>57724</c:v>
                </c:pt>
                <c:pt idx="2607">
                  <c:v>57731</c:v>
                </c:pt>
                <c:pt idx="2608">
                  <c:v>57738</c:v>
                </c:pt>
                <c:pt idx="2609">
                  <c:v>57745</c:v>
                </c:pt>
                <c:pt idx="2610">
                  <c:v>57752</c:v>
                </c:pt>
                <c:pt idx="2611">
                  <c:v>57759</c:v>
                </c:pt>
                <c:pt idx="2612">
                  <c:v>57766</c:v>
                </c:pt>
                <c:pt idx="2613">
                  <c:v>57773</c:v>
                </c:pt>
                <c:pt idx="2614">
                  <c:v>57780</c:v>
                </c:pt>
                <c:pt idx="2615">
                  <c:v>57787</c:v>
                </c:pt>
                <c:pt idx="2616">
                  <c:v>57794</c:v>
                </c:pt>
                <c:pt idx="2617">
                  <c:v>57801</c:v>
                </c:pt>
                <c:pt idx="2618">
                  <c:v>57808</c:v>
                </c:pt>
                <c:pt idx="2619">
                  <c:v>57817</c:v>
                </c:pt>
                <c:pt idx="2620">
                  <c:v>57822</c:v>
                </c:pt>
                <c:pt idx="2621">
                  <c:v>57829</c:v>
                </c:pt>
                <c:pt idx="2622">
                  <c:v>57836</c:v>
                </c:pt>
                <c:pt idx="2623">
                  <c:v>57843</c:v>
                </c:pt>
                <c:pt idx="2624">
                  <c:v>57850</c:v>
                </c:pt>
                <c:pt idx="2625">
                  <c:v>57858</c:v>
                </c:pt>
                <c:pt idx="2626">
                  <c:v>57866</c:v>
                </c:pt>
                <c:pt idx="2627">
                  <c:v>57872</c:v>
                </c:pt>
                <c:pt idx="2628">
                  <c:v>57879</c:v>
                </c:pt>
                <c:pt idx="2629">
                  <c:v>57887</c:v>
                </c:pt>
                <c:pt idx="2630">
                  <c:v>57894</c:v>
                </c:pt>
                <c:pt idx="2631">
                  <c:v>57901</c:v>
                </c:pt>
                <c:pt idx="2632">
                  <c:v>57908</c:v>
                </c:pt>
                <c:pt idx="2633">
                  <c:v>57915</c:v>
                </c:pt>
                <c:pt idx="2634">
                  <c:v>57922</c:v>
                </c:pt>
                <c:pt idx="2635">
                  <c:v>57929</c:v>
                </c:pt>
                <c:pt idx="2636">
                  <c:v>57936</c:v>
                </c:pt>
                <c:pt idx="2637">
                  <c:v>57943</c:v>
                </c:pt>
                <c:pt idx="2638">
                  <c:v>57950</c:v>
                </c:pt>
                <c:pt idx="2639">
                  <c:v>57957</c:v>
                </c:pt>
                <c:pt idx="2640">
                  <c:v>57964</c:v>
                </c:pt>
                <c:pt idx="2641">
                  <c:v>57971</c:v>
                </c:pt>
                <c:pt idx="2642">
                  <c:v>57978</c:v>
                </c:pt>
                <c:pt idx="2643">
                  <c:v>57985</c:v>
                </c:pt>
                <c:pt idx="2644">
                  <c:v>57992</c:v>
                </c:pt>
                <c:pt idx="2645">
                  <c:v>57999</c:v>
                </c:pt>
                <c:pt idx="2646">
                  <c:v>58006</c:v>
                </c:pt>
                <c:pt idx="2647">
                  <c:v>58013</c:v>
                </c:pt>
                <c:pt idx="2648">
                  <c:v>58020</c:v>
                </c:pt>
                <c:pt idx="2649">
                  <c:v>58027</c:v>
                </c:pt>
                <c:pt idx="2650">
                  <c:v>58034</c:v>
                </c:pt>
                <c:pt idx="2651">
                  <c:v>58041</c:v>
                </c:pt>
                <c:pt idx="2652">
                  <c:v>58048</c:v>
                </c:pt>
                <c:pt idx="2653">
                  <c:v>58055</c:v>
                </c:pt>
                <c:pt idx="2654">
                  <c:v>58062</c:v>
                </c:pt>
                <c:pt idx="2655">
                  <c:v>58074</c:v>
                </c:pt>
                <c:pt idx="2656">
                  <c:v>58078</c:v>
                </c:pt>
                <c:pt idx="2657">
                  <c:v>58084</c:v>
                </c:pt>
                <c:pt idx="2658">
                  <c:v>58091</c:v>
                </c:pt>
                <c:pt idx="2659">
                  <c:v>58098</c:v>
                </c:pt>
                <c:pt idx="2660">
                  <c:v>58105</c:v>
                </c:pt>
                <c:pt idx="2661">
                  <c:v>58112</c:v>
                </c:pt>
                <c:pt idx="2662">
                  <c:v>58119</c:v>
                </c:pt>
                <c:pt idx="2663">
                  <c:v>58126</c:v>
                </c:pt>
                <c:pt idx="2664">
                  <c:v>58133</c:v>
                </c:pt>
                <c:pt idx="2665">
                  <c:v>58140</c:v>
                </c:pt>
                <c:pt idx="2666">
                  <c:v>58147</c:v>
                </c:pt>
                <c:pt idx="2667">
                  <c:v>58154</c:v>
                </c:pt>
                <c:pt idx="2668">
                  <c:v>58161</c:v>
                </c:pt>
                <c:pt idx="2669">
                  <c:v>58168</c:v>
                </c:pt>
                <c:pt idx="2670">
                  <c:v>58175</c:v>
                </c:pt>
                <c:pt idx="2671">
                  <c:v>58182</c:v>
                </c:pt>
                <c:pt idx="2672">
                  <c:v>58189</c:v>
                </c:pt>
                <c:pt idx="2673">
                  <c:v>58197</c:v>
                </c:pt>
                <c:pt idx="2674">
                  <c:v>58204</c:v>
                </c:pt>
                <c:pt idx="2675">
                  <c:v>58210</c:v>
                </c:pt>
                <c:pt idx="2676">
                  <c:v>58217</c:v>
                </c:pt>
                <c:pt idx="2677">
                  <c:v>58224</c:v>
                </c:pt>
                <c:pt idx="2678">
                  <c:v>58231</c:v>
                </c:pt>
                <c:pt idx="2679">
                  <c:v>58238</c:v>
                </c:pt>
                <c:pt idx="2680">
                  <c:v>58245</c:v>
                </c:pt>
                <c:pt idx="2681">
                  <c:v>58252</c:v>
                </c:pt>
                <c:pt idx="2682">
                  <c:v>58259</c:v>
                </c:pt>
                <c:pt idx="2683">
                  <c:v>58266</c:v>
                </c:pt>
                <c:pt idx="2684">
                  <c:v>58273</c:v>
                </c:pt>
                <c:pt idx="2685">
                  <c:v>58280</c:v>
                </c:pt>
                <c:pt idx="2686">
                  <c:v>58287</c:v>
                </c:pt>
                <c:pt idx="2687">
                  <c:v>58294</c:v>
                </c:pt>
                <c:pt idx="2688">
                  <c:v>58301</c:v>
                </c:pt>
                <c:pt idx="2689">
                  <c:v>58308</c:v>
                </c:pt>
                <c:pt idx="2690">
                  <c:v>58315</c:v>
                </c:pt>
                <c:pt idx="2691">
                  <c:v>58322</c:v>
                </c:pt>
                <c:pt idx="2692">
                  <c:v>58329</c:v>
                </c:pt>
                <c:pt idx="2693">
                  <c:v>58336</c:v>
                </c:pt>
                <c:pt idx="2694">
                  <c:v>58343</c:v>
                </c:pt>
                <c:pt idx="2695">
                  <c:v>58350</c:v>
                </c:pt>
                <c:pt idx="2696">
                  <c:v>58357</c:v>
                </c:pt>
                <c:pt idx="2697">
                  <c:v>58364</c:v>
                </c:pt>
                <c:pt idx="2698">
                  <c:v>58371</c:v>
                </c:pt>
                <c:pt idx="2699">
                  <c:v>58378</c:v>
                </c:pt>
                <c:pt idx="2700">
                  <c:v>58385</c:v>
                </c:pt>
                <c:pt idx="2701">
                  <c:v>58392</c:v>
                </c:pt>
                <c:pt idx="2702">
                  <c:v>58399</c:v>
                </c:pt>
                <c:pt idx="2703">
                  <c:v>58406</c:v>
                </c:pt>
                <c:pt idx="2704">
                  <c:v>58413</c:v>
                </c:pt>
                <c:pt idx="2705">
                  <c:v>58420</c:v>
                </c:pt>
                <c:pt idx="2706">
                  <c:v>58427</c:v>
                </c:pt>
                <c:pt idx="2707">
                  <c:v>58439</c:v>
                </c:pt>
                <c:pt idx="2708">
                  <c:v>58445</c:v>
                </c:pt>
                <c:pt idx="2709">
                  <c:v>58449</c:v>
                </c:pt>
                <c:pt idx="2710">
                  <c:v>58456</c:v>
                </c:pt>
                <c:pt idx="2711">
                  <c:v>58463</c:v>
                </c:pt>
                <c:pt idx="2712">
                  <c:v>58470</c:v>
                </c:pt>
                <c:pt idx="2713">
                  <c:v>58477</c:v>
                </c:pt>
                <c:pt idx="2714">
                  <c:v>58484</c:v>
                </c:pt>
                <c:pt idx="2715">
                  <c:v>58491</c:v>
                </c:pt>
                <c:pt idx="2716">
                  <c:v>58498</c:v>
                </c:pt>
                <c:pt idx="2717">
                  <c:v>58505</c:v>
                </c:pt>
                <c:pt idx="2718">
                  <c:v>58512</c:v>
                </c:pt>
                <c:pt idx="2719">
                  <c:v>58519</c:v>
                </c:pt>
                <c:pt idx="2720">
                  <c:v>58526</c:v>
                </c:pt>
                <c:pt idx="2721">
                  <c:v>58533</c:v>
                </c:pt>
                <c:pt idx="2722">
                  <c:v>58540</c:v>
                </c:pt>
                <c:pt idx="2723">
                  <c:v>58551</c:v>
                </c:pt>
                <c:pt idx="2724">
                  <c:v>58554</c:v>
                </c:pt>
                <c:pt idx="2725">
                  <c:v>58561</c:v>
                </c:pt>
                <c:pt idx="2726">
                  <c:v>58568</c:v>
                </c:pt>
                <c:pt idx="2727">
                  <c:v>58575</c:v>
                </c:pt>
                <c:pt idx="2728">
                  <c:v>58582</c:v>
                </c:pt>
                <c:pt idx="2729">
                  <c:v>58592</c:v>
                </c:pt>
                <c:pt idx="2730">
                  <c:v>58596</c:v>
                </c:pt>
                <c:pt idx="2731">
                  <c:v>58603</c:v>
                </c:pt>
                <c:pt idx="2732">
                  <c:v>58610</c:v>
                </c:pt>
                <c:pt idx="2733">
                  <c:v>58620</c:v>
                </c:pt>
                <c:pt idx="2734">
                  <c:v>58624</c:v>
                </c:pt>
                <c:pt idx="2735">
                  <c:v>58631</c:v>
                </c:pt>
                <c:pt idx="2736">
                  <c:v>58638</c:v>
                </c:pt>
                <c:pt idx="2737">
                  <c:v>58645</c:v>
                </c:pt>
                <c:pt idx="2738">
                  <c:v>58652</c:v>
                </c:pt>
                <c:pt idx="2739">
                  <c:v>58659</c:v>
                </c:pt>
                <c:pt idx="2740">
                  <c:v>58666</c:v>
                </c:pt>
                <c:pt idx="2741">
                  <c:v>58673</c:v>
                </c:pt>
                <c:pt idx="2742">
                  <c:v>58680</c:v>
                </c:pt>
                <c:pt idx="2743">
                  <c:v>58687</c:v>
                </c:pt>
                <c:pt idx="2744">
                  <c:v>58694</c:v>
                </c:pt>
                <c:pt idx="2745">
                  <c:v>58701</c:v>
                </c:pt>
                <c:pt idx="2746">
                  <c:v>58708</c:v>
                </c:pt>
                <c:pt idx="2747">
                  <c:v>58715</c:v>
                </c:pt>
                <c:pt idx="2748">
                  <c:v>58722</c:v>
                </c:pt>
                <c:pt idx="2749">
                  <c:v>58729</c:v>
                </c:pt>
                <c:pt idx="2750">
                  <c:v>58736</c:v>
                </c:pt>
                <c:pt idx="2751">
                  <c:v>58743</c:v>
                </c:pt>
                <c:pt idx="2752">
                  <c:v>58750</c:v>
                </c:pt>
                <c:pt idx="2753">
                  <c:v>58757</c:v>
                </c:pt>
                <c:pt idx="2754">
                  <c:v>58764</c:v>
                </c:pt>
                <c:pt idx="2755">
                  <c:v>58771</c:v>
                </c:pt>
                <c:pt idx="2756">
                  <c:v>58778</c:v>
                </c:pt>
                <c:pt idx="2757">
                  <c:v>58785</c:v>
                </c:pt>
                <c:pt idx="2758">
                  <c:v>58792</c:v>
                </c:pt>
                <c:pt idx="2759">
                  <c:v>58802</c:v>
                </c:pt>
                <c:pt idx="2760">
                  <c:v>58809</c:v>
                </c:pt>
                <c:pt idx="2761">
                  <c:v>58816</c:v>
                </c:pt>
                <c:pt idx="2762">
                  <c:v>58820</c:v>
                </c:pt>
                <c:pt idx="2763">
                  <c:v>58827</c:v>
                </c:pt>
                <c:pt idx="2764">
                  <c:v>58834</c:v>
                </c:pt>
                <c:pt idx="2765">
                  <c:v>58841</c:v>
                </c:pt>
                <c:pt idx="2766">
                  <c:v>58848</c:v>
                </c:pt>
                <c:pt idx="2767">
                  <c:v>58855</c:v>
                </c:pt>
                <c:pt idx="2768">
                  <c:v>58862</c:v>
                </c:pt>
                <c:pt idx="2769">
                  <c:v>58869</c:v>
                </c:pt>
                <c:pt idx="2770">
                  <c:v>58876</c:v>
                </c:pt>
                <c:pt idx="2771">
                  <c:v>58883</c:v>
                </c:pt>
                <c:pt idx="2772">
                  <c:v>58890</c:v>
                </c:pt>
                <c:pt idx="2773">
                  <c:v>58897</c:v>
                </c:pt>
                <c:pt idx="2774">
                  <c:v>58908</c:v>
                </c:pt>
                <c:pt idx="2775">
                  <c:v>58911</c:v>
                </c:pt>
                <c:pt idx="2776">
                  <c:v>58918</c:v>
                </c:pt>
                <c:pt idx="2777">
                  <c:v>58925</c:v>
                </c:pt>
                <c:pt idx="2778">
                  <c:v>58932</c:v>
                </c:pt>
                <c:pt idx="2779">
                  <c:v>58939</c:v>
                </c:pt>
                <c:pt idx="2780">
                  <c:v>58949</c:v>
                </c:pt>
                <c:pt idx="2781">
                  <c:v>58953</c:v>
                </c:pt>
                <c:pt idx="2782">
                  <c:v>58960</c:v>
                </c:pt>
                <c:pt idx="2783">
                  <c:v>58967</c:v>
                </c:pt>
                <c:pt idx="2784">
                  <c:v>58974</c:v>
                </c:pt>
                <c:pt idx="2785">
                  <c:v>58984</c:v>
                </c:pt>
                <c:pt idx="2786">
                  <c:v>58988</c:v>
                </c:pt>
                <c:pt idx="2787">
                  <c:v>58995</c:v>
                </c:pt>
                <c:pt idx="2788">
                  <c:v>59002</c:v>
                </c:pt>
                <c:pt idx="2789">
                  <c:v>59009</c:v>
                </c:pt>
                <c:pt idx="2790">
                  <c:v>59016</c:v>
                </c:pt>
                <c:pt idx="2791">
                  <c:v>59023</c:v>
                </c:pt>
                <c:pt idx="2792">
                  <c:v>59030</c:v>
                </c:pt>
                <c:pt idx="2793">
                  <c:v>59037</c:v>
                </c:pt>
                <c:pt idx="2794">
                  <c:v>59044</c:v>
                </c:pt>
                <c:pt idx="2795">
                  <c:v>59051</c:v>
                </c:pt>
                <c:pt idx="2796">
                  <c:v>59058</c:v>
                </c:pt>
                <c:pt idx="2797">
                  <c:v>59065</c:v>
                </c:pt>
                <c:pt idx="2798">
                  <c:v>59072</c:v>
                </c:pt>
                <c:pt idx="2799">
                  <c:v>59079</c:v>
                </c:pt>
                <c:pt idx="2800">
                  <c:v>59086</c:v>
                </c:pt>
                <c:pt idx="2801">
                  <c:v>59093</c:v>
                </c:pt>
                <c:pt idx="2802">
                  <c:v>59100</c:v>
                </c:pt>
                <c:pt idx="2803">
                  <c:v>59107</c:v>
                </c:pt>
                <c:pt idx="2804">
                  <c:v>59114</c:v>
                </c:pt>
                <c:pt idx="2805">
                  <c:v>59121</c:v>
                </c:pt>
                <c:pt idx="2806">
                  <c:v>59128</c:v>
                </c:pt>
                <c:pt idx="2807">
                  <c:v>59135</c:v>
                </c:pt>
                <c:pt idx="2808">
                  <c:v>59142</c:v>
                </c:pt>
                <c:pt idx="2809">
                  <c:v>59149</c:v>
                </c:pt>
                <c:pt idx="2810">
                  <c:v>59156</c:v>
                </c:pt>
                <c:pt idx="2811">
                  <c:v>59163</c:v>
                </c:pt>
                <c:pt idx="2812">
                  <c:v>59170</c:v>
                </c:pt>
                <c:pt idx="2813">
                  <c:v>59180</c:v>
                </c:pt>
                <c:pt idx="2814">
                  <c:v>59184</c:v>
                </c:pt>
                <c:pt idx="2815">
                  <c:v>59191</c:v>
                </c:pt>
                <c:pt idx="2816">
                  <c:v>59198</c:v>
                </c:pt>
                <c:pt idx="2817">
                  <c:v>59205</c:v>
                </c:pt>
                <c:pt idx="2818">
                  <c:v>59212</c:v>
                </c:pt>
                <c:pt idx="2819">
                  <c:v>59219</c:v>
                </c:pt>
                <c:pt idx="2820">
                  <c:v>59226</c:v>
                </c:pt>
                <c:pt idx="2821">
                  <c:v>59233</c:v>
                </c:pt>
                <c:pt idx="2822">
                  <c:v>59240</c:v>
                </c:pt>
                <c:pt idx="2823">
                  <c:v>59247</c:v>
                </c:pt>
                <c:pt idx="2824">
                  <c:v>59258</c:v>
                </c:pt>
                <c:pt idx="2825">
                  <c:v>59261</c:v>
                </c:pt>
                <c:pt idx="2826">
                  <c:v>59268</c:v>
                </c:pt>
                <c:pt idx="2827">
                  <c:v>59275</c:v>
                </c:pt>
                <c:pt idx="2828">
                  <c:v>59282</c:v>
                </c:pt>
                <c:pt idx="2829">
                  <c:v>59289</c:v>
                </c:pt>
                <c:pt idx="2830">
                  <c:v>59299</c:v>
                </c:pt>
                <c:pt idx="2831">
                  <c:v>59303</c:v>
                </c:pt>
                <c:pt idx="2832">
                  <c:v>59310</c:v>
                </c:pt>
                <c:pt idx="2833">
                  <c:v>59317</c:v>
                </c:pt>
                <c:pt idx="2834">
                  <c:v>59324</c:v>
                </c:pt>
                <c:pt idx="2835">
                  <c:v>59331</c:v>
                </c:pt>
                <c:pt idx="2836">
                  <c:v>59338</c:v>
                </c:pt>
                <c:pt idx="2837">
                  <c:v>59348</c:v>
                </c:pt>
                <c:pt idx="2838">
                  <c:v>59352</c:v>
                </c:pt>
                <c:pt idx="2839">
                  <c:v>59359</c:v>
                </c:pt>
                <c:pt idx="2840">
                  <c:v>59366</c:v>
                </c:pt>
                <c:pt idx="2841">
                  <c:v>59373</c:v>
                </c:pt>
                <c:pt idx="2842">
                  <c:v>59380</c:v>
                </c:pt>
                <c:pt idx="2843">
                  <c:v>59387</c:v>
                </c:pt>
                <c:pt idx="2844">
                  <c:v>59394</c:v>
                </c:pt>
                <c:pt idx="2845">
                  <c:v>59401</c:v>
                </c:pt>
                <c:pt idx="2846">
                  <c:v>59408</c:v>
                </c:pt>
                <c:pt idx="2847">
                  <c:v>59415</c:v>
                </c:pt>
                <c:pt idx="2848">
                  <c:v>59422</c:v>
                </c:pt>
                <c:pt idx="2849">
                  <c:v>59429</c:v>
                </c:pt>
                <c:pt idx="2850">
                  <c:v>59436</c:v>
                </c:pt>
                <c:pt idx="2851">
                  <c:v>59443</c:v>
                </c:pt>
                <c:pt idx="2852">
                  <c:v>59450</c:v>
                </c:pt>
                <c:pt idx="2853">
                  <c:v>59457</c:v>
                </c:pt>
                <c:pt idx="2854">
                  <c:v>59464</c:v>
                </c:pt>
                <c:pt idx="2855">
                  <c:v>59471</c:v>
                </c:pt>
                <c:pt idx="2856">
                  <c:v>59478</c:v>
                </c:pt>
                <c:pt idx="2857">
                  <c:v>59485</c:v>
                </c:pt>
                <c:pt idx="2858">
                  <c:v>59492</c:v>
                </c:pt>
                <c:pt idx="2859">
                  <c:v>59499</c:v>
                </c:pt>
                <c:pt idx="2860">
                  <c:v>59506</c:v>
                </c:pt>
                <c:pt idx="2861">
                  <c:v>59513</c:v>
                </c:pt>
                <c:pt idx="2862">
                  <c:v>59520</c:v>
                </c:pt>
                <c:pt idx="2863">
                  <c:v>59527</c:v>
                </c:pt>
                <c:pt idx="2864">
                  <c:v>59534</c:v>
                </c:pt>
                <c:pt idx="2865">
                  <c:v>59541</c:v>
                </c:pt>
                <c:pt idx="2866">
                  <c:v>59548</c:v>
                </c:pt>
                <c:pt idx="2867">
                  <c:v>59555</c:v>
                </c:pt>
                <c:pt idx="2868">
                  <c:v>59562</c:v>
                </c:pt>
                <c:pt idx="2869">
                  <c:v>59569</c:v>
                </c:pt>
                <c:pt idx="2870">
                  <c:v>59576</c:v>
                </c:pt>
                <c:pt idx="2871">
                  <c:v>59583</c:v>
                </c:pt>
                <c:pt idx="2872">
                  <c:v>59590</c:v>
                </c:pt>
                <c:pt idx="2873">
                  <c:v>59597</c:v>
                </c:pt>
                <c:pt idx="2874">
                  <c:v>59604</c:v>
                </c:pt>
                <c:pt idx="2875">
                  <c:v>59611</c:v>
                </c:pt>
                <c:pt idx="2876">
                  <c:v>59618</c:v>
                </c:pt>
                <c:pt idx="2877">
                  <c:v>59625</c:v>
                </c:pt>
                <c:pt idx="2878">
                  <c:v>59632</c:v>
                </c:pt>
                <c:pt idx="2879">
                  <c:v>59643</c:v>
                </c:pt>
                <c:pt idx="2880">
                  <c:v>59646</c:v>
                </c:pt>
                <c:pt idx="2881">
                  <c:v>59653</c:v>
                </c:pt>
                <c:pt idx="2882">
                  <c:v>59660</c:v>
                </c:pt>
                <c:pt idx="2883">
                  <c:v>59667</c:v>
                </c:pt>
                <c:pt idx="2884">
                  <c:v>59674</c:v>
                </c:pt>
                <c:pt idx="2885">
                  <c:v>59684</c:v>
                </c:pt>
                <c:pt idx="2886">
                  <c:v>59688</c:v>
                </c:pt>
                <c:pt idx="2887">
                  <c:v>59695</c:v>
                </c:pt>
                <c:pt idx="2888">
                  <c:v>59702</c:v>
                </c:pt>
                <c:pt idx="2889">
                  <c:v>59712</c:v>
                </c:pt>
                <c:pt idx="2890">
                  <c:v>59716</c:v>
                </c:pt>
                <c:pt idx="2891">
                  <c:v>59723</c:v>
                </c:pt>
                <c:pt idx="2892">
                  <c:v>59730</c:v>
                </c:pt>
                <c:pt idx="2893">
                  <c:v>59737</c:v>
                </c:pt>
                <c:pt idx="2894">
                  <c:v>59744</c:v>
                </c:pt>
                <c:pt idx="2895">
                  <c:v>59751</c:v>
                </c:pt>
                <c:pt idx="2896">
                  <c:v>59758</c:v>
                </c:pt>
                <c:pt idx="2897">
                  <c:v>59765</c:v>
                </c:pt>
                <c:pt idx="2898">
                  <c:v>59772</c:v>
                </c:pt>
                <c:pt idx="2899">
                  <c:v>59779</c:v>
                </c:pt>
                <c:pt idx="2900">
                  <c:v>59786</c:v>
                </c:pt>
                <c:pt idx="2901">
                  <c:v>59793</c:v>
                </c:pt>
                <c:pt idx="2902">
                  <c:v>59800</c:v>
                </c:pt>
                <c:pt idx="2903">
                  <c:v>59807</c:v>
                </c:pt>
                <c:pt idx="2904">
                  <c:v>59814</c:v>
                </c:pt>
                <c:pt idx="2905">
                  <c:v>59821</c:v>
                </c:pt>
                <c:pt idx="2906">
                  <c:v>59828</c:v>
                </c:pt>
                <c:pt idx="2907">
                  <c:v>59835</c:v>
                </c:pt>
                <c:pt idx="2908">
                  <c:v>59842</c:v>
                </c:pt>
                <c:pt idx="2909">
                  <c:v>59849</c:v>
                </c:pt>
                <c:pt idx="2910">
                  <c:v>59856</c:v>
                </c:pt>
                <c:pt idx="2911">
                  <c:v>59863</c:v>
                </c:pt>
                <c:pt idx="2912">
                  <c:v>59870</c:v>
                </c:pt>
                <c:pt idx="2913">
                  <c:v>59877</c:v>
                </c:pt>
                <c:pt idx="2914">
                  <c:v>59884</c:v>
                </c:pt>
                <c:pt idx="2915">
                  <c:v>59891</c:v>
                </c:pt>
                <c:pt idx="2916">
                  <c:v>59903</c:v>
                </c:pt>
                <c:pt idx="2917">
                  <c:v>59908</c:v>
                </c:pt>
                <c:pt idx="2918">
                  <c:v>59915</c:v>
                </c:pt>
                <c:pt idx="2919">
                  <c:v>59922</c:v>
                </c:pt>
                <c:pt idx="2920">
                  <c:v>59929</c:v>
                </c:pt>
                <c:pt idx="2921">
                  <c:v>59936</c:v>
                </c:pt>
                <c:pt idx="2922">
                  <c:v>59943</c:v>
                </c:pt>
                <c:pt idx="2923">
                  <c:v>59950</c:v>
                </c:pt>
                <c:pt idx="2924">
                  <c:v>59957</c:v>
                </c:pt>
                <c:pt idx="2925">
                  <c:v>59964</c:v>
                </c:pt>
                <c:pt idx="2926">
                  <c:v>59971</c:v>
                </c:pt>
                <c:pt idx="2927">
                  <c:v>59978</c:v>
                </c:pt>
                <c:pt idx="2928">
                  <c:v>59985</c:v>
                </c:pt>
                <c:pt idx="2929">
                  <c:v>59992</c:v>
                </c:pt>
                <c:pt idx="2930">
                  <c:v>60001</c:v>
                </c:pt>
                <c:pt idx="2931">
                  <c:v>60006</c:v>
                </c:pt>
                <c:pt idx="2932">
                  <c:v>60013</c:v>
                </c:pt>
                <c:pt idx="2933">
                  <c:v>60020</c:v>
                </c:pt>
                <c:pt idx="2934">
                  <c:v>60028</c:v>
                </c:pt>
                <c:pt idx="2935">
                  <c:v>60035</c:v>
                </c:pt>
                <c:pt idx="2936">
                  <c:v>60042</c:v>
                </c:pt>
                <c:pt idx="2937">
                  <c:v>60050</c:v>
                </c:pt>
                <c:pt idx="2938">
                  <c:v>60056</c:v>
                </c:pt>
                <c:pt idx="2939">
                  <c:v>60063</c:v>
                </c:pt>
                <c:pt idx="2940">
                  <c:v>60070</c:v>
                </c:pt>
                <c:pt idx="2941">
                  <c:v>60078</c:v>
                </c:pt>
                <c:pt idx="2942">
                  <c:v>60085</c:v>
                </c:pt>
                <c:pt idx="2943">
                  <c:v>60092</c:v>
                </c:pt>
                <c:pt idx="2944">
                  <c:v>60099</c:v>
                </c:pt>
                <c:pt idx="2945">
                  <c:v>60106</c:v>
                </c:pt>
                <c:pt idx="2946">
                  <c:v>60113</c:v>
                </c:pt>
                <c:pt idx="2947">
                  <c:v>60120</c:v>
                </c:pt>
                <c:pt idx="2948">
                  <c:v>60127</c:v>
                </c:pt>
                <c:pt idx="2949">
                  <c:v>60134</c:v>
                </c:pt>
                <c:pt idx="2950">
                  <c:v>60141</c:v>
                </c:pt>
                <c:pt idx="2951">
                  <c:v>60148</c:v>
                </c:pt>
                <c:pt idx="2952">
                  <c:v>60155</c:v>
                </c:pt>
                <c:pt idx="2953">
                  <c:v>60162</c:v>
                </c:pt>
                <c:pt idx="2954">
                  <c:v>60169</c:v>
                </c:pt>
                <c:pt idx="2955">
                  <c:v>60176</c:v>
                </c:pt>
                <c:pt idx="2956">
                  <c:v>60183</c:v>
                </c:pt>
                <c:pt idx="2957">
                  <c:v>60190</c:v>
                </c:pt>
                <c:pt idx="2958">
                  <c:v>60197</c:v>
                </c:pt>
                <c:pt idx="2959">
                  <c:v>60204</c:v>
                </c:pt>
                <c:pt idx="2960">
                  <c:v>60211</c:v>
                </c:pt>
                <c:pt idx="2961">
                  <c:v>60218</c:v>
                </c:pt>
                <c:pt idx="2962">
                  <c:v>60225</c:v>
                </c:pt>
                <c:pt idx="2963">
                  <c:v>60232</c:v>
                </c:pt>
                <c:pt idx="2964">
                  <c:v>60239</c:v>
                </c:pt>
                <c:pt idx="2965">
                  <c:v>60246</c:v>
                </c:pt>
                <c:pt idx="2966">
                  <c:v>60253</c:v>
                </c:pt>
                <c:pt idx="2967">
                  <c:v>60265</c:v>
                </c:pt>
                <c:pt idx="2968">
                  <c:v>60269</c:v>
                </c:pt>
                <c:pt idx="2969">
                  <c:v>60275</c:v>
                </c:pt>
                <c:pt idx="2970">
                  <c:v>60281</c:v>
                </c:pt>
                <c:pt idx="2971">
                  <c:v>60288</c:v>
                </c:pt>
                <c:pt idx="2972">
                  <c:v>60295</c:v>
                </c:pt>
                <c:pt idx="2973">
                  <c:v>60302</c:v>
                </c:pt>
                <c:pt idx="2974">
                  <c:v>60309</c:v>
                </c:pt>
                <c:pt idx="2975">
                  <c:v>60316</c:v>
                </c:pt>
                <c:pt idx="2976">
                  <c:v>60323</c:v>
                </c:pt>
                <c:pt idx="2977">
                  <c:v>60330</c:v>
                </c:pt>
                <c:pt idx="2978">
                  <c:v>60337</c:v>
                </c:pt>
                <c:pt idx="2979">
                  <c:v>60344</c:v>
                </c:pt>
                <c:pt idx="2980">
                  <c:v>60351</c:v>
                </c:pt>
                <c:pt idx="2981">
                  <c:v>60359</c:v>
                </c:pt>
                <c:pt idx="2982">
                  <c:v>60366</c:v>
                </c:pt>
                <c:pt idx="2983">
                  <c:v>60373</c:v>
                </c:pt>
                <c:pt idx="2984">
                  <c:v>60380</c:v>
                </c:pt>
                <c:pt idx="2985">
                  <c:v>60387</c:v>
                </c:pt>
                <c:pt idx="2986">
                  <c:v>60395</c:v>
                </c:pt>
                <c:pt idx="2987">
                  <c:v>60401</c:v>
                </c:pt>
                <c:pt idx="2988">
                  <c:v>60408</c:v>
                </c:pt>
                <c:pt idx="2989">
                  <c:v>60415</c:v>
                </c:pt>
                <c:pt idx="2990">
                  <c:v>60422</c:v>
                </c:pt>
                <c:pt idx="2991">
                  <c:v>60429</c:v>
                </c:pt>
                <c:pt idx="2992">
                  <c:v>60436</c:v>
                </c:pt>
                <c:pt idx="2993">
                  <c:v>60443</c:v>
                </c:pt>
                <c:pt idx="2994">
                  <c:v>60450</c:v>
                </c:pt>
                <c:pt idx="2995">
                  <c:v>60457</c:v>
                </c:pt>
                <c:pt idx="2996">
                  <c:v>60464</c:v>
                </c:pt>
                <c:pt idx="2997">
                  <c:v>60471</c:v>
                </c:pt>
                <c:pt idx="2998">
                  <c:v>60478</c:v>
                </c:pt>
                <c:pt idx="2999">
                  <c:v>60485</c:v>
                </c:pt>
                <c:pt idx="3000">
                  <c:v>60492</c:v>
                </c:pt>
                <c:pt idx="3001">
                  <c:v>60499</c:v>
                </c:pt>
                <c:pt idx="3002">
                  <c:v>60506</c:v>
                </c:pt>
                <c:pt idx="3003">
                  <c:v>60513</c:v>
                </c:pt>
                <c:pt idx="3004">
                  <c:v>60520</c:v>
                </c:pt>
                <c:pt idx="3005">
                  <c:v>60527</c:v>
                </c:pt>
                <c:pt idx="3006">
                  <c:v>60534</c:v>
                </c:pt>
                <c:pt idx="3007">
                  <c:v>60541</c:v>
                </c:pt>
                <c:pt idx="3008">
                  <c:v>60548</c:v>
                </c:pt>
                <c:pt idx="3009">
                  <c:v>60555</c:v>
                </c:pt>
                <c:pt idx="3010">
                  <c:v>60562</c:v>
                </c:pt>
                <c:pt idx="3011">
                  <c:v>60569</c:v>
                </c:pt>
                <c:pt idx="3012">
                  <c:v>60576</c:v>
                </c:pt>
                <c:pt idx="3013">
                  <c:v>60583</c:v>
                </c:pt>
                <c:pt idx="3014">
                  <c:v>60590</c:v>
                </c:pt>
                <c:pt idx="3015">
                  <c:v>60597</c:v>
                </c:pt>
                <c:pt idx="3016">
                  <c:v>60604</c:v>
                </c:pt>
                <c:pt idx="3017">
                  <c:v>60611</c:v>
                </c:pt>
                <c:pt idx="3018">
                  <c:v>60618</c:v>
                </c:pt>
                <c:pt idx="3019">
                  <c:v>60629</c:v>
                </c:pt>
                <c:pt idx="3020">
                  <c:v>60636</c:v>
                </c:pt>
                <c:pt idx="3021">
                  <c:v>60640</c:v>
                </c:pt>
                <c:pt idx="3022">
                  <c:v>60646</c:v>
                </c:pt>
                <c:pt idx="3023">
                  <c:v>60653</c:v>
                </c:pt>
                <c:pt idx="3024">
                  <c:v>60660</c:v>
                </c:pt>
                <c:pt idx="3025">
                  <c:v>60667</c:v>
                </c:pt>
                <c:pt idx="3026">
                  <c:v>60674</c:v>
                </c:pt>
                <c:pt idx="3027">
                  <c:v>60681</c:v>
                </c:pt>
                <c:pt idx="3028">
                  <c:v>60688</c:v>
                </c:pt>
                <c:pt idx="3029">
                  <c:v>60695</c:v>
                </c:pt>
                <c:pt idx="3030">
                  <c:v>60702</c:v>
                </c:pt>
                <c:pt idx="3031">
                  <c:v>60709</c:v>
                </c:pt>
                <c:pt idx="3032">
                  <c:v>60716</c:v>
                </c:pt>
                <c:pt idx="3033">
                  <c:v>60723</c:v>
                </c:pt>
                <c:pt idx="3034">
                  <c:v>60730</c:v>
                </c:pt>
                <c:pt idx="3035">
                  <c:v>60737</c:v>
                </c:pt>
                <c:pt idx="3036">
                  <c:v>60744</c:v>
                </c:pt>
                <c:pt idx="3037">
                  <c:v>60751</c:v>
                </c:pt>
                <c:pt idx="3038">
                  <c:v>60758</c:v>
                </c:pt>
                <c:pt idx="3039">
                  <c:v>60765</c:v>
                </c:pt>
                <c:pt idx="3040">
                  <c:v>60773</c:v>
                </c:pt>
                <c:pt idx="3041">
                  <c:v>60779</c:v>
                </c:pt>
                <c:pt idx="3042">
                  <c:v>60786</c:v>
                </c:pt>
                <c:pt idx="3043">
                  <c:v>60793</c:v>
                </c:pt>
                <c:pt idx="3044">
                  <c:v>60800</c:v>
                </c:pt>
                <c:pt idx="3045">
                  <c:v>60807</c:v>
                </c:pt>
                <c:pt idx="3046">
                  <c:v>60814</c:v>
                </c:pt>
                <c:pt idx="3047">
                  <c:v>60821</c:v>
                </c:pt>
                <c:pt idx="3048">
                  <c:v>60828</c:v>
                </c:pt>
                <c:pt idx="3049">
                  <c:v>60835</c:v>
                </c:pt>
                <c:pt idx="3050">
                  <c:v>60842</c:v>
                </c:pt>
                <c:pt idx="3051">
                  <c:v>60849</c:v>
                </c:pt>
                <c:pt idx="3052">
                  <c:v>60856</c:v>
                </c:pt>
                <c:pt idx="3053">
                  <c:v>60863</c:v>
                </c:pt>
                <c:pt idx="3054">
                  <c:v>60870</c:v>
                </c:pt>
                <c:pt idx="3055">
                  <c:v>60877</c:v>
                </c:pt>
                <c:pt idx="3056">
                  <c:v>60884</c:v>
                </c:pt>
                <c:pt idx="3057">
                  <c:v>60891</c:v>
                </c:pt>
                <c:pt idx="3058">
                  <c:v>60898</c:v>
                </c:pt>
                <c:pt idx="3059">
                  <c:v>60905</c:v>
                </c:pt>
                <c:pt idx="3060">
                  <c:v>60912</c:v>
                </c:pt>
                <c:pt idx="3061">
                  <c:v>60919</c:v>
                </c:pt>
                <c:pt idx="3062">
                  <c:v>60926</c:v>
                </c:pt>
                <c:pt idx="3063">
                  <c:v>60933</c:v>
                </c:pt>
                <c:pt idx="3064">
                  <c:v>60940</c:v>
                </c:pt>
                <c:pt idx="3065">
                  <c:v>60947</c:v>
                </c:pt>
                <c:pt idx="3066">
                  <c:v>60954</c:v>
                </c:pt>
                <c:pt idx="3067">
                  <c:v>60961</c:v>
                </c:pt>
                <c:pt idx="3068">
                  <c:v>60968</c:v>
                </c:pt>
                <c:pt idx="3069">
                  <c:v>60975</c:v>
                </c:pt>
                <c:pt idx="3070">
                  <c:v>60982</c:v>
                </c:pt>
                <c:pt idx="3071">
                  <c:v>60989</c:v>
                </c:pt>
                <c:pt idx="3072">
                  <c:v>60996</c:v>
                </c:pt>
                <c:pt idx="3073">
                  <c:v>61004</c:v>
                </c:pt>
                <c:pt idx="3074">
                  <c:v>61010</c:v>
                </c:pt>
                <c:pt idx="3075">
                  <c:v>61017</c:v>
                </c:pt>
                <c:pt idx="3076">
                  <c:v>61024</c:v>
                </c:pt>
                <c:pt idx="3077">
                  <c:v>61031</c:v>
                </c:pt>
                <c:pt idx="3078">
                  <c:v>61038</c:v>
                </c:pt>
                <c:pt idx="3079">
                  <c:v>61045</c:v>
                </c:pt>
                <c:pt idx="3080">
                  <c:v>61052</c:v>
                </c:pt>
                <c:pt idx="3081">
                  <c:v>61059</c:v>
                </c:pt>
                <c:pt idx="3082">
                  <c:v>61066</c:v>
                </c:pt>
                <c:pt idx="3083">
                  <c:v>61073</c:v>
                </c:pt>
                <c:pt idx="3084">
                  <c:v>61080</c:v>
                </c:pt>
                <c:pt idx="3085">
                  <c:v>61087</c:v>
                </c:pt>
                <c:pt idx="3086">
                  <c:v>61094</c:v>
                </c:pt>
                <c:pt idx="3087">
                  <c:v>61101</c:v>
                </c:pt>
                <c:pt idx="3088">
                  <c:v>61108</c:v>
                </c:pt>
                <c:pt idx="3089">
                  <c:v>61115</c:v>
                </c:pt>
                <c:pt idx="3090">
                  <c:v>61122</c:v>
                </c:pt>
                <c:pt idx="3091">
                  <c:v>61130</c:v>
                </c:pt>
                <c:pt idx="3092">
                  <c:v>61136</c:v>
                </c:pt>
                <c:pt idx="3093">
                  <c:v>61143</c:v>
                </c:pt>
                <c:pt idx="3094">
                  <c:v>61150</c:v>
                </c:pt>
                <c:pt idx="3095">
                  <c:v>61157</c:v>
                </c:pt>
                <c:pt idx="3096">
                  <c:v>61164</c:v>
                </c:pt>
                <c:pt idx="3097">
                  <c:v>61171</c:v>
                </c:pt>
                <c:pt idx="3098">
                  <c:v>61178</c:v>
                </c:pt>
                <c:pt idx="3099">
                  <c:v>61185</c:v>
                </c:pt>
                <c:pt idx="3100">
                  <c:v>61192</c:v>
                </c:pt>
                <c:pt idx="3101">
                  <c:v>61199</c:v>
                </c:pt>
                <c:pt idx="3102">
                  <c:v>61206</c:v>
                </c:pt>
                <c:pt idx="3103">
                  <c:v>61213</c:v>
                </c:pt>
                <c:pt idx="3104">
                  <c:v>61220</c:v>
                </c:pt>
                <c:pt idx="3105">
                  <c:v>61227</c:v>
                </c:pt>
                <c:pt idx="3106">
                  <c:v>61234</c:v>
                </c:pt>
                <c:pt idx="3107">
                  <c:v>61241</c:v>
                </c:pt>
                <c:pt idx="3108">
                  <c:v>61248</c:v>
                </c:pt>
                <c:pt idx="3109">
                  <c:v>61255</c:v>
                </c:pt>
                <c:pt idx="3110">
                  <c:v>61262</c:v>
                </c:pt>
                <c:pt idx="3111">
                  <c:v>61269</c:v>
                </c:pt>
                <c:pt idx="3112">
                  <c:v>61276</c:v>
                </c:pt>
                <c:pt idx="3113">
                  <c:v>61283</c:v>
                </c:pt>
                <c:pt idx="3114">
                  <c:v>61290</c:v>
                </c:pt>
                <c:pt idx="3115">
                  <c:v>61297</c:v>
                </c:pt>
                <c:pt idx="3116">
                  <c:v>61304</c:v>
                </c:pt>
                <c:pt idx="3117">
                  <c:v>61311</c:v>
                </c:pt>
                <c:pt idx="3118">
                  <c:v>61318</c:v>
                </c:pt>
                <c:pt idx="3119">
                  <c:v>61325</c:v>
                </c:pt>
                <c:pt idx="3120">
                  <c:v>61332</c:v>
                </c:pt>
                <c:pt idx="3121">
                  <c:v>61339</c:v>
                </c:pt>
                <c:pt idx="3122">
                  <c:v>61346</c:v>
                </c:pt>
                <c:pt idx="3123">
                  <c:v>61353</c:v>
                </c:pt>
                <c:pt idx="3124">
                  <c:v>61360</c:v>
                </c:pt>
                <c:pt idx="3125">
                  <c:v>61367</c:v>
                </c:pt>
                <c:pt idx="3126">
                  <c:v>61374</c:v>
                </c:pt>
                <c:pt idx="3127">
                  <c:v>61381</c:v>
                </c:pt>
                <c:pt idx="3128">
                  <c:v>61388</c:v>
                </c:pt>
                <c:pt idx="3129">
                  <c:v>61395</c:v>
                </c:pt>
                <c:pt idx="3130">
                  <c:v>61402</c:v>
                </c:pt>
                <c:pt idx="3131">
                  <c:v>61409</c:v>
                </c:pt>
                <c:pt idx="3132">
                  <c:v>61416</c:v>
                </c:pt>
                <c:pt idx="3133">
                  <c:v>61423</c:v>
                </c:pt>
                <c:pt idx="3134">
                  <c:v>61430</c:v>
                </c:pt>
                <c:pt idx="3135">
                  <c:v>61437</c:v>
                </c:pt>
                <c:pt idx="3136">
                  <c:v>61444</c:v>
                </c:pt>
                <c:pt idx="3137">
                  <c:v>61451</c:v>
                </c:pt>
                <c:pt idx="3138">
                  <c:v>61458</c:v>
                </c:pt>
                <c:pt idx="3139">
                  <c:v>61465</c:v>
                </c:pt>
                <c:pt idx="3140">
                  <c:v>61472</c:v>
                </c:pt>
                <c:pt idx="3141">
                  <c:v>61479</c:v>
                </c:pt>
                <c:pt idx="3142">
                  <c:v>61487</c:v>
                </c:pt>
                <c:pt idx="3143">
                  <c:v>61494</c:v>
                </c:pt>
                <c:pt idx="3144">
                  <c:v>61501</c:v>
                </c:pt>
                <c:pt idx="3145">
                  <c:v>61508</c:v>
                </c:pt>
                <c:pt idx="3146">
                  <c:v>61518</c:v>
                </c:pt>
                <c:pt idx="3147">
                  <c:v>61522</c:v>
                </c:pt>
                <c:pt idx="3148">
                  <c:v>61529</c:v>
                </c:pt>
                <c:pt idx="3149">
                  <c:v>61539</c:v>
                </c:pt>
                <c:pt idx="3150">
                  <c:v>61543</c:v>
                </c:pt>
                <c:pt idx="3151">
                  <c:v>61550</c:v>
                </c:pt>
                <c:pt idx="3152">
                  <c:v>61557</c:v>
                </c:pt>
                <c:pt idx="3153">
                  <c:v>61564</c:v>
                </c:pt>
                <c:pt idx="3154">
                  <c:v>61571</c:v>
                </c:pt>
                <c:pt idx="3155">
                  <c:v>61578</c:v>
                </c:pt>
                <c:pt idx="3156">
                  <c:v>61585</c:v>
                </c:pt>
                <c:pt idx="3157">
                  <c:v>61592</c:v>
                </c:pt>
                <c:pt idx="3158">
                  <c:v>61599</c:v>
                </c:pt>
                <c:pt idx="3159">
                  <c:v>61606</c:v>
                </c:pt>
                <c:pt idx="3160">
                  <c:v>61613</c:v>
                </c:pt>
                <c:pt idx="3161">
                  <c:v>61620</c:v>
                </c:pt>
                <c:pt idx="3162">
                  <c:v>61627</c:v>
                </c:pt>
                <c:pt idx="3163">
                  <c:v>61634</c:v>
                </c:pt>
                <c:pt idx="3164">
                  <c:v>61641</c:v>
                </c:pt>
                <c:pt idx="3165">
                  <c:v>61648</c:v>
                </c:pt>
                <c:pt idx="3166">
                  <c:v>61655</c:v>
                </c:pt>
                <c:pt idx="3167">
                  <c:v>61662</c:v>
                </c:pt>
                <c:pt idx="3168">
                  <c:v>61669</c:v>
                </c:pt>
                <c:pt idx="3169">
                  <c:v>61676</c:v>
                </c:pt>
                <c:pt idx="3170">
                  <c:v>61683</c:v>
                </c:pt>
                <c:pt idx="3171">
                  <c:v>61690</c:v>
                </c:pt>
                <c:pt idx="3172">
                  <c:v>61697</c:v>
                </c:pt>
                <c:pt idx="3173">
                  <c:v>61704</c:v>
                </c:pt>
                <c:pt idx="3174">
                  <c:v>61711</c:v>
                </c:pt>
                <c:pt idx="3175">
                  <c:v>61718</c:v>
                </c:pt>
                <c:pt idx="3176">
                  <c:v>61730</c:v>
                </c:pt>
                <c:pt idx="3177">
                  <c:v>61735</c:v>
                </c:pt>
                <c:pt idx="3178">
                  <c:v>61742</c:v>
                </c:pt>
                <c:pt idx="3179">
                  <c:v>61749</c:v>
                </c:pt>
                <c:pt idx="3180">
                  <c:v>61756</c:v>
                </c:pt>
                <c:pt idx="3181">
                  <c:v>61763</c:v>
                </c:pt>
                <c:pt idx="3182">
                  <c:v>61770</c:v>
                </c:pt>
                <c:pt idx="3183">
                  <c:v>61777</c:v>
                </c:pt>
                <c:pt idx="3184">
                  <c:v>61784</c:v>
                </c:pt>
                <c:pt idx="3185">
                  <c:v>61791</c:v>
                </c:pt>
                <c:pt idx="3186">
                  <c:v>61798</c:v>
                </c:pt>
                <c:pt idx="3187">
                  <c:v>61805</c:v>
                </c:pt>
                <c:pt idx="3188">
                  <c:v>61812</c:v>
                </c:pt>
                <c:pt idx="3189">
                  <c:v>61819</c:v>
                </c:pt>
                <c:pt idx="3190">
                  <c:v>61826</c:v>
                </c:pt>
                <c:pt idx="3191">
                  <c:v>61835</c:v>
                </c:pt>
                <c:pt idx="3192">
                  <c:v>61840</c:v>
                </c:pt>
                <c:pt idx="3193">
                  <c:v>61847</c:v>
                </c:pt>
                <c:pt idx="3194">
                  <c:v>61854</c:v>
                </c:pt>
                <c:pt idx="3195">
                  <c:v>61861</c:v>
                </c:pt>
                <c:pt idx="3196">
                  <c:v>61868</c:v>
                </c:pt>
                <c:pt idx="3197">
                  <c:v>61876</c:v>
                </c:pt>
                <c:pt idx="3198">
                  <c:v>61884</c:v>
                </c:pt>
                <c:pt idx="3199">
                  <c:v>61890</c:v>
                </c:pt>
                <c:pt idx="3200">
                  <c:v>61897</c:v>
                </c:pt>
                <c:pt idx="3201">
                  <c:v>61905</c:v>
                </c:pt>
                <c:pt idx="3202">
                  <c:v>61912</c:v>
                </c:pt>
                <c:pt idx="3203">
                  <c:v>61919</c:v>
                </c:pt>
                <c:pt idx="3204">
                  <c:v>61926</c:v>
                </c:pt>
                <c:pt idx="3205">
                  <c:v>61933</c:v>
                </c:pt>
                <c:pt idx="3206">
                  <c:v>61940</c:v>
                </c:pt>
                <c:pt idx="3207">
                  <c:v>61947</c:v>
                </c:pt>
                <c:pt idx="3208">
                  <c:v>61954</c:v>
                </c:pt>
                <c:pt idx="3209">
                  <c:v>61961</c:v>
                </c:pt>
                <c:pt idx="3210">
                  <c:v>61968</c:v>
                </c:pt>
                <c:pt idx="3211">
                  <c:v>61975</c:v>
                </c:pt>
                <c:pt idx="3212">
                  <c:v>61982</c:v>
                </c:pt>
                <c:pt idx="3213">
                  <c:v>61989</c:v>
                </c:pt>
                <c:pt idx="3214">
                  <c:v>61996</c:v>
                </c:pt>
                <c:pt idx="3215">
                  <c:v>62003</c:v>
                </c:pt>
                <c:pt idx="3216">
                  <c:v>62010</c:v>
                </c:pt>
                <c:pt idx="3217">
                  <c:v>62017</c:v>
                </c:pt>
                <c:pt idx="3218">
                  <c:v>62024</c:v>
                </c:pt>
                <c:pt idx="3219">
                  <c:v>62031</c:v>
                </c:pt>
                <c:pt idx="3220">
                  <c:v>62038</c:v>
                </c:pt>
                <c:pt idx="3221">
                  <c:v>62045</c:v>
                </c:pt>
                <c:pt idx="3222">
                  <c:v>62052</c:v>
                </c:pt>
                <c:pt idx="3223">
                  <c:v>62059</c:v>
                </c:pt>
                <c:pt idx="3224">
                  <c:v>62066</c:v>
                </c:pt>
                <c:pt idx="3225">
                  <c:v>62073</c:v>
                </c:pt>
                <c:pt idx="3226">
                  <c:v>62080</c:v>
                </c:pt>
                <c:pt idx="3227">
                  <c:v>62092</c:v>
                </c:pt>
                <c:pt idx="3228">
                  <c:v>62096</c:v>
                </c:pt>
                <c:pt idx="3229">
                  <c:v>62102</c:v>
                </c:pt>
                <c:pt idx="3230">
                  <c:v>62109</c:v>
                </c:pt>
                <c:pt idx="3231">
                  <c:v>62116</c:v>
                </c:pt>
                <c:pt idx="3232">
                  <c:v>62123</c:v>
                </c:pt>
                <c:pt idx="3233">
                  <c:v>62130</c:v>
                </c:pt>
                <c:pt idx="3234">
                  <c:v>62137</c:v>
                </c:pt>
                <c:pt idx="3235">
                  <c:v>62144</c:v>
                </c:pt>
                <c:pt idx="3236">
                  <c:v>62151</c:v>
                </c:pt>
                <c:pt idx="3237">
                  <c:v>62158</c:v>
                </c:pt>
                <c:pt idx="3238">
                  <c:v>62165</c:v>
                </c:pt>
                <c:pt idx="3239">
                  <c:v>62172</c:v>
                </c:pt>
                <c:pt idx="3240">
                  <c:v>62179</c:v>
                </c:pt>
                <c:pt idx="3241">
                  <c:v>62186</c:v>
                </c:pt>
                <c:pt idx="3242">
                  <c:v>62193</c:v>
                </c:pt>
                <c:pt idx="3243">
                  <c:v>62200</c:v>
                </c:pt>
                <c:pt idx="3244">
                  <c:v>62207</c:v>
                </c:pt>
                <c:pt idx="3245">
                  <c:v>62215</c:v>
                </c:pt>
                <c:pt idx="3246">
                  <c:v>62222</c:v>
                </c:pt>
                <c:pt idx="3247">
                  <c:v>62228</c:v>
                </c:pt>
                <c:pt idx="3248">
                  <c:v>62235</c:v>
                </c:pt>
                <c:pt idx="3249">
                  <c:v>62242</c:v>
                </c:pt>
                <c:pt idx="3250">
                  <c:v>62249</c:v>
                </c:pt>
                <c:pt idx="3251">
                  <c:v>62256</c:v>
                </c:pt>
                <c:pt idx="3252">
                  <c:v>62263</c:v>
                </c:pt>
                <c:pt idx="3253">
                  <c:v>62270</c:v>
                </c:pt>
                <c:pt idx="3254">
                  <c:v>62277</c:v>
                </c:pt>
                <c:pt idx="3255">
                  <c:v>62284</c:v>
                </c:pt>
                <c:pt idx="3256">
                  <c:v>62291</c:v>
                </c:pt>
                <c:pt idx="3257">
                  <c:v>62298</c:v>
                </c:pt>
                <c:pt idx="3258">
                  <c:v>62305</c:v>
                </c:pt>
                <c:pt idx="3259">
                  <c:v>62312</c:v>
                </c:pt>
                <c:pt idx="3260">
                  <c:v>62319</c:v>
                </c:pt>
                <c:pt idx="3261">
                  <c:v>62326</c:v>
                </c:pt>
                <c:pt idx="3262">
                  <c:v>62333</c:v>
                </c:pt>
                <c:pt idx="3263">
                  <c:v>62340</c:v>
                </c:pt>
                <c:pt idx="3264">
                  <c:v>62347</c:v>
                </c:pt>
                <c:pt idx="3265">
                  <c:v>62354</c:v>
                </c:pt>
                <c:pt idx="3266">
                  <c:v>62361</c:v>
                </c:pt>
                <c:pt idx="3267">
                  <c:v>62368</c:v>
                </c:pt>
                <c:pt idx="3268">
                  <c:v>62375</c:v>
                </c:pt>
                <c:pt idx="3269">
                  <c:v>62382</c:v>
                </c:pt>
                <c:pt idx="3270">
                  <c:v>62389</c:v>
                </c:pt>
                <c:pt idx="3271">
                  <c:v>62396</c:v>
                </c:pt>
                <c:pt idx="3272">
                  <c:v>62403</c:v>
                </c:pt>
                <c:pt idx="3273">
                  <c:v>62410</c:v>
                </c:pt>
                <c:pt idx="3274">
                  <c:v>62417</c:v>
                </c:pt>
                <c:pt idx="3275">
                  <c:v>62424</c:v>
                </c:pt>
                <c:pt idx="3276">
                  <c:v>62431</c:v>
                </c:pt>
                <c:pt idx="3277">
                  <c:v>62438</c:v>
                </c:pt>
                <c:pt idx="3278">
                  <c:v>62445</c:v>
                </c:pt>
                <c:pt idx="3279">
                  <c:v>62457</c:v>
                </c:pt>
                <c:pt idx="3280">
                  <c:v>62463</c:v>
                </c:pt>
                <c:pt idx="3281">
                  <c:v>62467</c:v>
                </c:pt>
                <c:pt idx="3282">
                  <c:v>62474</c:v>
                </c:pt>
                <c:pt idx="3283">
                  <c:v>62481</c:v>
                </c:pt>
                <c:pt idx="3284">
                  <c:v>62488</c:v>
                </c:pt>
                <c:pt idx="3285">
                  <c:v>62495</c:v>
                </c:pt>
                <c:pt idx="3286">
                  <c:v>62502</c:v>
                </c:pt>
                <c:pt idx="3287">
                  <c:v>62509</c:v>
                </c:pt>
                <c:pt idx="3288">
                  <c:v>62516</c:v>
                </c:pt>
                <c:pt idx="3289">
                  <c:v>62523</c:v>
                </c:pt>
                <c:pt idx="3290">
                  <c:v>62530</c:v>
                </c:pt>
                <c:pt idx="3291">
                  <c:v>62537</c:v>
                </c:pt>
                <c:pt idx="3292">
                  <c:v>62544</c:v>
                </c:pt>
                <c:pt idx="3293">
                  <c:v>62551</c:v>
                </c:pt>
                <c:pt idx="3294">
                  <c:v>62558</c:v>
                </c:pt>
                <c:pt idx="3295">
                  <c:v>62569</c:v>
                </c:pt>
                <c:pt idx="3296">
                  <c:v>62572</c:v>
                </c:pt>
                <c:pt idx="3297">
                  <c:v>62582</c:v>
                </c:pt>
                <c:pt idx="3298">
                  <c:v>62586</c:v>
                </c:pt>
                <c:pt idx="3299">
                  <c:v>62593</c:v>
                </c:pt>
                <c:pt idx="3300">
                  <c:v>62600</c:v>
                </c:pt>
                <c:pt idx="3301">
                  <c:v>62610</c:v>
                </c:pt>
                <c:pt idx="3302">
                  <c:v>62614</c:v>
                </c:pt>
                <c:pt idx="3303">
                  <c:v>62621</c:v>
                </c:pt>
                <c:pt idx="3304">
                  <c:v>62631</c:v>
                </c:pt>
                <c:pt idx="3305">
                  <c:v>62635</c:v>
                </c:pt>
                <c:pt idx="3306">
                  <c:v>62642</c:v>
                </c:pt>
                <c:pt idx="3307">
                  <c:v>62649</c:v>
                </c:pt>
                <c:pt idx="3308">
                  <c:v>62656</c:v>
                </c:pt>
                <c:pt idx="3309">
                  <c:v>62663</c:v>
                </c:pt>
                <c:pt idx="3310">
                  <c:v>62670</c:v>
                </c:pt>
                <c:pt idx="3311">
                  <c:v>62677</c:v>
                </c:pt>
                <c:pt idx="3312">
                  <c:v>62684</c:v>
                </c:pt>
                <c:pt idx="3313">
                  <c:v>62691</c:v>
                </c:pt>
                <c:pt idx="3314">
                  <c:v>62698</c:v>
                </c:pt>
                <c:pt idx="3315">
                  <c:v>62705</c:v>
                </c:pt>
                <c:pt idx="3316">
                  <c:v>62712</c:v>
                </c:pt>
                <c:pt idx="3317">
                  <c:v>62719</c:v>
                </c:pt>
                <c:pt idx="3318">
                  <c:v>62726</c:v>
                </c:pt>
                <c:pt idx="3319">
                  <c:v>62733</c:v>
                </c:pt>
                <c:pt idx="3320">
                  <c:v>62740</c:v>
                </c:pt>
                <c:pt idx="3321">
                  <c:v>62747</c:v>
                </c:pt>
                <c:pt idx="3322">
                  <c:v>62754</c:v>
                </c:pt>
                <c:pt idx="3323">
                  <c:v>62761</c:v>
                </c:pt>
                <c:pt idx="3324">
                  <c:v>62768</c:v>
                </c:pt>
                <c:pt idx="3325">
                  <c:v>62775</c:v>
                </c:pt>
                <c:pt idx="3326">
                  <c:v>62782</c:v>
                </c:pt>
                <c:pt idx="3327">
                  <c:v>62789</c:v>
                </c:pt>
                <c:pt idx="3328">
                  <c:v>62796</c:v>
                </c:pt>
                <c:pt idx="3329">
                  <c:v>62803</c:v>
                </c:pt>
                <c:pt idx="3330">
                  <c:v>62810</c:v>
                </c:pt>
                <c:pt idx="3331">
                  <c:v>62821</c:v>
                </c:pt>
                <c:pt idx="3332">
                  <c:v>62828</c:v>
                </c:pt>
                <c:pt idx="3333">
                  <c:v>62834</c:v>
                </c:pt>
                <c:pt idx="3334">
                  <c:v>62841</c:v>
                </c:pt>
                <c:pt idx="3335">
                  <c:v>62848</c:v>
                </c:pt>
                <c:pt idx="3336">
                  <c:v>62855</c:v>
                </c:pt>
                <c:pt idx="3337">
                  <c:v>62862</c:v>
                </c:pt>
                <c:pt idx="3338">
                  <c:v>62869</c:v>
                </c:pt>
                <c:pt idx="3339">
                  <c:v>62876</c:v>
                </c:pt>
                <c:pt idx="3340">
                  <c:v>62883</c:v>
                </c:pt>
                <c:pt idx="3341">
                  <c:v>62890</c:v>
                </c:pt>
                <c:pt idx="3342">
                  <c:v>62897</c:v>
                </c:pt>
                <c:pt idx="3343">
                  <c:v>62904</c:v>
                </c:pt>
                <c:pt idx="3344">
                  <c:v>62911</c:v>
                </c:pt>
                <c:pt idx="3345">
                  <c:v>62918</c:v>
                </c:pt>
                <c:pt idx="3346">
                  <c:v>62927</c:v>
                </c:pt>
                <c:pt idx="3347">
                  <c:v>62932</c:v>
                </c:pt>
                <c:pt idx="3348">
                  <c:v>62939</c:v>
                </c:pt>
                <c:pt idx="3349">
                  <c:v>62946</c:v>
                </c:pt>
                <c:pt idx="3350">
                  <c:v>62953</c:v>
                </c:pt>
                <c:pt idx="3351">
                  <c:v>62960</c:v>
                </c:pt>
                <c:pt idx="3352">
                  <c:v>62968</c:v>
                </c:pt>
                <c:pt idx="3353">
                  <c:v>62976</c:v>
                </c:pt>
                <c:pt idx="3354">
                  <c:v>62982</c:v>
                </c:pt>
                <c:pt idx="3355">
                  <c:v>62989</c:v>
                </c:pt>
                <c:pt idx="3356">
                  <c:v>62996</c:v>
                </c:pt>
                <c:pt idx="3357">
                  <c:v>63004</c:v>
                </c:pt>
                <c:pt idx="3358">
                  <c:v>63011</c:v>
                </c:pt>
                <c:pt idx="3359">
                  <c:v>63018</c:v>
                </c:pt>
                <c:pt idx="3360">
                  <c:v>63025</c:v>
                </c:pt>
                <c:pt idx="3361">
                  <c:v>63032</c:v>
                </c:pt>
                <c:pt idx="3362">
                  <c:v>63039</c:v>
                </c:pt>
                <c:pt idx="3363">
                  <c:v>63046</c:v>
                </c:pt>
                <c:pt idx="3364">
                  <c:v>63053</c:v>
                </c:pt>
                <c:pt idx="3365">
                  <c:v>63060</c:v>
                </c:pt>
                <c:pt idx="3366">
                  <c:v>63067</c:v>
                </c:pt>
                <c:pt idx="3367">
                  <c:v>63074</c:v>
                </c:pt>
                <c:pt idx="3368">
                  <c:v>63081</c:v>
                </c:pt>
                <c:pt idx="3369">
                  <c:v>63088</c:v>
                </c:pt>
                <c:pt idx="3370">
                  <c:v>63095</c:v>
                </c:pt>
                <c:pt idx="3371">
                  <c:v>63102</c:v>
                </c:pt>
                <c:pt idx="3372">
                  <c:v>63109</c:v>
                </c:pt>
                <c:pt idx="3373">
                  <c:v>63116</c:v>
                </c:pt>
                <c:pt idx="3374">
                  <c:v>63123</c:v>
                </c:pt>
                <c:pt idx="3375">
                  <c:v>63130</c:v>
                </c:pt>
                <c:pt idx="3376">
                  <c:v>63137</c:v>
                </c:pt>
                <c:pt idx="3377">
                  <c:v>63144</c:v>
                </c:pt>
                <c:pt idx="3378">
                  <c:v>63151</c:v>
                </c:pt>
                <c:pt idx="3379">
                  <c:v>63158</c:v>
                </c:pt>
                <c:pt idx="3380">
                  <c:v>63165</c:v>
                </c:pt>
                <c:pt idx="3381">
                  <c:v>63172</c:v>
                </c:pt>
                <c:pt idx="3382">
                  <c:v>63179</c:v>
                </c:pt>
                <c:pt idx="3383">
                  <c:v>63187</c:v>
                </c:pt>
                <c:pt idx="3384">
                  <c:v>63194</c:v>
                </c:pt>
                <c:pt idx="3385">
                  <c:v>63201</c:v>
                </c:pt>
                <c:pt idx="3386">
                  <c:v>63208</c:v>
                </c:pt>
                <c:pt idx="3387">
                  <c:v>63215</c:v>
                </c:pt>
                <c:pt idx="3388">
                  <c:v>63222</c:v>
                </c:pt>
                <c:pt idx="3389">
                  <c:v>63229</c:v>
                </c:pt>
                <c:pt idx="3390">
                  <c:v>63236</c:v>
                </c:pt>
                <c:pt idx="3391">
                  <c:v>63243</c:v>
                </c:pt>
                <c:pt idx="3392">
                  <c:v>63250</c:v>
                </c:pt>
                <c:pt idx="3393">
                  <c:v>63257</c:v>
                </c:pt>
                <c:pt idx="3394">
                  <c:v>63264</c:v>
                </c:pt>
                <c:pt idx="3395">
                  <c:v>63271</c:v>
                </c:pt>
                <c:pt idx="3396">
                  <c:v>63278</c:v>
                </c:pt>
                <c:pt idx="3397">
                  <c:v>63285</c:v>
                </c:pt>
                <c:pt idx="3398">
                  <c:v>63292</c:v>
                </c:pt>
                <c:pt idx="3399">
                  <c:v>63299</c:v>
                </c:pt>
                <c:pt idx="3400">
                  <c:v>63306</c:v>
                </c:pt>
                <c:pt idx="3401">
                  <c:v>63314</c:v>
                </c:pt>
                <c:pt idx="3402">
                  <c:v>63320</c:v>
                </c:pt>
                <c:pt idx="3403">
                  <c:v>63327</c:v>
                </c:pt>
                <c:pt idx="3404">
                  <c:v>63334</c:v>
                </c:pt>
                <c:pt idx="3405">
                  <c:v>63341</c:v>
                </c:pt>
                <c:pt idx="3406">
                  <c:v>63348</c:v>
                </c:pt>
                <c:pt idx="3407">
                  <c:v>63355</c:v>
                </c:pt>
                <c:pt idx="3408">
                  <c:v>63362</c:v>
                </c:pt>
                <c:pt idx="3409">
                  <c:v>63369</c:v>
                </c:pt>
                <c:pt idx="3410">
                  <c:v>63376</c:v>
                </c:pt>
                <c:pt idx="3411">
                  <c:v>63383</c:v>
                </c:pt>
                <c:pt idx="3412">
                  <c:v>63390</c:v>
                </c:pt>
                <c:pt idx="3413">
                  <c:v>63397</c:v>
                </c:pt>
                <c:pt idx="3414">
                  <c:v>63404</c:v>
                </c:pt>
                <c:pt idx="3415">
                  <c:v>63411</c:v>
                </c:pt>
                <c:pt idx="3416">
                  <c:v>63418</c:v>
                </c:pt>
                <c:pt idx="3417">
                  <c:v>63425</c:v>
                </c:pt>
                <c:pt idx="3418">
                  <c:v>63432</c:v>
                </c:pt>
                <c:pt idx="3419">
                  <c:v>63439</c:v>
                </c:pt>
                <c:pt idx="3420">
                  <c:v>63446</c:v>
                </c:pt>
                <c:pt idx="3421">
                  <c:v>63453</c:v>
                </c:pt>
                <c:pt idx="3422">
                  <c:v>63460</c:v>
                </c:pt>
                <c:pt idx="3423">
                  <c:v>63467</c:v>
                </c:pt>
                <c:pt idx="3424">
                  <c:v>63474</c:v>
                </c:pt>
                <c:pt idx="3425">
                  <c:v>63481</c:v>
                </c:pt>
                <c:pt idx="3426">
                  <c:v>63488</c:v>
                </c:pt>
                <c:pt idx="3427">
                  <c:v>63495</c:v>
                </c:pt>
                <c:pt idx="3428">
                  <c:v>63502</c:v>
                </c:pt>
                <c:pt idx="3429">
                  <c:v>63509</c:v>
                </c:pt>
                <c:pt idx="3430">
                  <c:v>63516</c:v>
                </c:pt>
                <c:pt idx="3431">
                  <c:v>63523</c:v>
                </c:pt>
                <c:pt idx="3432">
                  <c:v>63530</c:v>
                </c:pt>
                <c:pt idx="3433">
                  <c:v>63537</c:v>
                </c:pt>
                <c:pt idx="3434">
                  <c:v>63544</c:v>
                </c:pt>
                <c:pt idx="3435">
                  <c:v>63552</c:v>
                </c:pt>
                <c:pt idx="3436">
                  <c:v>63559</c:v>
                </c:pt>
                <c:pt idx="3437">
                  <c:v>63566</c:v>
                </c:pt>
                <c:pt idx="3438">
                  <c:v>63573</c:v>
                </c:pt>
                <c:pt idx="3439">
                  <c:v>63580</c:v>
                </c:pt>
                <c:pt idx="3440">
                  <c:v>63587</c:v>
                </c:pt>
                <c:pt idx="3441">
                  <c:v>63594</c:v>
                </c:pt>
                <c:pt idx="3442">
                  <c:v>63601</c:v>
                </c:pt>
                <c:pt idx="3443">
                  <c:v>63608</c:v>
                </c:pt>
                <c:pt idx="3444">
                  <c:v>63615</c:v>
                </c:pt>
                <c:pt idx="3445">
                  <c:v>63622</c:v>
                </c:pt>
                <c:pt idx="3446">
                  <c:v>63629</c:v>
                </c:pt>
                <c:pt idx="3447">
                  <c:v>63636</c:v>
                </c:pt>
                <c:pt idx="3448">
                  <c:v>63643</c:v>
                </c:pt>
                <c:pt idx="3449">
                  <c:v>63650</c:v>
                </c:pt>
                <c:pt idx="3450">
                  <c:v>63661</c:v>
                </c:pt>
                <c:pt idx="3451">
                  <c:v>63664</c:v>
                </c:pt>
                <c:pt idx="3452">
                  <c:v>63671</c:v>
                </c:pt>
                <c:pt idx="3453">
                  <c:v>63678</c:v>
                </c:pt>
                <c:pt idx="3454">
                  <c:v>63685</c:v>
                </c:pt>
                <c:pt idx="3455">
                  <c:v>63692</c:v>
                </c:pt>
                <c:pt idx="3456">
                  <c:v>63702</c:v>
                </c:pt>
                <c:pt idx="3457">
                  <c:v>63706</c:v>
                </c:pt>
                <c:pt idx="3458">
                  <c:v>63713</c:v>
                </c:pt>
                <c:pt idx="3459">
                  <c:v>63720</c:v>
                </c:pt>
                <c:pt idx="3460">
                  <c:v>63730</c:v>
                </c:pt>
                <c:pt idx="3461">
                  <c:v>63734</c:v>
                </c:pt>
                <c:pt idx="3462">
                  <c:v>63741</c:v>
                </c:pt>
                <c:pt idx="3463">
                  <c:v>63748</c:v>
                </c:pt>
                <c:pt idx="3464">
                  <c:v>63755</c:v>
                </c:pt>
                <c:pt idx="3465">
                  <c:v>63762</c:v>
                </c:pt>
                <c:pt idx="3466">
                  <c:v>63769</c:v>
                </c:pt>
                <c:pt idx="3467">
                  <c:v>63776</c:v>
                </c:pt>
                <c:pt idx="3468">
                  <c:v>63783</c:v>
                </c:pt>
                <c:pt idx="3469">
                  <c:v>63790</c:v>
                </c:pt>
                <c:pt idx="3470">
                  <c:v>63797</c:v>
                </c:pt>
                <c:pt idx="3471">
                  <c:v>63804</c:v>
                </c:pt>
                <c:pt idx="3472">
                  <c:v>63811</c:v>
                </c:pt>
                <c:pt idx="3473">
                  <c:v>63818</c:v>
                </c:pt>
                <c:pt idx="3474">
                  <c:v>63825</c:v>
                </c:pt>
                <c:pt idx="3475">
                  <c:v>63832</c:v>
                </c:pt>
                <c:pt idx="3476">
                  <c:v>63839</c:v>
                </c:pt>
                <c:pt idx="3477">
                  <c:v>63846</c:v>
                </c:pt>
                <c:pt idx="3478">
                  <c:v>63853</c:v>
                </c:pt>
                <c:pt idx="3479">
                  <c:v>63860</c:v>
                </c:pt>
                <c:pt idx="3480">
                  <c:v>63867</c:v>
                </c:pt>
                <c:pt idx="3481">
                  <c:v>63874</c:v>
                </c:pt>
                <c:pt idx="3482">
                  <c:v>63881</c:v>
                </c:pt>
                <c:pt idx="3483">
                  <c:v>63888</c:v>
                </c:pt>
                <c:pt idx="3484">
                  <c:v>63895</c:v>
                </c:pt>
                <c:pt idx="3485">
                  <c:v>63902</c:v>
                </c:pt>
                <c:pt idx="3486">
                  <c:v>63909</c:v>
                </c:pt>
                <c:pt idx="3487">
                  <c:v>63921</c:v>
                </c:pt>
                <c:pt idx="3488">
                  <c:v>63926</c:v>
                </c:pt>
                <c:pt idx="3489">
                  <c:v>63933</c:v>
                </c:pt>
                <c:pt idx="3490">
                  <c:v>63940</c:v>
                </c:pt>
                <c:pt idx="3491">
                  <c:v>63947</c:v>
                </c:pt>
                <c:pt idx="3492">
                  <c:v>63954</c:v>
                </c:pt>
                <c:pt idx="3493">
                  <c:v>63961</c:v>
                </c:pt>
                <c:pt idx="3494">
                  <c:v>63968</c:v>
                </c:pt>
                <c:pt idx="3495">
                  <c:v>63975</c:v>
                </c:pt>
                <c:pt idx="3496">
                  <c:v>63982</c:v>
                </c:pt>
                <c:pt idx="3497">
                  <c:v>63989</c:v>
                </c:pt>
                <c:pt idx="3498">
                  <c:v>63996</c:v>
                </c:pt>
                <c:pt idx="3499">
                  <c:v>64003</c:v>
                </c:pt>
                <c:pt idx="3500">
                  <c:v>64010</c:v>
                </c:pt>
                <c:pt idx="3501">
                  <c:v>64019</c:v>
                </c:pt>
                <c:pt idx="3502">
                  <c:v>64024</c:v>
                </c:pt>
                <c:pt idx="3503">
                  <c:v>64031</c:v>
                </c:pt>
                <c:pt idx="3504">
                  <c:v>64038</c:v>
                </c:pt>
                <c:pt idx="3505">
                  <c:v>64045</c:v>
                </c:pt>
                <c:pt idx="3506">
                  <c:v>64052</c:v>
                </c:pt>
                <c:pt idx="3507">
                  <c:v>64060</c:v>
                </c:pt>
                <c:pt idx="3508">
                  <c:v>64068</c:v>
                </c:pt>
                <c:pt idx="3509">
                  <c:v>64074</c:v>
                </c:pt>
                <c:pt idx="3510">
                  <c:v>64081</c:v>
                </c:pt>
                <c:pt idx="3511">
                  <c:v>64088</c:v>
                </c:pt>
                <c:pt idx="3512">
                  <c:v>64096</c:v>
                </c:pt>
                <c:pt idx="3513">
                  <c:v>64103</c:v>
                </c:pt>
                <c:pt idx="3514">
                  <c:v>64110</c:v>
                </c:pt>
                <c:pt idx="3515">
                  <c:v>64117</c:v>
                </c:pt>
                <c:pt idx="3516">
                  <c:v>64124</c:v>
                </c:pt>
                <c:pt idx="3517">
                  <c:v>64131</c:v>
                </c:pt>
                <c:pt idx="3518">
                  <c:v>64138</c:v>
                </c:pt>
                <c:pt idx="3519">
                  <c:v>64145</c:v>
                </c:pt>
                <c:pt idx="3520">
                  <c:v>64152</c:v>
                </c:pt>
                <c:pt idx="3521">
                  <c:v>64159</c:v>
                </c:pt>
                <c:pt idx="3522">
                  <c:v>64166</c:v>
                </c:pt>
                <c:pt idx="3523">
                  <c:v>64173</c:v>
                </c:pt>
                <c:pt idx="3524">
                  <c:v>64180</c:v>
                </c:pt>
                <c:pt idx="3525">
                  <c:v>64187</c:v>
                </c:pt>
                <c:pt idx="3526">
                  <c:v>64194</c:v>
                </c:pt>
                <c:pt idx="3527">
                  <c:v>64201</c:v>
                </c:pt>
                <c:pt idx="3528">
                  <c:v>64208</c:v>
                </c:pt>
                <c:pt idx="3529">
                  <c:v>64215</c:v>
                </c:pt>
                <c:pt idx="3530">
                  <c:v>64222</c:v>
                </c:pt>
                <c:pt idx="3531">
                  <c:v>64229</c:v>
                </c:pt>
                <c:pt idx="3532">
                  <c:v>64236</c:v>
                </c:pt>
                <c:pt idx="3533">
                  <c:v>64243</c:v>
                </c:pt>
              </c:numCache>
            </c:numRef>
          </c:cat>
          <c:val>
            <c:numRef>
              <c:f>Monitor!$Q$19:$Q$3552</c:f>
              <c:numCache>
                <c:formatCode>0.0000%</c:formatCode>
                <c:ptCount val="3534"/>
                <c:pt idx="0">
                  <c:v>-3.6399999990073262E-3</c:v>
                </c:pt>
                <c:pt idx="1">
                  <c:v>-3.6483093558872248E-3</c:v>
                </c:pt>
                <c:pt idx="2">
                  <c:v>-3.665698600080064E-3</c:v>
                </c:pt>
                <c:pt idx="3">
                  <c:v>-3.669595117172797E-3</c:v>
                </c:pt>
                <c:pt idx="4">
                  <c:v>-3.6946694515184141E-3</c:v>
                </c:pt>
                <c:pt idx="5">
                  <c:v>-3.7030177639894098E-3</c:v>
                </c:pt>
                <c:pt idx="6">
                  <c:v>-3.7180562283149633E-3</c:v>
                </c:pt>
                <c:pt idx="7">
                  <c:v>-3.7228338251137083E-3</c:v>
                </c:pt>
                <c:pt idx="8">
                  <c:v>-3.7277391787627506E-3</c:v>
                </c:pt>
                <c:pt idx="9">
                  <c:v>-3.7515295605421656E-3</c:v>
                </c:pt>
                <c:pt idx="10">
                  <c:v>-3.7591536804221048E-3</c:v>
                </c:pt>
                <c:pt idx="11">
                  <c:v>-3.7711947097518466E-3</c:v>
                </c:pt>
                <c:pt idx="12">
                  <c:v>-3.7759824082669868E-3</c:v>
                </c:pt>
                <c:pt idx="13">
                  <c:v>-3.7807143370163867E-3</c:v>
                </c:pt>
                <c:pt idx="14">
                  <c:v>-3.7994278733936623E-3</c:v>
                </c:pt>
                <c:pt idx="15">
                  <c:v>-3.804833998615986E-3</c:v>
                </c:pt>
                <c:pt idx="16">
                  <c:v>-3.8128920807757216E-3</c:v>
                </c:pt>
                <c:pt idx="17">
                  <c:v>-3.815777415811239E-3</c:v>
                </c:pt>
                <c:pt idx="18">
                  <c:v>-3.8183792612784605E-3</c:v>
                </c:pt>
                <c:pt idx="19">
                  <c:v>-3.8289053035846276E-3</c:v>
                </c:pt>
                <c:pt idx="20">
                  <c:v>-3.8319786686193528E-3</c:v>
                </c:pt>
                <c:pt idx="21">
                  <c:v>-3.8375530752937145E-3</c:v>
                </c:pt>
                <c:pt idx="22">
                  <c:v>-3.8390815278051271E-3</c:v>
                </c:pt>
                <c:pt idx="23">
                  <c:v>-3.8405912653145312E-3</c:v>
                </c:pt>
                <c:pt idx="24">
                  <c:v>-3.847591940286943E-3</c:v>
                </c:pt>
                <c:pt idx="25">
                  <c:v>-3.8502940233922089E-3</c:v>
                </c:pt>
                <c:pt idx="26">
                  <c:v>-3.8529635792885486E-3</c:v>
                </c:pt>
                <c:pt idx="27">
                  <c:v>-3.8579957056503189E-3</c:v>
                </c:pt>
                <c:pt idx="28">
                  <c:v>-3.8593918011394527E-3</c:v>
                </c:pt>
                <c:pt idx="29">
                  <c:v>-3.8658234513304635E-3</c:v>
                </c:pt>
                <c:pt idx="30">
                  <c:v>-3.8682978444022353E-3</c:v>
                </c:pt>
                <c:pt idx="31">
                  <c:v>-3.870739710404969E-3</c:v>
                </c:pt>
                <c:pt idx="32">
                  <c:v>-3.8753160855269086E-3</c:v>
                </c:pt>
                <c:pt idx="33">
                  <c:v>-3.876598523371013E-3</c:v>
                </c:pt>
                <c:pt idx="34">
                  <c:v>-3.8824611351264693E-3</c:v>
                </c:pt>
                <c:pt idx="35">
                  <c:v>-3.8847078391412992E-3</c:v>
                </c:pt>
                <c:pt idx="36">
                  <c:v>-3.8869220162269791E-3</c:v>
                </c:pt>
                <c:pt idx="37">
                  <c:v>-3.8910426747902627E-3</c:v>
                </c:pt>
                <c:pt idx="38">
                  <c:v>-3.8922114390822636E-3</c:v>
                </c:pt>
                <c:pt idx="39">
                  <c:v>-3.8975049982963306E-3</c:v>
                </c:pt>
                <c:pt idx="40">
                  <c:v>-3.9030328733815362E-3</c:v>
                </c:pt>
                <c:pt idx="41">
                  <c:v>-3.9041095862423318E-3</c:v>
                </c:pt>
                <c:pt idx="42">
                  <c:v>-3.9051754801362748E-3</c:v>
                </c:pt>
                <c:pt idx="43">
                  <c:v>-3.9062305547170823E-3</c:v>
                </c:pt>
                <c:pt idx="44">
                  <c:v>-3.910955046841913E-3</c:v>
                </c:pt>
                <c:pt idx="45">
                  <c:v>-3.9157993059032517E-3</c:v>
                </c:pt>
                <c:pt idx="46">
                  <c:v>-3.9167623174021027E-3</c:v>
                </c:pt>
                <c:pt idx="47">
                  <c:v>-3.9177145075651454E-3</c:v>
                </c:pt>
                <c:pt idx="48">
                  <c:v>-3.9186558760437576E-3</c:v>
                </c:pt>
                <c:pt idx="49">
                  <c:v>-3.9234931188307284E-3</c:v>
                </c:pt>
                <c:pt idx="50">
                  <c:v>-3.9250404805404602E-3</c:v>
                </c:pt>
                <c:pt idx="51">
                  <c:v>-3.9278212925583393E-3</c:v>
                </c:pt>
                <c:pt idx="52">
                  <c:v>-3.9286597624088593E-3</c:v>
                </c:pt>
                <c:pt idx="53">
                  <c:v>-3.9294874081781976E-3</c:v>
                </c:pt>
                <c:pt idx="54">
                  <c:v>-3.93364159985917E-3</c:v>
                </c:pt>
                <c:pt idx="55">
                  <c:v>-3.9349612780400969E-3</c:v>
                </c:pt>
                <c:pt idx="56">
                  <c:v>-3.9372865165604965E-3</c:v>
                </c:pt>
                <c:pt idx="57">
                  <c:v>-3.9380112493261898E-3</c:v>
                </c:pt>
                <c:pt idx="58">
                  <c:v>-3.9387251555890856E-3</c:v>
                </c:pt>
                <c:pt idx="59">
                  <c:v>-3.9421962978736591E-3</c:v>
                </c:pt>
                <c:pt idx="60">
                  <c:v>-3.943288293064705E-3</c:v>
                </c:pt>
                <c:pt idx="61">
                  <c:v>-3.9451579935567693E-3</c:v>
                </c:pt>
                <c:pt idx="62">
                  <c:v>-3.9491572163900951E-3</c:v>
                </c:pt>
                <c:pt idx="63">
                  <c:v>-3.9500215290463794E-3</c:v>
                </c:pt>
                <c:pt idx="64">
                  <c:v>-3.9505458367403712E-3</c:v>
                </c:pt>
                <c:pt idx="65">
                  <c:v>-3.9545243582784382E-3</c:v>
                </c:pt>
                <c:pt idx="66">
                  <c:v>-3.9551609887570945E-3</c:v>
                </c:pt>
                <c:pt idx="67">
                  <c:v>-3.9565031388670568E-3</c:v>
                </c:pt>
                <c:pt idx="68">
                  <c:v>-3.9568757241997638E-3</c:v>
                </c:pt>
                <c:pt idx="69">
                  <c:v>-3.9582977257524021E-3</c:v>
                </c:pt>
                <c:pt idx="70">
                  <c:v>-3.9587066743112893E-3</c:v>
                </c:pt>
                <c:pt idx="71">
                  <c:v>-3.9592099735400151E-3</c:v>
                </c:pt>
                <c:pt idx="72">
                  <c:v>-3.9594795870449839E-3</c:v>
                </c:pt>
                <c:pt idx="73">
                  <c:v>-3.9597383641725731E-3</c:v>
                </c:pt>
                <c:pt idx="74">
                  <c:v>-3.9604773203591372E-3</c:v>
                </c:pt>
                <c:pt idx="75">
                  <c:v>-3.9606585871735985E-3</c:v>
                </c:pt>
                <c:pt idx="76">
                  <c:v>-3.9607064900434611E-3</c:v>
                </c:pt>
                <c:pt idx="77">
                  <c:v>-3.9608622803972982E-3</c:v>
                </c:pt>
                <c:pt idx="78">
                  <c:v>-3.9610072318776732E-3</c:v>
                </c:pt>
                <c:pt idx="79">
                  <c:v>-3.961063143005014E-3</c:v>
                </c:pt>
                <c:pt idx="80">
                  <c:v>-3.9610167281395143E-3</c:v>
                </c:pt>
                <c:pt idx="81">
                  <c:v>-3.9606092698067519E-3</c:v>
                </c:pt>
                <c:pt idx="82">
                  <c:v>-3.9606512195110299E-3</c:v>
                </c:pt>
                <c:pt idx="83">
                  <c:v>-3.9606823278333595E-3</c:v>
                </c:pt>
                <c:pt idx="84">
                  <c:v>-3.9605029696695316E-3</c:v>
                </c:pt>
                <c:pt idx="85">
                  <c:v>-3.9602613937626671E-3</c:v>
                </c:pt>
                <c:pt idx="86">
                  <c:v>-3.9599872911820341E-3</c:v>
                </c:pt>
                <c:pt idx="87">
                  <c:v>-3.9596806619179858E-3</c:v>
                </c:pt>
                <c:pt idx="88">
                  <c:v>-3.9587636519107022E-3</c:v>
                </c:pt>
                <c:pt idx="89">
                  <c:v>-3.9581288780400382E-3</c:v>
                </c:pt>
                <c:pt idx="90">
                  <c:v>-3.9576596153465078E-3</c:v>
                </c:pt>
                <c:pt idx="91">
                  <c:v>-3.9571578259585353E-3</c:v>
                </c:pt>
                <c:pt idx="92">
                  <c:v>-3.9566235098678531E-3</c:v>
                </c:pt>
                <c:pt idx="93">
                  <c:v>-3.9552512033154989E-3</c:v>
                </c:pt>
                <c:pt idx="94">
                  <c:v>-3.9541609784215096E-3</c:v>
                </c:pt>
                <c:pt idx="95">
                  <c:v>-3.9534640287621457E-3</c:v>
                </c:pt>
                <c:pt idx="96">
                  <c:v>-3.9527345523738856E-3</c:v>
                </c:pt>
                <c:pt idx="97">
                  <c:v>-3.9519725492525946E-3</c:v>
                </c:pt>
                <c:pt idx="98">
                  <c:v>-3.9501449806024535E-3</c:v>
                </c:pt>
                <c:pt idx="99">
                  <c:v>-3.9485992692855137E-3</c:v>
                </c:pt>
                <c:pt idx="100">
                  <c:v>-3.947674632391567E-3</c:v>
                </c:pt>
                <c:pt idx="101">
                  <c:v>-3.9467174687246205E-3</c:v>
                </c:pt>
                <c:pt idx="102">
                  <c:v>-3.9432283123322616E-3</c:v>
                </c:pt>
                <c:pt idx="103">
                  <c:v>-3.9427984493575763E-3</c:v>
                </c:pt>
                <c:pt idx="104">
                  <c:v>-3.940085662212575E-3</c:v>
                </c:pt>
                <c:pt idx="105">
                  <c:v>-3.9389008368173606E-3</c:v>
                </c:pt>
                <c:pt idx="106">
                  <c:v>-3.9362170916446004E-3</c:v>
                </c:pt>
                <c:pt idx="107">
                  <c:v>-3.935689574639939E-3</c:v>
                </c:pt>
                <c:pt idx="108">
                  <c:v>-3.9351512037552518E-3</c:v>
                </c:pt>
                <c:pt idx="109">
                  <c:v>-3.9311088351579758E-3</c:v>
                </c:pt>
                <c:pt idx="110">
                  <c:v>-3.9296963265640144E-3</c:v>
                </c:pt>
                <c:pt idx="111">
                  <c:v>-3.9265574256393395E-3</c:v>
                </c:pt>
                <c:pt idx="112">
                  <c:v>-3.9259159627214046E-3</c:v>
                </c:pt>
                <c:pt idx="113">
                  <c:v>-3.9252636434441001E-3</c:v>
                </c:pt>
                <c:pt idx="114">
                  <c:v>-3.9205382240412303E-3</c:v>
                </c:pt>
                <c:pt idx="115">
                  <c:v>-3.9188980316709207E-3</c:v>
                </c:pt>
                <c:pt idx="116">
                  <c:v>-3.9153040079289237E-3</c:v>
                </c:pt>
                <c:pt idx="117">
                  <c:v>-3.9145485817086711E-3</c:v>
                </c:pt>
                <c:pt idx="118">
                  <c:v>-3.9137822966649862E-3</c:v>
                </c:pt>
                <c:pt idx="119">
                  <c:v>-3.9083738245071142E-3</c:v>
                </c:pt>
                <c:pt idx="120">
                  <c:v>-3.9065059476848674E-3</c:v>
                </c:pt>
                <c:pt idx="121">
                  <c:v>-3.9024568335730629E-3</c:v>
                </c:pt>
                <c:pt idx="122">
                  <c:v>-3.901587426764358E-3</c:v>
                </c:pt>
                <c:pt idx="123">
                  <c:v>-3.8925200695067064E-3</c:v>
                </c:pt>
                <c:pt idx="124">
                  <c:v>-3.8915637975649453E-3</c:v>
                </c:pt>
                <c:pt idx="125">
                  <c:v>-3.8905966622812247E-3</c:v>
                </c:pt>
                <c:pt idx="126">
                  <c:v>-3.8860382241288501E-3</c:v>
                </c:pt>
                <c:pt idx="127">
                  <c:v>-3.880516653416155E-3</c:v>
                </c:pt>
                <c:pt idx="128">
                  <c:v>-3.8769403913720179E-3</c:v>
                </c:pt>
                <c:pt idx="129">
                  <c:v>-3.8758701071204271E-3</c:v>
                </c:pt>
                <c:pt idx="130">
                  <c:v>-3.8708837723679113E-3</c:v>
                </c:pt>
                <c:pt idx="131">
                  <c:v>-3.8697754869474179E-3</c:v>
                </c:pt>
                <c:pt idx="132">
                  <c:v>-3.8636845184689683E-3</c:v>
                </c:pt>
                <c:pt idx="133">
                  <c:v>-3.8611498195089133E-3</c:v>
                </c:pt>
                <c:pt idx="134">
                  <c:v>-3.8585825934278617E-3</c:v>
                </c:pt>
                <c:pt idx="135">
                  <c:v>-3.8517042518430734E-3</c:v>
                </c:pt>
                <c:pt idx="136">
                  <c:v>-3.8504765092760296E-3</c:v>
                </c:pt>
                <c:pt idx="137">
                  <c:v>-3.8452585554162866E-3</c:v>
                </c:pt>
                <c:pt idx="138">
                  <c:v>-3.842496166141629E-3</c:v>
                </c:pt>
                <c:pt idx="139">
                  <c:v>-3.839701249592764E-3</c:v>
                </c:pt>
                <c:pt idx="140">
                  <c:v>-3.8338049473175817E-3</c:v>
                </c:pt>
                <c:pt idx="141">
                  <c:v>-3.8324685772555922E-3</c:v>
                </c:pt>
                <c:pt idx="142">
                  <c:v>-3.8252387569119861E-3</c:v>
                </c:pt>
                <c:pt idx="143">
                  <c:v>-3.822248676227602E-3</c:v>
                </c:pt>
                <c:pt idx="144">
                  <c:v>-3.8192260680944834E-3</c:v>
                </c:pt>
                <c:pt idx="145">
                  <c:v>-3.8128748265210677E-3</c:v>
                </c:pt>
                <c:pt idx="146">
                  <c:v>-3.8097547019561029E-3</c:v>
                </c:pt>
                <c:pt idx="147">
                  <c:v>-3.8019175440864952E-3</c:v>
                </c:pt>
                <c:pt idx="148">
                  <c:v>-3.7986835411075331E-3</c:v>
                </c:pt>
                <c:pt idx="149">
                  <c:v>-3.7919045336040373E-3</c:v>
                </c:pt>
                <c:pt idx="150">
                  <c:v>-3.7887863681605335E-3</c:v>
                </c:pt>
                <c:pt idx="151">
                  <c:v>-3.7785964486046443E-3</c:v>
                </c:pt>
                <c:pt idx="152">
                  <c:v>-3.7751347538196277E-3</c:v>
                </c:pt>
                <c:pt idx="153">
                  <c:v>-3.7679008659032643E-3</c:v>
                </c:pt>
                <c:pt idx="154">
                  <c:v>-3.766233123875945E-3</c:v>
                </c:pt>
                <c:pt idx="155">
                  <c:v>-3.7645545042541335E-3</c:v>
                </c:pt>
                <c:pt idx="156">
                  <c:v>-3.7499921182332185E-3</c:v>
                </c:pt>
                <c:pt idx="157">
                  <c:v>-3.7423033769335879E-3</c:v>
                </c:pt>
                <c:pt idx="158">
                  <c:v>-3.740521522205692E-3</c:v>
                </c:pt>
                <c:pt idx="159">
                  <c:v>-3.7387287876914257E-3</c:v>
                </c:pt>
                <c:pt idx="160">
                  <c:v>-3.7271727067592522E-3</c:v>
                </c:pt>
                <c:pt idx="161">
                  <c:v>-3.7169971567134232E-3</c:v>
                </c:pt>
                <c:pt idx="162">
                  <c:v>-3.7151120554700483E-3</c:v>
                </c:pt>
                <c:pt idx="163">
                  <c:v>-3.7132160726105479E-3</c:v>
                </c:pt>
                <c:pt idx="164">
                  <c:v>-3.7113092078293105E-3</c:v>
                </c:pt>
                <c:pt idx="165">
                  <c:v>-3.6990700392062095E-3</c:v>
                </c:pt>
                <c:pt idx="166">
                  <c:v>-3.6971033736841186E-3</c:v>
                </c:pt>
                <c:pt idx="167">
                  <c:v>-3.692942287768286E-3</c:v>
                </c:pt>
                <c:pt idx="168">
                  <c:v>-3.6843167634972862E-3</c:v>
                </c:pt>
                <c:pt idx="169">
                  <c:v>-3.6822957533800432E-3</c:v>
                </c:pt>
                <c:pt idx="170">
                  <c:v>-3.6716489301338306E-3</c:v>
                </c:pt>
                <c:pt idx="171">
                  <c:v>-3.6672926727510102E-3</c:v>
                </c:pt>
                <c:pt idx="172">
                  <c:v>-3.6629038866657915E-3</c:v>
                </c:pt>
                <c:pt idx="173">
                  <c:v>-3.6538235825657461E-3</c:v>
                </c:pt>
                <c:pt idx="174">
                  <c:v>-3.6516884123906045E-3</c:v>
                </c:pt>
                <c:pt idx="175">
                  <c:v>-3.6404720244833655E-3</c:v>
                </c:pt>
                <c:pt idx="176">
                  <c:v>-3.6358880654363546E-3</c:v>
                </c:pt>
                <c:pt idx="177">
                  <c:v>-3.6312715774324822E-3</c:v>
                </c:pt>
                <c:pt idx="178">
                  <c:v>-3.6217365168550453E-3</c:v>
                </c:pt>
                <c:pt idx="179">
                  <c:v>-3.6194871722517257E-3</c:v>
                </c:pt>
                <c:pt idx="180">
                  <c:v>-3.6077012017532439E-3</c:v>
                </c:pt>
                <c:pt idx="181">
                  <c:v>-3.6028895392181681E-3</c:v>
                </c:pt>
                <c:pt idx="182">
                  <c:v>-3.5980453474544483E-3</c:v>
                </c:pt>
                <c:pt idx="183">
                  <c:v>-3.5880555527260938E-3</c:v>
                </c:pt>
                <c:pt idx="184">
                  <c:v>-3.5733364488925723E-3</c:v>
                </c:pt>
                <c:pt idx="185">
                  <c:v>-3.5682970809456371E-3</c:v>
                </c:pt>
                <c:pt idx="186">
                  <c:v>-3.5632251834956108E-3</c:v>
                </c:pt>
                <c:pt idx="187">
                  <c:v>-3.5607746108840179E-3</c:v>
                </c:pt>
                <c:pt idx="188">
                  <c:v>-3.5503029408369816E-3</c:v>
                </c:pt>
                <c:pt idx="189">
                  <c:v>-3.5346482525287367E-3</c:v>
                </c:pt>
                <c:pt idx="190">
                  <c:v>-3.5293649640781351E-3</c:v>
                </c:pt>
                <c:pt idx="191">
                  <c:v>-3.5184929277975001E-3</c:v>
                </c:pt>
                <c:pt idx="192">
                  <c:v>-3.515911871253552E-3</c:v>
                </c:pt>
                <c:pt idx="193">
                  <c:v>-3.5133199210613335E-3</c:v>
                </c:pt>
                <c:pt idx="194">
                  <c:v>-3.4969821105981166E-3</c:v>
                </c:pt>
                <c:pt idx="195">
                  <c:v>-3.4914711141312013E-3</c:v>
                </c:pt>
                <c:pt idx="196">
                  <c:v>-3.4801444059352382E-3</c:v>
                </c:pt>
                <c:pt idx="197">
                  <c:v>-3.4774491232357485E-3</c:v>
                </c:pt>
                <c:pt idx="198">
                  <c:v>-3.4747429451482824E-3</c:v>
                </c:pt>
                <c:pt idx="199">
                  <c:v>-3.4577220058025718E-3</c:v>
                </c:pt>
                <c:pt idx="200">
                  <c:v>-3.4519832990476118E-3</c:v>
                </c:pt>
                <c:pt idx="201">
                  <c:v>-3.4402019366419627E-3</c:v>
                </c:pt>
                <c:pt idx="202">
                  <c:v>-3.4373924154550151E-3</c:v>
                </c:pt>
                <c:pt idx="203">
                  <c:v>-3.4345719972124714E-3</c:v>
                </c:pt>
                <c:pt idx="204">
                  <c:v>-3.4168679219692328E-3</c:v>
                </c:pt>
                <c:pt idx="205">
                  <c:v>-3.4109015025681148E-3</c:v>
                </c:pt>
                <c:pt idx="206">
                  <c:v>-3.3986655023947195E-3</c:v>
                </c:pt>
                <c:pt idx="207">
                  <c:v>-3.3957417308737303E-3</c:v>
                </c:pt>
                <c:pt idx="208">
                  <c:v>-3.3865051781477688E-3</c:v>
                </c:pt>
                <c:pt idx="209">
                  <c:v>-3.3744198422754283E-3</c:v>
                </c:pt>
                <c:pt idx="210">
                  <c:v>-3.3682257077656051E-3</c:v>
                </c:pt>
                <c:pt idx="211">
                  <c:v>-3.3555350849874674E-3</c:v>
                </c:pt>
                <c:pt idx="212">
                  <c:v>-3.3524970517898045E-3</c:v>
                </c:pt>
                <c:pt idx="213">
                  <c:v>-3.3494481184215275E-3</c:v>
                </c:pt>
                <c:pt idx="214">
                  <c:v>-3.3303777492344998E-3</c:v>
                </c:pt>
                <c:pt idx="215">
                  <c:v>-3.3239558970683323E-3</c:v>
                </c:pt>
                <c:pt idx="216">
                  <c:v>-3.310810665514116E-3</c:v>
                </c:pt>
                <c:pt idx="217">
                  <c:v>-3.3076583598166953E-3</c:v>
                </c:pt>
                <c:pt idx="218">
                  <c:v>-3.3044951525105655E-3</c:v>
                </c:pt>
                <c:pt idx="219">
                  <c:v>-3.2847416247086983E-3</c:v>
                </c:pt>
                <c:pt idx="220">
                  <c:v>-3.27809205224185E-3</c:v>
                </c:pt>
                <c:pt idx="221">
                  <c:v>-3.2644922243564201E-3</c:v>
                </c:pt>
                <c:pt idx="222">
                  <c:v>-3.261225635888404E-3</c:v>
                </c:pt>
                <c:pt idx="223">
                  <c:v>-3.2579481444535816E-3</c:v>
                </c:pt>
                <c:pt idx="224">
                  <c:v>-3.2375114498988684E-3</c:v>
                </c:pt>
                <c:pt idx="225">
                  <c:v>-3.2306341543903061E-3</c:v>
                </c:pt>
                <c:pt idx="226">
                  <c:v>-3.2165797412118317E-3</c:v>
                </c:pt>
                <c:pt idx="227">
                  <c:v>-3.2131988602657202E-3</c:v>
                </c:pt>
                <c:pt idx="228">
                  <c:v>-3.2098070750749461E-3</c:v>
                </c:pt>
                <c:pt idx="229">
                  <c:v>-3.1886872053547618E-3</c:v>
                </c:pt>
                <c:pt idx="230">
                  <c:v>-3.1815822697046242E-3</c:v>
                </c:pt>
                <c:pt idx="231">
                  <c:v>-3.1781142674347507E-3</c:v>
                </c:pt>
                <c:pt idx="232">
                  <c:v>-3.1635833279468339E-3</c:v>
                </c:pt>
                <c:pt idx="233">
                  <c:v>-3.1600774114904522E-3</c:v>
                </c:pt>
                <c:pt idx="234">
                  <c:v>-3.1420385707421339E-3</c:v>
                </c:pt>
                <c:pt idx="235">
                  <c:v>-3.1347332744728895E-3</c:v>
                </c:pt>
                <c:pt idx="236">
                  <c:v>-3.1273991660549783E-3</c:v>
                </c:pt>
                <c:pt idx="237">
                  <c:v>-3.112473616231487E-3</c:v>
                </c:pt>
                <c:pt idx="238">
                  <c:v>-3.108856784034884E-3</c:v>
                </c:pt>
                <c:pt idx="239">
                  <c:v>-3.0903150443148952E-3</c:v>
                </c:pt>
                <c:pt idx="240">
                  <c:v>-3.0828192245646591E-3</c:v>
                </c:pt>
                <c:pt idx="241">
                  <c:v>-3.0752983131923095E-3</c:v>
                </c:pt>
                <c:pt idx="242">
                  <c:v>-3.0600383878821857E-3</c:v>
                </c:pt>
                <c:pt idx="243">
                  <c:v>-3.0563192990401733E-3</c:v>
                </c:pt>
                <c:pt idx="244">
                  <c:v>-3.0373359848780979E-3</c:v>
                </c:pt>
                <c:pt idx="245">
                  <c:v>-3.0296756855112683E-3</c:v>
                </c:pt>
                <c:pt idx="246">
                  <c:v>-3.0219940151061664E-3</c:v>
                </c:pt>
                <c:pt idx="247">
                  <c:v>-3.0064485507717842E-3</c:v>
                </c:pt>
                <c:pt idx="248">
                  <c:v>-3.0026413803302576E-3</c:v>
                </c:pt>
                <c:pt idx="249">
                  <c:v>-2.9832837007082169E-3</c:v>
                </c:pt>
                <c:pt idx="250">
                  <c:v>-2.9754849659981986E-3</c:v>
                </c:pt>
                <c:pt idx="251">
                  <c:v>-2.96766858089903E-3</c:v>
                </c:pt>
                <c:pt idx="252">
                  <c:v>-2.9518750156445894E-3</c:v>
                </c:pt>
                <c:pt idx="253">
                  <c:v>-2.9479993688817964E-3</c:v>
                </c:pt>
                <c:pt idx="254">
                  <c:v>-2.924324616768224E-3</c:v>
                </c:pt>
                <c:pt idx="255">
                  <c:v>-2.9163998577347128E-3</c:v>
                </c:pt>
                <c:pt idx="256">
                  <c:v>-2.9003887692115949E-3</c:v>
                </c:pt>
                <c:pt idx="257">
                  <c:v>-2.8964602082430513E-3</c:v>
                </c:pt>
                <c:pt idx="258">
                  <c:v>-2.8925260551534186E-3</c:v>
                </c:pt>
                <c:pt idx="259">
                  <c:v>-2.8685029636515442E-3</c:v>
                </c:pt>
                <c:pt idx="260">
                  <c:v>-2.860462091006404E-3</c:v>
                </c:pt>
                <c:pt idx="261">
                  <c:v>-2.8442196705496577E-3</c:v>
                </c:pt>
                <c:pt idx="262">
                  <c:v>-2.8402326042939463E-3</c:v>
                </c:pt>
                <c:pt idx="263">
                  <c:v>-2.8362399461616889E-3</c:v>
                </c:pt>
                <c:pt idx="264">
                  <c:v>-2.8118685102239372E-3</c:v>
                </c:pt>
                <c:pt idx="265">
                  <c:v>-2.8037115222833537E-3</c:v>
                </c:pt>
                <c:pt idx="266">
                  <c:v>-2.7872377615583751E-3</c:v>
                </c:pt>
                <c:pt idx="267">
                  <c:v>-2.7831921916120217E-3</c:v>
                </c:pt>
                <c:pt idx="268">
                  <c:v>-2.7791410300902521E-3</c:v>
                </c:pt>
                <c:pt idx="269">
                  <c:v>-2.7544212445994266E-3</c:v>
                </c:pt>
                <c:pt idx="270">
                  <c:v>-2.7461481396499317E-3</c:v>
                </c:pt>
                <c:pt idx="271">
                  <c:v>-2.7294430294940017E-3</c:v>
                </c:pt>
                <c:pt idx="272">
                  <c:v>-2.7253389578334175E-3</c:v>
                </c:pt>
                <c:pt idx="273">
                  <c:v>-2.7212292949435435E-3</c:v>
                </c:pt>
                <c:pt idx="274">
                  <c:v>-2.700401821658982E-3</c:v>
                </c:pt>
                <c:pt idx="275">
                  <c:v>-2.6920208294693992E-3</c:v>
                </c:pt>
                <c:pt idx="276">
                  <c:v>-2.6836232488371969E-3</c:v>
                </c:pt>
                <c:pt idx="277">
                  <c:v>-2.6666728904119197E-3</c:v>
                </c:pt>
                <c:pt idx="278">
                  <c:v>-2.6625047285622565E-3</c:v>
                </c:pt>
                <c:pt idx="279">
                  <c:v>-2.6413865177565832E-3</c:v>
                </c:pt>
                <c:pt idx="280">
                  <c:v>-2.6328894057119356E-3</c:v>
                </c:pt>
                <c:pt idx="281">
                  <c:v>-2.6243757049781991E-3</c:v>
                </c:pt>
                <c:pt idx="282">
                  <c:v>-2.607193976638944E-3</c:v>
                </c:pt>
                <c:pt idx="283">
                  <c:v>-2.6029673186220561E-3</c:v>
                </c:pt>
                <c:pt idx="284">
                  <c:v>-2.5815583696928712E-3</c:v>
                </c:pt>
                <c:pt idx="285">
                  <c:v>-2.5729451360678723E-3</c:v>
                </c:pt>
                <c:pt idx="286">
                  <c:v>-2.5643153134993213E-3</c:v>
                </c:pt>
                <c:pt idx="287">
                  <c:v>-2.5469022036210542E-3</c:v>
                </c:pt>
                <c:pt idx="288">
                  <c:v>-2.5426170526168176E-3</c:v>
                </c:pt>
                <c:pt idx="289">
                  <c:v>-2.5209173653135686E-3</c:v>
                </c:pt>
                <c:pt idx="290">
                  <c:v>-2.5121880083536219E-3</c:v>
                </c:pt>
                <c:pt idx="291">
                  <c:v>-2.503442062200989E-3</c:v>
                </c:pt>
                <c:pt idx="292">
                  <c:v>-2.4813483720978725E-3</c:v>
                </c:pt>
                <c:pt idx="293">
                  <c:v>-2.4770019655408204E-3</c:v>
                </c:pt>
                <c:pt idx="294">
                  <c:v>-2.4594634922912029E-3</c:v>
                </c:pt>
                <c:pt idx="295">
                  <c:v>-2.4506180102270569E-3</c:v>
                </c:pt>
                <c:pt idx="296">
                  <c:v>-2.4417559387104326E-3</c:v>
                </c:pt>
                <c:pt idx="297">
                  <c:v>-2.4238800273899963E-3</c:v>
                </c:pt>
                <c:pt idx="298">
                  <c:v>-2.4194779015435275E-3</c:v>
                </c:pt>
                <c:pt idx="299">
                  <c:v>-2.3926679071731741E-3</c:v>
                </c:pt>
                <c:pt idx="300">
                  <c:v>-2.3700540474533459E-3</c:v>
                </c:pt>
                <c:pt idx="301">
                  <c:v>-2.3656046164731818E-3</c:v>
                </c:pt>
                <c:pt idx="302">
                  <c:v>-2.3611495975119079E-3</c:v>
                </c:pt>
                <c:pt idx="303">
                  <c:v>-2.3566889906226083E-3</c:v>
                </c:pt>
                <c:pt idx="304">
                  <c:v>-2.3295306088249607E-3</c:v>
                </c:pt>
                <c:pt idx="305">
                  <c:v>-2.3204446348027681E-3</c:v>
                </c:pt>
                <c:pt idx="306">
                  <c:v>-2.3021197510176739E-3</c:v>
                </c:pt>
                <c:pt idx="307">
                  <c:v>-2.2976062550565668E-3</c:v>
                </c:pt>
                <c:pt idx="308">
                  <c:v>-2.2930871719231785E-3</c:v>
                </c:pt>
                <c:pt idx="309">
                  <c:v>-2.2655803969982803E-3</c:v>
                </c:pt>
                <c:pt idx="310">
                  <c:v>-2.2563782913865814E-3</c:v>
                </c:pt>
                <c:pt idx="311">
                  <c:v>-2.2378219540521794E-3</c:v>
                </c:pt>
                <c:pt idx="312">
                  <c:v>-2.233249986249991E-3</c:v>
                </c:pt>
                <c:pt idx="313">
                  <c:v>-2.2286724320894698E-3</c:v>
                </c:pt>
                <c:pt idx="314">
                  <c:v>-2.1914990191274435E-3</c:v>
                </c:pt>
                <c:pt idx="315">
                  <c:v>-2.1727112112087969E-3</c:v>
                </c:pt>
                <c:pt idx="316">
                  <c:v>-2.1680807771395916E-3</c:v>
                </c:pt>
                <c:pt idx="317">
                  <c:v>-2.1587045268296745E-3</c:v>
                </c:pt>
                <c:pt idx="318">
                  <c:v>-2.1352411790132747E-3</c:v>
                </c:pt>
                <c:pt idx="319">
                  <c:v>-2.1258068043988349E-3</c:v>
                </c:pt>
                <c:pt idx="320">
                  <c:v>-2.1067875079234196E-3</c:v>
                </c:pt>
                <c:pt idx="321">
                  <c:v>-2.1020986135991682E-3</c:v>
                </c:pt>
                <c:pt idx="322">
                  <c:v>-2.0688521454845861E-3</c:v>
                </c:pt>
                <c:pt idx="323">
                  <c:v>-2.0593016334104972E-3</c:v>
                </c:pt>
                <c:pt idx="324">
                  <c:v>-2.0400508294696452E-3</c:v>
                </c:pt>
                <c:pt idx="325">
                  <c:v>-2.0353034813339055E-3</c:v>
                </c:pt>
                <c:pt idx="326">
                  <c:v>-2.0305505496580108E-3</c:v>
                </c:pt>
                <c:pt idx="327">
                  <c:v>-2.0016501437341233E-3</c:v>
                </c:pt>
                <c:pt idx="328">
                  <c:v>-1.9919834921955371E-3</c:v>
                </c:pt>
                <c:pt idx="329">
                  <c:v>-1.9725011609248648E-3</c:v>
                </c:pt>
                <c:pt idx="330">
                  <c:v>-1.9676953658541441E-3</c:v>
                </c:pt>
                <c:pt idx="331">
                  <c:v>-1.9628839883141739E-3</c:v>
                </c:pt>
                <c:pt idx="332">
                  <c:v>-1.9336351596505937E-3</c:v>
                </c:pt>
                <c:pt idx="333">
                  <c:v>-1.9238523666194553E-3</c:v>
                </c:pt>
                <c:pt idx="334">
                  <c:v>-1.9041384871872197E-3</c:v>
                </c:pt>
                <c:pt idx="335">
                  <c:v>-1.8992742525103523E-3</c:v>
                </c:pt>
                <c:pt idx="336">
                  <c:v>-1.8944044364966849E-3</c:v>
                </c:pt>
                <c:pt idx="337">
                  <c:v>-1.8747822054026948E-3</c:v>
                </c:pt>
                <c:pt idx="338">
                  <c:v>-1.8698872987827591E-3</c:v>
                </c:pt>
                <c:pt idx="339">
                  <c:v>-1.8599965046147851E-3</c:v>
                </c:pt>
                <c:pt idx="340">
                  <c:v>-1.850089118925797E-3</c:v>
                </c:pt>
                <c:pt idx="341">
                  <c:v>-1.8401651416715442E-3</c:v>
                </c:pt>
                <c:pt idx="342">
                  <c:v>-1.8102936601574868E-3</c:v>
                </c:pt>
                <c:pt idx="343">
                  <c:v>-1.8003033162710441E-3</c:v>
                </c:pt>
                <c:pt idx="344">
                  <c:v>-1.7902963806309164E-3</c:v>
                </c:pt>
                <c:pt idx="345">
                  <c:v>-1.7802728531942805E-3</c:v>
                </c:pt>
                <c:pt idx="346">
                  <c:v>-1.7702327339311605E-3</c:v>
                </c:pt>
                <c:pt idx="347">
                  <c:v>-1.7400128247446744E-3</c:v>
                </c:pt>
                <c:pt idx="348">
                  <c:v>-1.7299063377588084E-3</c:v>
                </c:pt>
                <c:pt idx="349">
                  <c:v>-1.7197832587437631E-3</c:v>
                </c:pt>
                <c:pt idx="350">
                  <c:v>-1.7096435876652802E-3</c:v>
                </c:pt>
                <c:pt idx="351">
                  <c:v>-1.6994873244833919E-3</c:v>
                </c:pt>
                <c:pt idx="352">
                  <c:v>-1.6689189818947753E-3</c:v>
                </c:pt>
                <c:pt idx="353">
                  <c:v>-1.6586963498895926E-3</c:v>
                </c:pt>
                <c:pt idx="354">
                  <c:v>-1.6484571255854469E-3</c:v>
                </c:pt>
                <c:pt idx="355">
                  <c:v>-1.6382013089395147E-3</c:v>
                </c:pt>
                <c:pt idx="356">
                  <c:v>-1.6279288999075459E-3</c:v>
                </c:pt>
                <c:pt idx="357">
                  <c:v>-1.5970121181214342E-3</c:v>
                </c:pt>
                <c:pt idx="358">
                  <c:v>-1.5710014665714484E-3</c:v>
                </c:pt>
                <c:pt idx="359">
                  <c:v>-1.5501294994171098E-3</c:v>
                </c:pt>
                <c:pt idx="360">
                  <c:v>-1.54497319256236E-3</c:v>
                </c:pt>
                <c:pt idx="361">
                  <c:v>-1.539811311030551E-3</c:v>
                </c:pt>
                <c:pt idx="362">
                  <c:v>-1.5084718143953241E-3</c:v>
                </c:pt>
                <c:pt idx="363">
                  <c:v>-1.4979921283950473E-3</c:v>
                </c:pt>
                <c:pt idx="364">
                  <c:v>-1.476888467254366E-3</c:v>
                </c:pt>
                <c:pt idx="365">
                  <c:v>-1.4716737744072117E-3</c:v>
                </c:pt>
                <c:pt idx="366">
                  <c:v>-1.4664535084149108E-3</c:v>
                </c:pt>
                <c:pt idx="367">
                  <c:v>-1.4347655445078717E-3</c:v>
                </c:pt>
                <c:pt idx="368">
                  <c:v>-1.4027348761610015E-3</c:v>
                </c:pt>
                <c:pt idx="369">
                  <c:v>-1.3974646125480175E-3</c:v>
                </c:pt>
                <c:pt idx="370">
                  <c:v>-1.3921887773126298E-3</c:v>
                </c:pt>
                <c:pt idx="371">
                  <c:v>-1.3869073706147816E-3</c:v>
                </c:pt>
                <c:pt idx="372">
                  <c:v>-1.3602461732496695E-3</c:v>
                </c:pt>
                <c:pt idx="373">
                  <c:v>-1.3495341722524756E-3</c:v>
                </c:pt>
                <c:pt idx="374">
                  <c:v>-1.3279670384306029E-3</c:v>
                </c:pt>
                <c:pt idx="375">
                  <c:v>-1.3226356058682054E-3</c:v>
                </c:pt>
                <c:pt idx="376">
                  <c:v>-1.3172986034472357E-3</c:v>
                </c:pt>
                <c:pt idx="377">
                  <c:v>-1.2849136849700112E-3</c:v>
                </c:pt>
                <c:pt idx="378">
                  <c:v>-1.2740855231073748E-3</c:v>
                </c:pt>
                <c:pt idx="379">
                  <c:v>-1.2687096071144488E-3</c:v>
                </c:pt>
                <c:pt idx="380">
                  <c:v>-1.2633281226020457E-3</c:v>
                </c:pt>
                <c:pt idx="381">
                  <c:v>-1.2579410697456858E-3</c:v>
                </c:pt>
                <c:pt idx="382">
                  <c:v>-1.2142782036446143E-3</c:v>
                </c:pt>
                <c:pt idx="383">
                  <c:v>-1.203342139406427E-3</c:v>
                </c:pt>
                <c:pt idx="384">
                  <c:v>-1.1923894805505597E-3</c:v>
                </c:pt>
                <c:pt idx="385">
                  <c:v>-1.1703448863843724E-3</c:v>
                </c:pt>
                <c:pt idx="386">
                  <c:v>-1.1648911941466015E-3</c:v>
                </c:pt>
                <c:pt idx="387">
                  <c:v>-1.1373772653753278E-3</c:v>
                </c:pt>
                <c:pt idx="388">
                  <c:v>-1.1263250378394929E-3</c:v>
                </c:pt>
                <c:pt idx="389">
                  <c:v>-1.115256215367566E-3</c:v>
                </c:pt>
                <c:pt idx="390">
                  <c:v>-1.0929797788815365E-3</c:v>
                </c:pt>
                <c:pt idx="391">
                  <c:v>-1.0484947842308578E-3</c:v>
                </c:pt>
                <c:pt idx="392">
                  <c:v>-1.0373097958940036E-3</c:v>
                </c:pt>
                <c:pt idx="393">
                  <c:v>-1.0148014838988473E-3</c:v>
                </c:pt>
                <c:pt idx="394">
                  <c:v>-1.0092311524799401E-3</c:v>
                </c:pt>
                <c:pt idx="395">
                  <c:v>-9.8113592364956759E-4</c:v>
                </c:pt>
                <c:pt idx="396">
                  <c:v>-9.6415941436271463E-4</c:v>
                </c:pt>
                <c:pt idx="397">
                  <c:v>-9.5855020628654586E-4</c:v>
                </c:pt>
                <c:pt idx="398">
                  <c:v>-9.3580998449485642E-4</c:v>
                </c:pt>
                <c:pt idx="399">
                  <c:v>-9.1873134351489426E-4</c:v>
                </c:pt>
                <c:pt idx="400">
                  <c:v>-8.8464492777927351E-4</c:v>
                </c:pt>
                <c:pt idx="401">
                  <c:v>-8.5591201081353422E-4</c:v>
                </c:pt>
                <c:pt idx="402">
                  <c:v>-8.5022788583274695E-4</c:v>
                </c:pt>
                <c:pt idx="403">
                  <c:v>-8.4453820268115543E-4</c:v>
                </c:pt>
                <c:pt idx="404">
                  <c:v>-8.158423999339268E-4</c:v>
                </c:pt>
                <c:pt idx="405">
                  <c:v>-8.0431722429685055E-4</c:v>
                </c:pt>
                <c:pt idx="406">
                  <c:v>-7.811269338953154E-4</c:v>
                </c:pt>
                <c:pt idx="407">
                  <c:v>-7.7538730374540621E-4</c:v>
                </c:pt>
                <c:pt idx="408">
                  <c:v>-7.6964211753802821E-4</c:v>
                </c:pt>
                <c:pt idx="409">
                  <c:v>-7.3481763997444846E-4</c:v>
                </c:pt>
                <c:pt idx="410">
                  <c:v>-7.2317628704506975E-4</c:v>
                </c:pt>
                <c:pt idx="411">
                  <c:v>-6.9975397514349623E-4</c:v>
                </c:pt>
                <c:pt idx="412">
                  <c:v>-6.9395608762401473E-4</c:v>
                </c:pt>
                <c:pt idx="413">
                  <c:v>-6.8815264632326653E-4</c:v>
                </c:pt>
                <c:pt idx="414">
                  <c:v>-6.5297963165341396E-4</c:v>
                </c:pt>
                <c:pt idx="415">
                  <c:v>-6.2341830415039089E-4</c:v>
                </c:pt>
                <c:pt idx="416">
                  <c:v>-6.1756772667852613E-4</c:v>
                </c:pt>
                <c:pt idx="417">
                  <c:v>-6.0584991694317795E-4</c:v>
                </c:pt>
                <c:pt idx="418">
                  <c:v>-5.7032835778199212E-4</c:v>
                </c:pt>
                <c:pt idx="419">
                  <c:v>-5.5845464290744452E-4</c:v>
                </c:pt>
                <c:pt idx="420">
                  <c:v>-5.5255414024957261E-4</c:v>
                </c:pt>
                <c:pt idx="421">
                  <c:v>-5.2865381562350322E-4</c:v>
                </c:pt>
                <c:pt idx="422">
                  <c:v>-5.2273391211610232E-4</c:v>
                </c:pt>
                <c:pt idx="423">
                  <c:v>-4.809134022902839E-4</c:v>
                </c:pt>
                <c:pt idx="424">
                  <c:v>-4.6891518793090725E-4</c:v>
                </c:pt>
                <c:pt idx="425">
                  <c:v>-4.447827239117963E-4</c:v>
                </c:pt>
                <c:pt idx="426">
                  <c:v>-4.3880461439148267E-4</c:v>
                </c:pt>
                <c:pt idx="427">
                  <c:v>-4.0867515013687239E-4</c:v>
                </c:pt>
                <c:pt idx="428">
                  <c:v>-3.9657734903331132E-4</c:v>
                </c:pt>
                <c:pt idx="429">
                  <c:v>-3.844629499640817E-4</c:v>
                </c:pt>
                <c:pt idx="430">
                  <c:v>-3.6009830420388744E-4</c:v>
                </c:pt>
                <c:pt idx="431">
                  <c:v>-3.5406200613568244E-4</c:v>
                </c:pt>
                <c:pt idx="432">
                  <c:v>-3.2364198335299577E-4</c:v>
                </c:pt>
                <c:pt idx="433">
                  <c:v>-3.1142799542793753E-4</c:v>
                </c:pt>
                <c:pt idx="434">
                  <c:v>-2.9919740918282756E-4</c:v>
                </c:pt>
                <c:pt idx="435">
                  <c:v>-2.746005381482064E-4</c:v>
                </c:pt>
                <c:pt idx="436">
                  <c:v>-2.3779550139657601E-4</c:v>
                </c:pt>
                <c:pt idx="437">
                  <c:v>-2.2546532416800602E-4</c:v>
                </c:pt>
                <c:pt idx="438">
                  <c:v>-2.1311854826633336E-4</c:v>
                </c:pt>
                <c:pt idx="439">
                  <c:v>-1.8828940720708176E-4</c:v>
                </c:pt>
                <c:pt idx="440">
                  <c:v>-1.8213678668503014E-4</c:v>
                </c:pt>
                <c:pt idx="441">
                  <c:v>-1.4487239169335179E-4</c:v>
                </c:pt>
                <c:pt idx="442">
                  <c:v>-1.3241772790144459E-4</c:v>
                </c:pt>
                <c:pt idx="443">
                  <c:v>-1.0737011032269096E-4</c:v>
                </c:pt>
                <c:pt idx="444">
                  <c:v>-1.0116489267048001E-4</c:v>
                </c:pt>
                <c:pt idx="445">
                  <c:v>-9.4954139382287219E-5</c:v>
                </c:pt>
                <c:pt idx="446">
                  <c:v>-5.7341154037896417E-5</c:v>
                </c:pt>
                <c:pt idx="447">
                  <c:v>-4.4770292715681873E-5</c:v>
                </c:pt>
                <c:pt idx="448">
                  <c:v>-1.9490309244105866E-5</c:v>
                </c:pt>
                <c:pt idx="449">
                  <c:v>-1.3226975647262496E-5</c:v>
                </c:pt>
                <c:pt idx="450">
                  <c:v>-6.9581093416070145E-6</c:v>
                </c:pt>
                <c:pt idx="451">
                  <c:v>3.1003474252405143E-5</c:v>
                </c:pt>
                <c:pt idx="452">
                  <c:v>4.3690535751841989E-5</c:v>
                </c:pt>
                <c:pt idx="453">
                  <c:v>6.9202933630824702E-5</c:v>
                </c:pt>
                <c:pt idx="454">
                  <c:v>7.5524362923573563E-5</c:v>
                </c:pt>
                <c:pt idx="455">
                  <c:v>8.1851321919000584E-5</c:v>
                </c:pt>
                <c:pt idx="456">
                  <c:v>1.2016151173432194E-4</c:v>
                </c:pt>
                <c:pt idx="457">
                  <c:v>1.3296477607465681E-4</c:v>
                </c:pt>
                <c:pt idx="458">
                  <c:v>1.5870963812260962E-4</c:v>
                </c:pt>
                <c:pt idx="459">
                  <c:v>1.6508914227914007E-4</c:v>
                </c:pt>
                <c:pt idx="460">
                  <c:v>1.7147417305171217E-4</c:v>
                </c:pt>
                <c:pt idx="461">
                  <c:v>2.1013297713738801E-4</c:v>
                </c:pt>
                <c:pt idx="462">
                  <c:v>2.2305244700034671E-4</c:v>
                </c:pt>
                <c:pt idx="463">
                  <c:v>2.4902982424554216E-4</c:v>
                </c:pt>
                <c:pt idx="464">
                  <c:v>2.5546738184140105E-4</c:v>
                </c:pt>
                <c:pt idx="465">
                  <c:v>2.6191046287889073E-4</c:v>
                </c:pt>
                <c:pt idx="466">
                  <c:v>3.0091788934972022E-4</c:v>
                </c:pt>
                <c:pt idx="467">
                  <c:v>3.1395356745312871E-4</c:v>
                </c:pt>
                <c:pt idx="468">
                  <c:v>3.4016351219437723E-4</c:v>
                </c:pt>
                <c:pt idx="469">
                  <c:v>3.4665910120468268E-4</c:v>
                </c:pt>
                <c:pt idx="470">
                  <c:v>3.5316021039179647E-4</c:v>
                </c:pt>
                <c:pt idx="471">
                  <c:v>3.9251626743993623E-4</c:v>
                </c:pt>
                <c:pt idx="472">
                  <c:v>4.0566815652224919E-4</c:v>
                </c:pt>
                <c:pt idx="473">
                  <c:v>4.3211072234312041E-4</c:v>
                </c:pt>
                <c:pt idx="474">
                  <c:v>4.3866432013317525E-4</c:v>
                </c:pt>
                <c:pt idx="475">
                  <c:v>4.4522343475187606E-4</c:v>
                </c:pt>
                <c:pt idx="476">
                  <c:v>4.8492813064684016E-4</c:v>
                </c:pt>
                <c:pt idx="477">
                  <c:v>4.9819623346971937E-4</c:v>
                </c:pt>
                <c:pt idx="478">
                  <c:v>5.2487147524260536E-4</c:v>
                </c:pt>
                <c:pt idx="479">
                  <c:v>5.3148305857841915E-4</c:v>
                </c:pt>
                <c:pt idx="480">
                  <c:v>5.3810015529849825E-4</c:v>
                </c:pt>
                <c:pt idx="481">
                  <c:v>5.7815349837942256E-4</c:v>
                </c:pt>
                <c:pt idx="482">
                  <c:v>5.9153781772515858E-4</c:v>
                </c:pt>
                <c:pt idx="483">
                  <c:v>5.9819354736312391E-4</c:v>
                </c:pt>
                <c:pt idx="484">
                  <c:v>6.0485478760758011E-4</c:v>
                </c:pt>
                <c:pt idx="485">
                  <c:v>6.3178763278541378E-4</c:v>
                </c:pt>
                <c:pt idx="486">
                  <c:v>6.6539237502549753E-4</c:v>
                </c:pt>
                <c:pt idx="487">
                  <c:v>6.7887497900809279E-4</c:v>
                </c:pt>
                <c:pt idx="488">
                  <c:v>6.9237038443592525E-4</c:v>
                </c:pt>
                <c:pt idx="489">
                  <c:v>7.1946219072860362E-4</c:v>
                </c:pt>
                <c:pt idx="490">
                  <c:v>7.2619198631214995E-4</c:v>
                </c:pt>
                <c:pt idx="491">
                  <c:v>7.6001726239116607E-4</c:v>
                </c:pt>
                <c:pt idx="492">
                  <c:v>7.7357617392870281E-4</c:v>
                </c:pt>
                <c:pt idx="493">
                  <c:v>7.8714345269315089E-4</c:v>
                </c:pt>
                <c:pt idx="494">
                  <c:v>8.1433428086502557E-4</c:v>
                </c:pt>
                <c:pt idx="495">
                  <c:v>8.2110949107909578E-4</c:v>
                </c:pt>
                <c:pt idx="496">
                  <c:v>8.5508318340377087E-4</c:v>
                </c:pt>
                <c:pt idx="497">
                  <c:v>8.6868736256562329E-4</c:v>
                </c:pt>
                <c:pt idx="498">
                  <c:v>8.8229547460549895E-4</c:v>
                </c:pt>
                <c:pt idx="499">
                  <c:v>9.0952523532139562E-4</c:v>
                </c:pt>
                <c:pt idx="500">
                  <c:v>9.1632987628419106E-4</c:v>
                </c:pt>
                <c:pt idx="501">
                  <c:v>9.5037285564725238E-4</c:v>
                </c:pt>
                <c:pt idx="502">
                  <c:v>9.6399126153290382E-4</c:v>
                </c:pt>
                <c:pt idx="503">
                  <c:v>9.7760916579847645E-4</c:v>
                </c:pt>
                <c:pt idx="504">
                  <c:v>1.0048313480481852E-3</c:v>
                </c:pt>
                <c:pt idx="505">
                  <c:v>1.0184440294652708E-3</c:v>
                </c:pt>
                <c:pt idx="506">
                  <c:v>1.0524702832654727E-3</c:v>
                </c:pt>
                <c:pt idx="507">
                  <c:v>1.0660746195706988E-3</c:v>
                </c:pt>
                <c:pt idx="508">
                  <c:v>1.0932665130525265E-3</c:v>
                </c:pt>
                <c:pt idx="509">
                  <c:v>1.1000702873581458E-3</c:v>
                </c:pt>
                <c:pt idx="510">
                  <c:v>1.1068732183178345E-3</c:v>
                </c:pt>
                <c:pt idx="511">
                  <c:v>1.1476502016174736E-3</c:v>
                </c:pt>
                <c:pt idx="512">
                  <c:v>1.1612377259154294E-3</c:v>
                </c:pt>
                <c:pt idx="513">
                  <c:v>1.1883965979844E-3</c:v>
                </c:pt>
                <c:pt idx="514">
                  <c:v>1.195191666576445E-3</c:v>
                </c:pt>
                <c:pt idx="515">
                  <c:v>1.2019858882668601E-3</c:v>
                </c:pt>
                <c:pt idx="516">
                  <c:v>1.2427124346370277E-3</c:v>
                </c:pt>
                <c:pt idx="517">
                  <c:v>1.2562831465074045E-3</c:v>
                </c:pt>
                <c:pt idx="518">
                  <c:v>1.3512108784431397E-3</c:v>
                </c:pt>
                <c:pt idx="519">
                  <c:v>1.4392559442617525E-3</c:v>
                </c:pt>
                <c:pt idx="520">
                  <c:v>1.5339563060541295E-3</c:v>
                </c:pt>
                <c:pt idx="521">
                  <c:v>1.6285389463419619E-3</c:v>
                </c:pt>
                <c:pt idx="522">
                  <c:v>1.7230038623221589E-3</c:v>
                </c:pt>
                <c:pt idx="523">
                  <c:v>1.8173510512076163E-3</c:v>
                </c:pt>
                <c:pt idx="524">
                  <c:v>1.9183056462796482E-3</c:v>
                </c:pt>
                <c:pt idx="525">
                  <c:v>2.0124094766851572E-3</c:v>
                </c:pt>
                <c:pt idx="526">
                  <c:v>2.1063955953483774E-3</c:v>
                </c:pt>
                <c:pt idx="527">
                  <c:v>2.2337604838504332E-3</c:v>
                </c:pt>
                <c:pt idx="528">
                  <c:v>2.320781039123981E-3</c:v>
                </c:pt>
                <c:pt idx="529">
                  <c:v>2.3876476522182023E-3</c:v>
                </c:pt>
                <c:pt idx="530">
                  <c:v>2.4811628952564791E-3</c:v>
                </c:pt>
                <c:pt idx="531">
                  <c:v>2.5745604122387558E-3</c:v>
                </c:pt>
                <c:pt idx="532">
                  <c:v>2.6545142419155819E-3</c:v>
                </c:pt>
                <c:pt idx="533">
                  <c:v>2.7410353993105397E-3</c:v>
                </c:pt>
                <c:pt idx="534">
                  <c:v>2.8341027885343223E-3</c:v>
                </c:pt>
                <c:pt idx="535">
                  <c:v>2.9270523716361041E-3</c:v>
                </c:pt>
                <c:pt idx="536">
                  <c:v>3.0198841460465126E-3</c:v>
                </c:pt>
                <c:pt idx="537">
                  <c:v>3.1324731075329623E-3</c:v>
                </c:pt>
                <c:pt idx="538">
                  <c:v>3.2250464624811359E-3</c:v>
                </c:pt>
                <c:pt idx="539">
                  <c:v>3.3175020686611548E-3</c:v>
                </c:pt>
                <c:pt idx="540">
                  <c:v>3.409839923244313E-3</c:v>
                </c:pt>
                <c:pt idx="541">
                  <c:v>3.5349782416860265E-3</c:v>
                </c:pt>
                <c:pt idx="542">
                  <c:v>3.627039443347968E-3</c:v>
                </c:pt>
                <c:pt idx="543">
                  <c:v>3.7255585170300779E-3</c:v>
                </c:pt>
                <c:pt idx="544">
                  <c:v>3.8108086275928654E-3</c:v>
                </c:pt>
                <c:pt idx="545">
                  <c:v>3.9090477956053998E-3</c:v>
                </c:pt>
                <c:pt idx="546">
                  <c:v>4.0398414756648293E-3</c:v>
                </c:pt>
                <c:pt idx="547">
                  <c:v>4.0920916489161109E-3</c:v>
                </c:pt>
                <c:pt idx="548">
                  <c:v>4.1834369140976305E-3</c:v>
                </c:pt>
                <c:pt idx="549">
                  <c:v>4.2746644012415036E-3</c:v>
                </c:pt>
                <c:pt idx="550">
                  <c:v>4.3657741075628633E-3</c:v>
                </c:pt>
                <c:pt idx="551">
                  <c:v>4.4567660302768392E-3</c:v>
                </c:pt>
                <c:pt idx="552">
                  <c:v>4.5800436853946636E-3</c:v>
                </c:pt>
                <c:pt idx="553">
                  <c:v>4.6448982156155338E-3</c:v>
                </c:pt>
                <c:pt idx="554">
                  <c:v>4.729035069023761E-3</c:v>
                </c:pt>
                <c:pt idx="555">
                  <c:v>4.8195558295678126E-3</c:v>
                </c:pt>
                <c:pt idx="556">
                  <c:v>4.9099587926471787E-3</c:v>
                </c:pt>
                <c:pt idx="557">
                  <c:v>5.000243955500196E-3</c:v>
                </c:pt>
                <c:pt idx="558">
                  <c:v>5.0904113153703613E-3</c:v>
                </c:pt>
                <c:pt idx="559">
                  <c:v>5.1804608695089054E-3</c:v>
                </c:pt>
                <c:pt idx="560">
                  <c:v>5.2703926151619019E-3</c:v>
                </c:pt>
                <c:pt idx="561">
                  <c:v>5.3602065495831604E-3</c:v>
                </c:pt>
                <c:pt idx="562">
                  <c:v>5.4305869627494351E-3</c:v>
                </c:pt>
                <c:pt idx="563">
                  <c:v>5.5395628391221152E-3</c:v>
                </c:pt>
                <c:pt idx="564">
                  <c:v>5.6293436656733803E-3</c:v>
                </c:pt>
                <c:pt idx="565">
                  <c:v>5.7194158443928424E-3</c:v>
                </c:pt>
                <c:pt idx="566">
                  <c:v>5.8230907769527759E-3</c:v>
                </c:pt>
                <c:pt idx="567">
                  <c:v>5.9010801413505289E-3</c:v>
                </c:pt>
                <c:pt idx="568">
                  <c:v>5.9928407688237062E-3</c:v>
                </c:pt>
                <c:pt idx="569">
                  <c:v>6.0852297621775027E-3</c:v>
                </c:pt>
                <c:pt idx="570">
                  <c:v>6.1782471363909025E-3</c:v>
                </c:pt>
                <c:pt idx="571">
                  <c:v>6.2718929065460364E-3</c:v>
                </c:pt>
                <c:pt idx="572">
                  <c:v>6.3661670878230195E-3</c:v>
                </c:pt>
                <c:pt idx="573">
                  <c:v>6.4610696954999517E-3</c:v>
                </c:pt>
                <c:pt idx="574">
                  <c:v>6.5774377453504543E-3</c:v>
                </c:pt>
                <c:pt idx="575">
                  <c:v>6.6318240392442586E-3</c:v>
                </c:pt>
                <c:pt idx="576">
                  <c:v>6.7495482313437074E-3</c:v>
                </c:pt>
                <c:pt idx="577">
                  <c:v>6.846964699523627E-3</c:v>
                </c:pt>
                <c:pt idx="578">
                  <c:v>6.9450096720566259E-3</c:v>
                </c:pt>
                <c:pt idx="579">
                  <c:v>7.1289701683483683E-3</c:v>
                </c:pt>
                <c:pt idx="580">
                  <c:v>7.1857356193589222E-3</c:v>
                </c:pt>
                <c:pt idx="581">
                  <c:v>7.2859355852705034E-3</c:v>
                </c:pt>
                <c:pt idx="582">
                  <c:v>7.386764126704041E-3</c:v>
                </c:pt>
                <c:pt idx="583">
                  <c:v>7.4882212600103247E-3</c:v>
                </c:pt>
                <c:pt idx="584">
                  <c:v>7.5680454823835929E-3</c:v>
                </c:pt>
                <c:pt idx="585">
                  <c:v>7.6706186302190537E-3</c:v>
                </c:pt>
                <c:pt idx="586">
                  <c:v>7.7738202876645856E-3</c:v>
                </c:pt>
                <c:pt idx="587">
                  <c:v>7.8776504698338124E-3</c:v>
                </c:pt>
                <c:pt idx="588">
                  <c:v>8.0049363839140852E-3</c:v>
                </c:pt>
                <c:pt idx="589">
                  <c:v>8.1101654174576786E-3</c:v>
                </c:pt>
                <c:pt idx="590">
                  <c:v>8.2160231601582662E-3</c:v>
                </c:pt>
                <c:pt idx="591">
                  <c:v>8.3225096291866269E-3</c:v>
                </c:pt>
                <c:pt idx="592">
                  <c:v>8.4296248418037952E-3</c:v>
                </c:pt>
                <c:pt idx="593">
                  <c:v>8.5295183797988727E-3</c:v>
                </c:pt>
                <c:pt idx="594">
                  <c:v>8.6378436362037903E-3</c:v>
                </c:pt>
                <c:pt idx="595">
                  <c:v>8.7780428412438383E-3</c:v>
                </c:pt>
                <c:pt idx="596">
                  <c:v>8.8563804067929297E-3</c:v>
                </c:pt>
                <c:pt idx="597">
                  <c:v>8.9746326701706774E-3</c:v>
                </c:pt>
                <c:pt idx="598">
                  <c:v>9.0855207126170415E-3</c:v>
                </c:pt>
                <c:pt idx="599">
                  <c:v>9.1970376223700218E-3</c:v>
                </c:pt>
                <c:pt idx="600">
                  <c:v>9.3091834175132188E-3</c:v>
                </c:pt>
                <c:pt idx="601">
                  <c:v>9.4298814794910868E-3</c:v>
                </c:pt>
                <c:pt idx="602">
                  <c:v>9.5595848805052341E-3</c:v>
                </c:pt>
                <c:pt idx="603">
                  <c:v>9.6574014796910745E-3</c:v>
                </c:pt>
                <c:pt idx="604">
                  <c:v>9.7885423646104641E-3</c:v>
                </c:pt>
                <c:pt idx="605">
                  <c:v>9.9292911883554855E-3</c:v>
                </c:pt>
                <c:pt idx="606">
                  <c:v>1.0045486701472197E-2</c:v>
                </c:pt>
                <c:pt idx="607">
                  <c:v>1.016231134793554E-2</c:v>
                </c:pt>
                <c:pt idx="608">
                  <c:v>1.0279765147916045E-2</c:v>
                </c:pt>
                <c:pt idx="609">
                  <c:v>1.0371942624061603E-2</c:v>
                </c:pt>
                <c:pt idx="610">
                  <c:v>1.0516560289636314E-2</c:v>
                </c:pt>
                <c:pt idx="611">
                  <c:v>1.0635901672254892E-2</c:v>
                </c:pt>
                <c:pt idx="612">
                  <c:v>1.0755872290143419E-2</c:v>
                </c:pt>
                <c:pt idx="613">
                  <c:v>1.0876472164015025E-2</c:v>
                </c:pt>
                <c:pt idx="614">
                  <c:v>1.0971056412441449E-2</c:v>
                </c:pt>
                <c:pt idx="615">
                  <c:v>1.1092532225703167E-2</c:v>
                </c:pt>
                <c:pt idx="616">
                  <c:v>1.1214033247312294E-2</c:v>
                </c:pt>
                <c:pt idx="617">
                  <c:v>1.1335175162070499E-2</c:v>
                </c:pt>
                <c:pt idx="618">
                  <c:v>1.1481632966061639E-2</c:v>
                </c:pt>
                <c:pt idx="619">
                  <c:v>1.1600831617951165E-2</c:v>
                </c:pt>
                <c:pt idx="620">
                  <c:v>1.1719012275620859E-2</c:v>
                </c:pt>
                <c:pt idx="621">
                  <c:v>1.1836174905984462E-2</c:v>
                </c:pt>
                <c:pt idx="622">
                  <c:v>1.1927088323835378E-2</c:v>
                </c:pt>
                <c:pt idx="623">
                  <c:v>1.204242145516865E-2</c:v>
                </c:pt>
                <c:pt idx="624">
                  <c:v>1.2156736460896767E-2</c:v>
                </c:pt>
                <c:pt idx="625">
                  <c:v>1.227003331192833E-2</c:v>
                </c:pt>
                <c:pt idx="626">
                  <c:v>1.2382311979435734E-2</c:v>
                </c:pt>
                <c:pt idx="627">
                  <c:v>1.2525823495172408E-2</c:v>
                </c:pt>
                <c:pt idx="628">
                  <c:v>1.2627805835391956E-2</c:v>
                </c:pt>
                <c:pt idx="629">
                  <c:v>1.2736823090728969E-2</c:v>
                </c:pt>
                <c:pt idx="630">
                  <c:v>1.2913537000882325E-2</c:v>
                </c:pt>
                <c:pt idx="631">
                  <c:v>1.2966646526066366E-2</c:v>
                </c:pt>
                <c:pt idx="632">
                  <c:v>1.3065113979426057E-2</c:v>
                </c:pt>
                <c:pt idx="633">
                  <c:v>1.3169981243236206E-2</c:v>
                </c:pt>
                <c:pt idx="634">
                  <c:v>1.3273830080580695E-2</c:v>
                </c:pt>
                <c:pt idx="635">
                  <c:v>1.3354126938437825E-2</c:v>
                </c:pt>
                <c:pt idx="636">
                  <c:v>1.34561456976438E-2</c:v>
                </c:pt>
                <c:pt idx="637">
                  <c:v>1.355714598089241E-2</c:v>
                </c:pt>
                <c:pt idx="638">
                  <c:v>1.3657127763337325E-2</c:v>
                </c:pt>
                <c:pt idx="639">
                  <c:v>1.375609102038856E-2</c:v>
                </c:pt>
                <c:pt idx="640">
                  <c:v>1.3875534589588567E-2</c:v>
                </c:pt>
                <c:pt idx="641">
                  <c:v>1.3979338146871842E-2</c:v>
                </c:pt>
                <c:pt idx="642">
                  <c:v>1.4067954101872338E-2</c:v>
                </c:pt>
                <c:pt idx="643">
                  <c:v>1.4162635865679063E-2</c:v>
                </c:pt>
                <c:pt idx="644">
                  <c:v>1.4256298933568168E-2</c:v>
                </c:pt>
                <c:pt idx="645">
                  <c:v>1.4348943280117488E-2</c:v>
                </c:pt>
                <c:pt idx="646">
                  <c:v>1.4440568880172144E-2</c:v>
                </c:pt>
                <c:pt idx="647">
                  <c:v>1.4531175708867028E-2</c:v>
                </c:pt>
                <c:pt idx="648">
                  <c:v>1.4600922756606847E-2</c:v>
                </c:pt>
                <c:pt idx="649">
                  <c:v>1.4709332954055965E-2</c:v>
                </c:pt>
                <c:pt idx="650">
                  <c:v>1.4796883322191201E-2</c:v>
                </c:pt>
                <c:pt idx="651">
                  <c:v>1.4889303497050439E-2</c:v>
                </c:pt>
                <c:pt idx="652">
                  <c:v>1.4968927430708268E-2</c:v>
                </c:pt>
                <c:pt idx="653">
                  <c:v>1.5053421124387456E-2</c:v>
                </c:pt>
                <c:pt idx="654">
                  <c:v>1.5136895880337453E-2</c:v>
                </c:pt>
                <c:pt idx="655">
                  <c:v>1.5219351675898884E-2</c:v>
                </c:pt>
                <c:pt idx="656">
                  <c:v>1.5300788488687156E-2</c:v>
                </c:pt>
                <c:pt idx="657">
                  <c:v>1.5381206296597449E-2</c:v>
                </c:pt>
                <c:pt idx="658">
                  <c:v>1.5460605077797229E-2</c:v>
                </c:pt>
                <c:pt idx="659">
                  <c:v>1.5538984810731238E-2</c:v>
                </c:pt>
                <c:pt idx="660">
                  <c:v>1.5616345474121496E-2</c:v>
                </c:pt>
                <c:pt idx="661">
                  <c:v>1.5692687046964804E-2</c:v>
                </c:pt>
                <c:pt idx="662">
                  <c:v>1.5768009508540237E-2</c:v>
                </c:pt>
                <c:pt idx="663">
                  <c:v>1.5842312838401651E-2</c:v>
                </c:pt>
                <c:pt idx="664">
                  <c:v>1.5915597016370187E-2</c:v>
                </c:pt>
                <c:pt idx="665">
                  <c:v>1.5987862022554256E-2</c:v>
                </c:pt>
                <c:pt idx="666">
                  <c:v>1.6059127351589764E-2</c:v>
                </c:pt>
                <c:pt idx="667">
                  <c:v>1.6129532927878776E-2</c:v>
                </c:pt>
                <c:pt idx="668">
                  <c:v>1.6199264574740524E-2</c:v>
                </c:pt>
                <c:pt idx="669">
                  <c:v>1.6268508210595667E-2</c:v>
                </c:pt>
                <c:pt idx="670">
                  <c:v>1.6337449035746798E-2</c:v>
                </c:pt>
                <c:pt idx="671">
                  <c:v>1.6406209283512385E-2</c:v>
                </c:pt>
                <c:pt idx="672">
                  <c:v>1.6474800243978793E-2</c:v>
                </c:pt>
                <c:pt idx="673">
                  <c:v>1.6543221914038508E-2</c:v>
                </c:pt>
                <c:pt idx="674">
                  <c:v>1.6611474290608996E-2</c:v>
                </c:pt>
                <c:pt idx="675">
                  <c:v>1.6679557370607723E-2</c:v>
                </c:pt>
                <c:pt idx="676">
                  <c:v>1.6747471150957149E-2</c:v>
                </c:pt>
                <c:pt idx="677">
                  <c:v>1.6815215628594726E-2</c:v>
                </c:pt>
                <c:pt idx="678">
                  <c:v>1.6882790800460401E-2</c:v>
                </c:pt>
                <c:pt idx="679">
                  <c:v>1.6950196663501615E-2</c:v>
                </c:pt>
                <c:pt idx="680">
                  <c:v>1.7017433214675803E-2</c:v>
                </c:pt>
                <c:pt idx="681">
                  <c:v>1.7084500450947893E-2</c:v>
                </c:pt>
                <c:pt idx="682">
                  <c:v>1.7184382977861807E-2</c:v>
                </c:pt>
                <c:pt idx="683">
                  <c:v>1.7251023728758735E-2</c:v>
                </c:pt>
                <c:pt idx="684">
                  <c:v>1.7289028132470522E-2</c:v>
                </c:pt>
                <c:pt idx="685">
                  <c:v>1.7351076186551129E-2</c:v>
                </c:pt>
                <c:pt idx="686">
                  <c:v>1.7417296803036442E-2</c:v>
                </c:pt>
                <c:pt idx="687">
                  <c:v>1.7467964066375748E-2</c:v>
                </c:pt>
                <c:pt idx="688">
                  <c:v>1.7528752217524448E-2</c:v>
                </c:pt>
                <c:pt idx="689">
                  <c:v>1.7594500387364383E-2</c:v>
                </c:pt>
                <c:pt idx="690">
                  <c:v>1.7660079201403507E-2</c:v>
                </c:pt>
                <c:pt idx="691">
                  <c:v>1.7725488657052462E-2</c:v>
                </c:pt>
                <c:pt idx="692">
                  <c:v>1.781614662108779E-2</c:v>
                </c:pt>
                <c:pt idx="693">
                  <c:v>1.7876099629097475E-2</c:v>
                </c:pt>
                <c:pt idx="694">
                  <c:v>1.7940965498830508E-2</c:v>
                </c:pt>
                <c:pt idx="695">
                  <c:v>1.8005662011957302E-2</c:v>
                </c:pt>
                <c:pt idx="696">
                  <c:v>1.8070189165560191E-2</c:v>
                </c:pt>
                <c:pt idx="697">
                  <c:v>1.8134546956721509E-2</c:v>
                </c:pt>
                <c:pt idx="698">
                  <c:v>1.819873538253608E-2</c:v>
                </c:pt>
                <c:pt idx="699">
                  <c:v>1.8267774589366681E-2</c:v>
                </c:pt>
                <c:pt idx="700">
                  <c:v>1.8326604126541746E-2</c:v>
                </c:pt>
                <c:pt idx="701">
                  <c:v>1.8390284438954962E-2</c:v>
                </c:pt>
                <c:pt idx="702">
                  <c:v>1.8457861539762723E-2</c:v>
                </c:pt>
                <c:pt idx="703">
                  <c:v>1.8517136930233657E-2</c:v>
                </c:pt>
                <c:pt idx="704">
                  <c:v>1.8580309103371218E-2</c:v>
                </c:pt>
                <c:pt idx="705">
                  <c:v>1.8643311891030634E-2</c:v>
                </c:pt>
                <c:pt idx="706">
                  <c:v>1.8706145290369181E-2</c:v>
                </c:pt>
                <c:pt idx="707">
                  <c:v>1.8768809298549127E-2</c:v>
                </c:pt>
                <c:pt idx="708">
                  <c:v>1.8831303912742736E-2</c:v>
                </c:pt>
                <c:pt idx="709">
                  <c:v>1.8893629130124767E-2</c:v>
                </c:pt>
                <c:pt idx="710">
                  <c:v>1.8955784947884968E-2</c:v>
                </c:pt>
                <c:pt idx="711">
                  <c:v>1.9017771363210589E-2</c:v>
                </c:pt>
                <c:pt idx="712">
                  <c:v>1.9079588373308864E-2</c:v>
                </c:pt>
                <c:pt idx="713">
                  <c:v>1.9141235975382032E-2</c:v>
                </c:pt>
                <c:pt idx="714">
                  <c:v>1.9202714166647317E-2</c:v>
                </c:pt>
                <c:pt idx="715">
                  <c:v>1.9264022944334436E-2</c:v>
                </c:pt>
                <c:pt idx="716">
                  <c:v>1.9325162305668109E-2</c:v>
                </c:pt>
                <c:pt idx="717">
                  <c:v>1.9386132247890542E-2</c:v>
                </c:pt>
                <c:pt idx="718">
                  <c:v>1.9446927836721251E-2</c:v>
                </c:pt>
                <c:pt idx="719">
                  <c:v>1.950749569020388E-2</c:v>
                </c:pt>
                <c:pt idx="720">
                  <c:v>1.9567754926766989E-2</c:v>
                </c:pt>
                <c:pt idx="721">
                  <c:v>1.9627624347500483E-2</c:v>
                </c:pt>
                <c:pt idx="722">
                  <c:v>1.9672810595424809E-2</c:v>
                </c:pt>
                <c:pt idx="723">
                  <c:v>1.9745889137506578E-2</c:v>
                </c:pt>
                <c:pt idx="724">
                  <c:v>1.9804214855941582E-2</c:v>
                </c:pt>
                <c:pt idx="725">
                  <c:v>1.9861999938170782E-2</c:v>
                </c:pt>
                <c:pt idx="726">
                  <c:v>1.9919244375875833E-2</c:v>
                </c:pt>
                <c:pt idx="727">
                  <c:v>1.9975948160815826E-2</c:v>
                </c:pt>
                <c:pt idx="728">
                  <c:v>2.0032111284824794E-2</c:v>
                </c:pt>
                <c:pt idx="729">
                  <c:v>2.0087733739819202E-2</c:v>
                </c:pt>
                <c:pt idx="730">
                  <c:v>2.0142815517790458E-2</c:v>
                </c:pt>
                <c:pt idx="731">
                  <c:v>2.0197356610807404E-2</c:v>
                </c:pt>
                <c:pt idx="732">
                  <c:v>2.025135701102132E-2</c:v>
                </c:pt>
                <c:pt idx="733">
                  <c:v>2.030481671065093E-2</c:v>
                </c:pt>
                <c:pt idx="734">
                  <c:v>2.0357735702004887E-2</c:v>
                </c:pt>
                <c:pt idx="735">
                  <c:v>2.0410113977459288E-2</c:v>
                </c:pt>
                <c:pt idx="736">
                  <c:v>2.0465081137575416E-2</c:v>
                </c:pt>
                <c:pt idx="737">
                  <c:v>2.0513248350598479E-2</c:v>
                </c:pt>
                <c:pt idx="738">
                  <c:v>2.056400443343015E-2</c:v>
                </c:pt>
                <c:pt idx="739">
                  <c:v>2.061421977066602E-2</c:v>
                </c:pt>
                <c:pt idx="740">
                  <c:v>2.0647499844826785E-2</c:v>
                </c:pt>
                <c:pt idx="741">
                  <c:v>2.0696776862652984E-2</c:v>
                </c:pt>
                <c:pt idx="742">
                  <c:v>2.0745513213039794E-2</c:v>
                </c:pt>
                <c:pt idx="743">
                  <c:v>2.0793708889846409E-2</c:v>
                </c:pt>
                <c:pt idx="744">
                  <c:v>2.0857185022628566E-2</c:v>
                </c:pt>
                <c:pt idx="745">
                  <c:v>2.0904155737198893E-2</c:v>
                </c:pt>
                <c:pt idx="746">
                  <c:v>2.0954460929053814E-2</c:v>
                </c:pt>
                <c:pt idx="747">
                  <c:v>2.0996474775952512E-2</c:v>
                </c:pt>
                <c:pt idx="748">
                  <c:v>2.103039341405287E-2</c:v>
                </c:pt>
                <c:pt idx="749">
                  <c:v>2.1086630583347088E-2</c:v>
                </c:pt>
                <c:pt idx="750">
                  <c:v>2.1130897259007131E-2</c:v>
                </c:pt>
                <c:pt idx="751">
                  <c:v>2.117462310745416E-2</c:v>
                </c:pt>
                <c:pt idx="752">
                  <c:v>2.1217808122390713E-2</c:v>
                </c:pt>
                <c:pt idx="753">
                  <c:v>2.1264075293312021E-2</c:v>
                </c:pt>
                <c:pt idx="754">
                  <c:v>2.1302555626942221E-2</c:v>
                </c:pt>
                <c:pt idx="755">
                  <c:v>2.1344118104351939E-2</c:v>
                </c:pt>
                <c:pt idx="756">
                  <c:v>2.138744319377647E-2</c:v>
                </c:pt>
                <c:pt idx="757">
                  <c:v>2.1425620479525731E-2</c:v>
                </c:pt>
                <c:pt idx="758">
                  <c:v>2.1465560365554193E-2</c:v>
                </c:pt>
                <c:pt idx="759">
                  <c:v>2.1504959376183186E-2</c:v>
                </c:pt>
                <c:pt idx="760">
                  <c:v>2.1543817505737251E-2</c:v>
                </c:pt>
                <c:pt idx="761">
                  <c:v>2.1572115656424713E-2</c:v>
                </c:pt>
                <c:pt idx="762">
                  <c:v>2.1619911099328426E-2</c:v>
                </c:pt>
                <c:pt idx="763">
                  <c:v>2.1657146552409301E-2</c:v>
                </c:pt>
                <c:pt idx="764">
                  <c:v>2.1693841102502776E-2</c:v>
                </c:pt>
                <c:pt idx="765">
                  <c:v>2.1729994744328074E-2</c:v>
                </c:pt>
                <c:pt idx="766">
                  <c:v>2.1765607472681858E-2</c:v>
                </c:pt>
                <c:pt idx="767">
                  <c:v>2.1800679282430735E-2</c:v>
                </c:pt>
                <c:pt idx="768">
                  <c:v>2.183521016852874E-2</c:v>
                </c:pt>
                <c:pt idx="769">
                  <c:v>2.1869200126002353E-2</c:v>
                </c:pt>
                <c:pt idx="770">
                  <c:v>2.1902648429059646E-2</c:v>
                </c:pt>
                <c:pt idx="771">
                  <c:v>2.1935542243104733E-2</c:v>
                </c:pt>
                <c:pt idx="772">
                  <c:v>2.1967858685896513E-2</c:v>
                </c:pt>
                <c:pt idx="773">
                  <c:v>2.1999574570882308E-2</c:v>
                </c:pt>
                <c:pt idx="774">
                  <c:v>2.2030666711344571E-2</c:v>
                </c:pt>
                <c:pt idx="775">
                  <c:v>2.2061115784035301E-2</c:v>
                </c:pt>
                <c:pt idx="776">
                  <c:v>2.2090917920106756E-2</c:v>
                </c:pt>
                <c:pt idx="777">
                  <c:v>2.2120073114430538E-2</c:v>
                </c:pt>
                <c:pt idx="778">
                  <c:v>2.2148581361983166E-2</c:v>
                </c:pt>
                <c:pt idx="779">
                  <c:v>2.2176442657861062E-2</c:v>
                </c:pt>
                <c:pt idx="780">
                  <c:v>2.2203656997265564E-2</c:v>
                </c:pt>
                <c:pt idx="781">
                  <c:v>2.2230224375507923E-2</c:v>
                </c:pt>
                <c:pt idx="782">
                  <c:v>2.225862336515147E-2</c:v>
                </c:pt>
                <c:pt idx="783">
                  <c:v>2.2281418230318262E-2</c:v>
                </c:pt>
                <c:pt idx="784">
                  <c:v>2.2306044698075789E-2</c:v>
                </c:pt>
                <c:pt idx="785">
                  <c:v>2.2330024187037778E-2</c:v>
                </c:pt>
                <c:pt idx="786">
                  <c:v>2.2353356693080029E-2</c:v>
                </c:pt>
                <c:pt idx="787">
                  <c:v>2.2376042212185754E-2</c:v>
                </c:pt>
                <c:pt idx="788">
                  <c:v>2.2398080740445581E-2</c:v>
                </c:pt>
                <c:pt idx="789">
                  <c:v>2.2419472274062546E-2</c:v>
                </c:pt>
                <c:pt idx="790">
                  <c:v>2.2440216809359592E-2</c:v>
                </c:pt>
                <c:pt idx="791">
                  <c:v>2.2460314342762078E-2</c:v>
                </c:pt>
                <c:pt idx="792">
                  <c:v>2.2471601642290687E-2</c:v>
                </c:pt>
                <c:pt idx="793">
                  <c:v>2.2490585283441167E-2</c:v>
                </c:pt>
                <c:pt idx="794">
                  <c:v>2.2508922071217921E-2</c:v>
                </c:pt>
                <c:pt idx="795">
                  <c:v>2.25266120028546E-2</c:v>
                </c:pt>
                <c:pt idx="796">
                  <c:v>2.2551096864097397E-2</c:v>
                </c:pt>
                <c:pt idx="797">
                  <c:v>2.2569116991193058E-2</c:v>
                </c:pt>
                <c:pt idx="798">
                  <c:v>2.2582880746818135E-2</c:v>
                </c:pt>
                <c:pt idx="799">
                  <c:v>2.2597802149826318E-2</c:v>
                </c:pt>
                <c:pt idx="800">
                  <c:v>2.2607044551832111E-2</c:v>
                </c:pt>
                <c:pt idx="801">
                  <c:v>2.2625703866286095E-2</c:v>
                </c:pt>
                <c:pt idx="802">
                  <c:v>2.2638684174934032E-2</c:v>
                </c:pt>
                <c:pt idx="803">
                  <c:v>2.2651017447514743E-2</c:v>
                </c:pt>
                <c:pt idx="804">
                  <c:v>2.2664190805715995E-2</c:v>
                </c:pt>
                <c:pt idx="805">
                  <c:v>2.2673742876071212E-2</c:v>
                </c:pt>
                <c:pt idx="806">
                  <c:v>2.2684135028140096E-2</c:v>
                </c:pt>
                <c:pt idx="807">
                  <c:v>2.2693871275984417E-2</c:v>
                </c:pt>
                <c:pt idx="808">
                  <c:v>2.2702978198901325E-2</c:v>
                </c:pt>
                <c:pt idx="809">
                  <c:v>2.2711429214353762E-2</c:v>
                </c:pt>
                <c:pt idx="810">
                  <c:v>2.27192331812065E-2</c:v>
                </c:pt>
                <c:pt idx="811">
                  <c:v>2.2726390098115612E-2</c:v>
                </c:pt>
                <c:pt idx="812">
                  <c:v>2.2732899963852082E-2</c:v>
                </c:pt>
                <c:pt idx="813">
                  <c:v>2.2738762777294308E-2</c:v>
                </c:pt>
                <c:pt idx="814">
                  <c:v>2.2743978537430598E-2</c:v>
                </c:pt>
                <c:pt idx="815">
                  <c:v>2.2748547243361672E-2</c:v>
                </c:pt>
                <c:pt idx="816">
                  <c:v>2.2752468894305655E-2</c:v>
                </c:pt>
                <c:pt idx="817">
                  <c:v>2.2755743489585589E-2</c:v>
                </c:pt>
                <c:pt idx="818">
                  <c:v>2.2758371028634428E-2</c:v>
                </c:pt>
                <c:pt idx="819">
                  <c:v>2.2760351511005028E-2</c:v>
                </c:pt>
                <c:pt idx="820">
                  <c:v>2.2761684936350168E-2</c:v>
                </c:pt>
                <c:pt idx="821">
                  <c:v>2.2762371304445028E-2</c:v>
                </c:pt>
                <c:pt idx="822">
                  <c:v>2.2760400052301611E-2</c:v>
                </c:pt>
                <c:pt idx="823">
                  <c:v>2.276194757021982E-2</c:v>
                </c:pt>
                <c:pt idx="824">
                  <c:v>2.2761258984001775E-2</c:v>
                </c:pt>
                <c:pt idx="825">
                  <c:v>2.2760646559578102E-2</c:v>
                </c:pt>
                <c:pt idx="826">
                  <c:v>2.2760408092994122E-2</c:v>
                </c:pt>
                <c:pt idx="827">
                  <c:v>2.2760810124744513E-2</c:v>
                </c:pt>
                <c:pt idx="828">
                  <c:v>2.2761926308060287E-2</c:v>
                </c:pt>
                <c:pt idx="829">
                  <c:v>2.2763756787855527E-2</c:v>
                </c:pt>
                <c:pt idx="830">
                  <c:v>2.2766301564484948E-2</c:v>
                </c:pt>
                <c:pt idx="831">
                  <c:v>2.2769560638425668E-2</c:v>
                </c:pt>
                <c:pt idx="832">
                  <c:v>2.2773534010297192E-2</c:v>
                </c:pt>
                <c:pt idx="833">
                  <c:v>2.2778221680858912E-2</c:v>
                </c:pt>
                <c:pt idx="834">
                  <c:v>2.2785974977356828E-2</c:v>
                </c:pt>
                <c:pt idx="835">
                  <c:v>2.2786095832960727E-2</c:v>
                </c:pt>
                <c:pt idx="836">
                  <c:v>2.2796570494257595E-2</c:v>
                </c:pt>
                <c:pt idx="837">
                  <c:v>2.2804115369839395E-2</c:v>
                </c:pt>
                <c:pt idx="838">
                  <c:v>2.2812374549921743E-2</c:v>
                </c:pt>
                <c:pt idx="839">
                  <c:v>2.2824126349162525E-2</c:v>
                </c:pt>
                <c:pt idx="840">
                  <c:v>2.2830993376876375E-2</c:v>
                </c:pt>
                <c:pt idx="841">
                  <c:v>2.2841445840168693E-2</c:v>
                </c:pt>
                <c:pt idx="842">
                  <c:v>2.285261256960144E-2</c:v>
                </c:pt>
                <c:pt idx="843">
                  <c:v>2.286449356723232E-2</c:v>
                </c:pt>
                <c:pt idx="844">
                  <c:v>2.2877088835245397E-2</c:v>
                </c:pt>
                <c:pt idx="845">
                  <c:v>2.2890398375963971E-2</c:v>
                </c:pt>
                <c:pt idx="846">
                  <c:v>2.2904422191835118E-2</c:v>
                </c:pt>
                <c:pt idx="847">
                  <c:v>2.2919160285445158E-2</c:v>
                </c:pt>
                <c:pt idx="848">
                  <c:v>2.293651215687309E-2</c:v>
                </c:pt>
                <c:pt idx="849">
                  <c:v>2.2950779316864092E-2</c:v>
                </c:pt>
                <c:pt idx="850">
                  <c:v>2.2967660260498006E-2</c:v>
                </c:pt>
                <c:pt idx="851">
                  <c:v>2.2985255493510531E-2</c:v>
                </c:pt>
                <c:pt idx="852">
                  <c:v>2.3012215544396142E-2</c:v>
                </c:pt>
                <c:pt idx="853">
                  <c:v>2.3022588840783516E-2</c:v>
                </c:pt>
                <c:pt idx="854">
                  <c:v>2.3042326961915893E-2</c:v>
                </c:pt>
                <c:pt idx="855">
                  <c:v>2.306504423470912E-2</c:v>
                </c:pt>
                <c:pt idx="856">
                  <c:v>2.3083946117343695E-2</c:v>
                </c:pt>
                <c:pt idx="857">
                  <c:v>2.3115423416283976E-2</c:v>
                </c:pt>
                <c:pt idx="858">
                  <c:v>2.3141654862922027E-2</c:v>
                </c:pt>
                <c:pt idx="859">
                  <c:v>2.3173848824526999E-2</c:v>
                </c:pt>
                <c:pt idx="860">
                  <c:v>2.3189804908668697E-2</c:v>
                </c:pt>
                <c:pt idx="861">
                  <c:v>2.3212346619772006E-2</c:v>
                </c:pt>
                <c:pt idx="862">
                  <c:v>2.3238154783146392E-2</c:v>
                </c:pt>
                <c:pt idx="863">
                  <c:v>2.3264677237898823E-2</c:v>
                </c:pt>
                <c:pt idx="864">
                  <c:v>2.3295863263330219E-2</c:v>
                </c:pt>
                <c:pt idx="865">
                  <c:v>2.3332402032430529E-2</c:v>
                </c:pt>
                <c:pt idx="866">
                  <c:v>2.3361328122172186E-2</c:v>
                </c:pt>
                <c:pt idx="867">
                  <c:v>2.3390968670878563E-2</c:v>
                </c:pt>
                <c:pt idx="868">
                  <c:v>2.3421323684363188E-2</c:v>
                </c:pt>
                <c:pt idx="869">
                  <c:v>2.3443271857882308E-2</c:v>
                </c:pt>
                <c:pt idx="870">
                  <c:v>2.348417712960682E-2</c:v>
                </c:pt>
                <c:pt idx="871">
                  <c:v>2.3516675573688094E-2</c:v>
                </c:pt>
                <c:pt idx="872">
                  <c:v>2.3549888507192147E-2</c:v>
                </c:pt>
                <c:pt idx="873">
                  <c:v>2.358381593662771E-2</c:v>
                </c:pt>
                <c:pt idx="874">
                  <c:v>2.3608529808347711E-2</c:v>
                </c:pt>
                <c:pt idx="875">
                  <c:v>2.3643551038069255E-2</c:v>
                </c:pt>
                <c:pt idx="876">
                  <c:v>2.3678839489526204E-2</c:v>
                </c:pt>
                <c:pt idx="877">
                  <c:v>2.3714110620051798E-2</c:v>
                </c:pt>
                <c:pt idx="878">
                  <c:v>2.3758781569717419E-2</c:v>
                </c:pt>
                <c:pt idx="879">
                  <c:v>2.3793162668945621E-2</c:v>
                </c:pt>
                <c:pt idx="880">
                  <c:v>2.3827038555448838E-2</c:v>
                </c:pt>
                <c:pt idx="881">
                  <c:v>2.386040922452537E-2</c:v>
                </c:pt>
                <c:pt idx="882">
                  <c:v>2.3883980385868142E-2</c:v>
                </c:pt>
                <c:pt idx="883">
                  <c:v>2.3916442410131467E-2</c:v>
                </c:pt>
                <c:pt idx="884">
                  <c:v>2.3948399296207512E-2</c:v>
                </c:pt>
                <c:pt idx="885">
                  <c:v>2.3979851040067501E-2</c:v>
                </c:pt>
                <c:pt idx="886">
                  <c:v>2.401079763774927E-2</c:v>
                </c:pt>
                <c:pt idx="887">
                  <c:v>2.4052945293981682E-2</c:v>
                </c:pt>
                <c:pt idx="888">
                  <c:v>2.4079857440371718E-2</c:v>
                </c:pt>
                <c:pt idx="889">
                  <c:v>2.4109186209377853E-2</c:v>
                </c:pt>
                <c:pt idx="890">
                  <c:v>2.4155490407134772E-2</c:v>
                </c:pt>
                <c:pt idx="891">
                  <c:v>2.4168765665715814E-2</c:v>
                </c:pt>
                <c:pt idx="892">
                  <c:v>2.4195323689572279E-2</c:v>
                </c:pt>
                <c:pt idx="893">
                  <c:v>2.4222593486123156E-2</c:v>
                </c:pt>
                <c:pt idx="894">
                  <c:v>2.4249358042234548E-2</c:v>
                </c:pt>
                <c:pt idx="895">
                  <c:v>2.4267659126267167E-2</c:v>
                </c:pt>
                <c:pt idx="896">
                  <c:v>2.4290891521656324E-2</c:v>
                </c:pt>
                <c:pt idx="897">
                  <c:v>2.4316277843366825E-2</c:v>
                </c:pt>
                <c:pt idx="898">
                  <c:v>2.4341159040963359E-2</c:v>
                </c:pt>
                <c:pt idx="899">
                  <c:v>2.43655351115197E-2</c:v>
                </c:pt>
                <c:pt idx="900">
                  <c:v>2.4399335132836153E-2</c:v>
                </c:pt>
                <c:pt idx="901">
                  <c:v>2.4422562908891221E-2</c:v>
                </c:pt>
                <c:pt idx="902">
                  <c:v>2.4447690676062776E-2</c:v>
                </c:pt>
                <c:pt idx="903">
                  <c:v>2.4467502655959872E-2</c:v>
                </c:pt>
                <c:pt idx="904">
                  <c:v>2.4489214620930788E-2</c:v>
                </c:pt>
                <c:pt idx="905">
                  <c:v>2.4510421309610897E-2</c:v>
                </c:pt>
                <c:pt idx="906">
                  <c:v>2.4531122719149978E-2</c:v>
                </c:pt>
                <c:pt idx="907">
                  <c:v>2.455131884676276E-2</c:v>
                </c:pt>
                <c:pt idx="908">
                  <c:v>2.457158592660004E-2</c:v>
                </c:pt>
                <c:pt idx="909">
                  <c:v>2.4592357705298766E-2</c:v>
                </c:pt>
                <c:pt idx="910">
                  <c:v>2.4608875511229755E-2</c:v>
                </c:pt>
                <c:pt idx="911">
                  <c:v>2.4627050484666013E-2</c:v>
                </c:pt>
                <c:pt idx="912">
                  <c:v>2.4645147007821243E-2</c:v>
                </c:pt>
                <c:pt idx="913">
                  <c:v>2.4661884544687485E-2</c:v>
                </c:pt>
                <c:pt idx="914">
                  <c:v>2.4678543626591443E-2</c:v>
                </c:pt>
                <c:pt idx="915">
                  <c:v>2.4694697406749955E-2</c:v>
                </c:pt>
                <c:pt idx="916">
                  <c:v>2.4710345882987261E-2</c:v>
                </c:pt>
                <c:pt idx="917">
                  <c:v>2.4725489053202543E-2</c:v>
                </c:pt>
                <c:pt idx="918">
                  <c:v>2.4740126915359928E-2</c:v>
                </c:pt>
                <c:pt idx="919">
                  <c:v>2.4754259467485995E-2</c:v>
                </c:pt>
                <c:pt idx="920">
                  <c:v>2.4767886707687259E-2</c:v>
                </c:pt>
                <c:pt idx="921">
                  <c:v>2.4775761831746672E-2</c:v>
                </c:pt>
                <c:pt idx="922">
                  <c:v>2.4793625245046191E-2</c:v>
                </c:pt>
                <c:pt idx="923">
                  <c:v>2.480573653874163E-2</c:v>
                </c:pt>
                <c:pt idx="924">
                  <c:v>2.4817342513587803E-2</c:v>
                </c:pt>
                <c:pt idx="925">
                  <c:v>2.4828443168023462E-2</c:v>
                </c:pt>
                <c:pt idx="926">
                  <c:v>2.483905975360412E-2</c:v>
                </c:pt>
                <c:pt idx="927">
                  <c:v>2.4849298534287412E-2</c:v>
                </c:pt>
                <c:pt idx="928">
                  <c:v>2.4859287027544918E-2</c:v>
                </c:pt>
                <c:pt idx="929">
                  <c:v>2.4869152751327839E-2</c:v>
                </c:pt>
                <c:pt idx="930">
                  <c:v>2.487902155105276E-2</c:v>
                </c:pt>
                <c:pt idx="931">
                  <c:v>2.4888964002022784E-2</c:v>
                </c:pt>
                <c:pt idx="932">
                  <c:v>2.4898984070040597E-2</c:v>
                </c:pt>
                <c:pt idx="933">
                  <c:v>2.4909081755308538E-2</c:v>
                </c:pt>
                <c:pt idx="934">
                  <c:v>2.4914473195829893E-2</c:v>
                </c:pt>
                <c:pt idx="935">
                  <c:v>2.4929509978439124E-2</c:v>
                </c:pt>
                <c:pt idx="936">
                  <c:v>2.4939840516721434E-2</c:v>
                </c:pt>
                <c:pt idx="937">
                  <c:v>2.4950248673100694E-2</c:v>
                </c:pt>
                <c:pt idx="938">
                  <c:v>2.4960734447789235E-2</c:v>
                </c:pt>
                <c:pt idx="939">
                  <c:v>2.4971297841006879E-2</c:v>
                </c:pt>
                <c:pt idx="940">
                  <c:v>2.4981938852968455E-2</c:v>
                </c:pt>
                <c:pt idx="941">
                  <c:v>2.4992657483896286E-2</c:v>
                </c:pt>
                <c:pt idx="942">
                  <c:v>2.500956289376851E-2</c:v>
                </c:pt>
                <c:pt idx="943">
                  <c:v>2.5018920721566321E-2</c:v>
                </c:pt>
                <c:pt idx="944">
                  <c:v>2.5025190952618116E-2</c:v>
                </c:pt>
                <c:pt idx="945">
                  <c:v>2.503622483953194E-2</c:v>
                </c:pt>
                <c:pt idx="946">
                  <c:v>2.5047336340817468E-2</c:v>
                </c:pt>
                <c:pt idx="947">
                  <c:v>2.505349576672319E-2</c:v>
                </c:pt>
                <c:pt idx="948">
                  <c:v>2.5064743518861437E-2</c:v>
                </c:pt>
                <c:pt idx="949">
                  <c:v>2.5076068868745058E-2</c:v>
                </c:pt>
                <c:pt idx="950">
                  <c:v>2.5087471816571037E-2</c:v>
                </c:pt>
                <c:pt idx="951">
                  <c:v>2.5105761341186195E-2</c:v>
                </c:pt>
                <c:pt idx="952">
                  <c:v>2.511734488449574E-2</c:v>
                </c:pt>
                <c:pt idx="953">
                  <c:v>2.5127290071106832E-2</c:v>
                </c:pt>
                <c:pt idx="954">
                  <c:v>2.5139022495503999E-2</c:v>
                </c:pt>
                <c:pt idx="955">
                  <c:v>2.5150832536330575E-2</c:v>
                </c:pt>
                <c:pt idx="956">
                  <c:v>2.5167809949262931E-2</c:v>
                </c:pt>
                <c:pt idx="957">
                  <c:v>2.5174685468213151E-2</c:v>
                </c:pt>
                <c:pt idx="958">
                  <c:v>2.5186728359748767E-2</c:v>
                </c:pt>
                <c:pt idx="959">
                  <c:v>2.5200603110571707E-2</c:v>
                </c:pt>
                <c:pt idx="960">
                  <c:v>2.5216298524290255E-2</c:v>
                </c:pt>
                <c:pt idx="961">
                  <c:v>2.5223322739628667E-2</c:v>
                </c:pt>
                <c:pt idx="962">
                  <c:v>2.524099416109029E-2</c:v>
                </c:pt>
                <c:pt idx="963">
                  <c:v>2.5248107083047529E-2</c:v>
                </c:pt>
                <c:pt idx="964">
                  <c:v>2.5262401971607729E-2</c:v>
                </c:pt>
                <c:pt idx="965">
                  <c:v>2.5273201900915119E-2</c:v>
                </c:pt>
                <c:pt idx="966">
                  <c:v>2.5285865738393143E-2</c:v>
                </c:pt>
                <c:pt idx="967">
                  <c:v>2.5302283930026981E-2</c:v>
                </c:pt>
                <c:pt idx="968">
                  <c:v>2.5311426271701139E-2</c:v>
                </c:pt>
                <c:pt idx="969">
                  <c:v>2.5324322968044252E-2</c:v>
                </c:pt>
                <c:pt idx="970">
                  <c:v>2.5337297284524784E-2</c:v>
                </c:pt>
                <c:pt idx="971">
                  <c:v>2.5350349221398005E-2</c:v>
                </c:pt>
                <c:pt idx="972">
                  <c:v>2.5363478778929516E-2</c:v>
                </c:pt>
                <c:pt idx="973">
                  <c:v>2.5376685957379751E-2</c:v>
                </c:pt>
                <c:pt idx="974">
                  <c:v>2.5389970757011729E-2</c:v>
                </c:pt>
                <c:pt idx="975">
                  <c:v>2.5403333178096194E-2</c:v>
                </c:pt>
                <c:pt idx="976">
                  <c:v>2.541677322089617E-2</c:v>
                </c:pt>
                <c:pt idx="977">
                  <c:v>2.5430290885679822E-2</c:v>
                </c:pt>
                <c:pt idx="978">
                  <c:v>2.5443886172720486E-2</c:v>
                </c:pt>
                <c:pt idx="979">
                  <c:v>2.5457559082288906E-2</c:v>
                </c:pt>
                <c:pt idx="980">
                  <c:v>2.5471309614658419E-2</c:v>
                </c:pt>
                <c:pt idx="981">
                  <c:v>2.5485137770104933E-2</c:v>
                </c:pt>
                <c:pt idx="982">
                  <c:v>2.549904354890177E-2</c:v>
                </c:pt>
                <c:pt idx="983">
                  <c:v>2.5513026951335161E-2</c:v>
                </c:pt>
                <c:pt idx="984">
                  <c:v>2.5527087977675854E-2</c:v>
                </c:pt>
                <c:pt idx="985">
                  <c:v>2.5541226628210071E-2</c:v>
                </c:pt>
                <c:pt idx="986">
                  <c:v>2.5555442903218876E-2</c:v>
                </c:pt>
                <c:pt idx="987">
                  <c:v>2.5569736802988494E-2</c:v>
                </c:pt>
                <c:pt idx="988">
                  <c:v>2.5584108327802571E-2</c:v>
                </c:pt>
                <c:pt idx="989">
                  <c:v>2.5598557477949906E-2</c:v>
                </c:pt>
                <c:pt idx="990">
                  <c:v>2.5613084253716722E-2</c:v>
                </c:pt>
                <c:pt idx="991">
                  <c:v>2.5627688655399553E-2</c:v>
                </c:pt>
                <c:pt idx="992">
                  <c:v>2.5642370683287206E-2</c:v>
                </c:pt>
                <c:pt idx="993">
                  <c:v>2.5657130337673636E-2</c:v>
                </c:pt>
                <c:pt idx="994">
                  <c:v>2.5680480918203435E-2</c:v>
                </c:pt>
                <c:pt idx="995">
                  <c:v>2.5695440184947477E-2</c:v>
                </c:pt>
                <c:pt idx="996">
                  <c:v>2.570832419877233E-2</c:v>
                </c:pt>
                <c:pt idx="997">
                  <c:v>2.5723427631222838E-2</c:v>
                </c:pt>
                <c:pt idx="998">
                  <c:v>2.5738608691794052E-2</c:v>
                </c:pt>
                <c:pt idx="999">
                  <c:v>2.5747818798189659E-2</c:v>
                </c:pt>
                <c:pt idx="1000">
                  <c:v>2.5763135196741973E-2</c:v>
                </c:pt>
                <c:pt idx="1001">
                  <c:v>2.5778529205652427E-2</c:v>
                </c:pt>
                <c:pt idx="1002">
                  <c:v>2.5794000825200794E-2</c:v>
                </c:pt>
                <c:pt idx="1003">
                  <c:v>2.5815678427143784E-2</c:v>
                </c:pt>
                <c:pt idx="1004">
                  <c:v>2.583132526286764E-2</c:v>
                </c:pt>
                <c:pt idx="1005">
                  <c:v>2.5847049728873053E-2</c:v>
                </c:pt>
                <c:pt idx="1006">
                  <c:v>2.5862851825469452E-2</c:v>
                </c:pt>
                <c:pt idx="1007">
                  <c:v>2.58812107426305E-2</c:v>
                </c:pt>
                <c:pt idx="1008">
                  <c:v>2.5892611997799797E-2</c:v>
                </c:pt>
                <c:pt idx="1009">
                  <c:v>2.5908640290983165E-2</c:v>
                </c:pt>
                <c:pt idx="1010">
                  <c:v>2.5924746209715188E-2</c:v>
                </c:pt>
                <c:pt idx="1011">
                  <c:v>2.5940929754304953E-2</c:v>
                </c:pt>
                <c:pt idx="1012">
                  <c:v>2.5959294665338497E-2</c:v>
                </c:pt>
                <c:pt idx="1013">
                  <c:v>2.5977981596664708E-2</c:v>
                </c:pt>
                <c:pt idx="1014">
                  <c:v>2.6001010387960738E-2</c:v>
                </c:pt>
                <c:pt idx="1015">
                  <c:v>2.6017306852613262E-2</c:v>
                </c:pt>
                <c:pt idx="1016">
                  <c:v>2.6025385595787931E-2</c:v>
                </c:pt>
                <c:pt idx="1017">
                  <c:v>2.6042045991877316E-2</c:v>
                </c:pt>
                <c:pt idx="1018">
                  <c:v>2.6058784016094627E-2</c:v>
                </c:pt>
                <c:pt idx="1019">
                  <c:v>2.6075599668770266E-2</c:v>
                </c:pt>
                <c:pt idx="1020">
                  <c:v>2.6094912613208621E-2</c:v>
                </c:pt>
                <c:pt idx="1021">
                  <c:v>2.6118396091857319E-2</c:v>
                </c:pt>
                <c:pt idx="1022">
                  <c:v>2.6135476070631665E-2</c:v>
                </c:pt>
                <c:pt idx="1023">
                  <c:v>2.6152633698616708E-2</c:v>
                </c:pt>
                <c:pt idx="1024">
                  <c:v>2.6169868976178217E-2</c:v>
                </c:pt>
                <c:pt idx="1025">
                  <c:v>2.6187181903679534E-2</c:v>
                </c:pt>
                <c:pt idx="1026">
                  <c:v>2.6204572481493701E-2</c:v>
                </c:pt>
                <c:pt idx="1027">
                  <c:v>2.6222040709991328E-2</c:v>
                </c:pt>
                <c:pt idx="1028">
                  <c:v>2.6239586589540603E-2</c:v>
                </c:pt>
                <c:pt idx="1029">
                  <c:v>2.625054511471081E-2</c:v>
                </c:pt>
                <c:pt idx="1030">
                  <c:v>2.6268208488692935E-2</c:v>
                </c:pt>
                <c:pt idx="1031">
                  <c:v>2.6285885991605085E-2</c:v>
                </c:pt>
                <c:pt idx="1032">
                  <c:v>2.6303528231799156E-2</c:v>
                </c:pt>
                <c:pt idx="1033">
                  <c:v>2.6321085817344603E-2</c:v>
                </c:pt>
                <c:pt idx="1034">
                  <c:v>2.6345103379110672E-2</c:v>
                </c:pt>
                <c:pt idx="1035">
                  <c:v>2.6362376166136802E-2</c:v>
                </c:pt>
                <c:pt idx="1036">
                  <c:v>2.6379514878072514E-2</c:v>
                </c:pt>
                <c:pt idx="1037">
                  <c:v>2.6396519514292845E-2</c:v>
                </c:pt>
                <c:pt idx="1038">
                  <c:v>2.6406904190515057E-2</c:v>
                </c:pt>
                <c:pt idx="1039">
                  <c:v>2.6423665718267486E-2</c:v>
                </c:pt>
                <c:pt idx="1040">
                  <c:v>2.6440293195745035E-2</c:v>
                </c:pt>
                <c:pt idx="1041">
                  <c:v>2.6463197289555204E-2</c:v>
                </c:pt>
                <c:pt idx="1042">
                  <c:v>2.6479531537899413E-2</c:v>
                </c:pt>
                <c:pt idx="1043">
                  <c:v>2.6495731706846343E-2</c:v>
                </c:pt>
                <c:pt idx="1044">
                  <c:v>2.6511797795800103E-2</c:v>
                </c:pt>
                <c:pt idx="1045">
                  <c:v>2.6527729804169651E-2</c:v>
                </c:pt>
                <c:pt idx="1046">
                  <c:v>2.6543527731366371E-2</c:v>
                </c:pt>
                <c:pt idx="1047">
                  <c:v>2.6559191576813749E-2</c:v>
                </c:pt>
                <c:pt idx="1048">
                  <c:v>2.6574721339932855E-2</c:v>
                </c:pt>
                <c:pt idx="1049">
                  <c:v>2.6590117020152026E-2</c:v>
                </c:pt>
                <c:pt idx="1050">
                  <c:v>2.6605378616906868E-2</c:v>
                </c:pt>
                <c:pt idx="1051">
                  <c:v>2.6612293844028911E-2</c:v>
                </c:pt>
                <c:pt idx="1052">
                  <c:v>2.6627321141540088E-2</c:v>
                </c:pt>
                <c:pt idx="1053">
                  <c:v>2.6642214391216366E-2</c:v>
                </c:pt>
                <c:pt idx="1054">
                  <c:v>2.6656973592572613E-2</c:v>
                </c:pt>
                <c:pt idx="1055">
                  <c:v>2.6679675329214125E-2</c:v>
                </c:pt>
                <c:pt idx="1056">
                  <c:v>2.6694132413555914E-2</c:v>
                </c:pt>
                <c:pt idx="1057">
                  <c:v>2.671045575447728E-2</c:v>
                </c:pt>
                <c:pt idx="1058">
                  <c:v>2.6722644319839135E-2</c:v>
                </c:pt>
                <c:pt idx="1059">
                  <c:v>2.673074500211392E-2</c:v>
                </c:pt>
                <c:pt idx="1060">
                  <c:v>2.6744691363206563E-2</c:v>
                </c:pt>
                <c:pt idx="1061">
                  <c:v>2.6758503663283584E-2</c:v>
                </c:pt>
                <c:pt idx="1062">
                  <c:v>2.6778041375009887E-2</c:v>
                </c:pt>
                <c:pt idx="1063">
                  <c:v>2.6791549255663905E-2</c:v>
                </c:pt>
                <c:pt idx="1064">
                  <c:v>2.6806863008996214E-2</c:v>
                </c:pt>
                <c:pt idx="1065">
                  <c:v>2.6818162772154486E-2</c:v>
                </c:pt>
                <c:pt idx="1066">
                  <c:v>2.6831268407041808E-2</c:v>
                </c:pt>
                <c:pt idx="1067">
                  <c:v>2.6844168450685504E-2</c:v>
                </c:pt>
                <c:pt idx="1068">
                  <c:v>2.6857077427767384E-2</c:v>
                </c:pt>
                <c:pt idx="1069">
                  <c:v>2.6869780812683874E-2</c:v>
                </c:pt>
                <c:pt idx="1070">
                  <c:v>2.6882350113361653E-2</c:v>
                </c:pt>
                <c:pt idx="1071">
                  <c:v>2.6894785329356075E-2</c:v>
                </c:pt>
                <c:pt idx="1072">
                  <c:v>2.6907086460222496E-2</c:v>
                </c:pt>
                <c:pt idx="1073">
                  <c:v>2.6919253505521268E-2</c:v>
                </c:pt>
                <c:pt idx="1074">
                  <c:v>2.6931286464817739E-2</c:v>
                </c:pt>
                <c:pt idx="1075">
                  <c:v>2.6943185337682252E-2</c:v>
                </c:pt>
                <c:pt idx="1076">
                  <c:v>2.6954950123695143E-2</c:v>
                </c:pt>
                <c:pt idx="1077">
                  <c:v>2.6966580822429254E-2</c:v>
                </c:pt>
                <c:pt idx="1078">
                  <c:v>2.6978077433474912E-2</c:v>
                </c:pt>
                <c:pt idx="1079">
                  <c:v>2.6989439956419947E-2</c:v>
                </c:pt>
                <c:pt idx="1080">
                  <c:v>2.7000668390859683E-2</c:v>
                </c:pt>
                <c:pt idx="1081">
                  <c:v>2.7006380570307062E-2</c:v>
                </c:pt>
                <c:pt idx="1082">
                  <c:v>2.7022722992627035E-2</c:v>
                </c:pt>
                <c:pt idx="1083">
                  <c:v>2.703354915916778E-2</c:v>
                </c:pt>
                <c:pt idx="1084">
                  <c:v>2.7044241235626987E-2</c:v>
                </c:pt>
                <c:pt idx="1085">
                  <c:v>2.7054799221629955E-2</c:v>
                </c:pt>
                <c:pt idx="1086">
                  <c:v>2.7065223116791992E-2</c:v>
                </c:pt>
                <c:pt idx="1087">
                  <c:v>2.707551292074839E-2</c:v>
                </c:pt>
                <c:pt idx="1088">
                  <c:v>2.7085668633126947E-2</c:v>
                </c:pt>
                <c:pt idx="1089">
                  <c:v>2.709569025356795E-2</c:v>
                </c:pt>
                <c:pt idx="1090">
                  <c:v>2.7105577781714185E-2</c:v>
                </c:pt>
                <c:pt idx="1091">
                  <c:v>2.7115331217210936E-2</c:v>
                </c:pt>
                <c:pt idx="1092">
                  <c:v>2.7124950559708483E-2</c:v>
                </c:pt>
                <c:pt idx="1093">
                  <c:v>2.713780872178518E-2</c:v>
                </c:pt>
                <c:pt idx="1094">
                  <c:v>2.7138748505962228E-2</c:v>
                </c:pt>
                <c:pt idx="1095">
                  <c:v>2.7153004025828598E-2</c:v>
                </c:pt>
                <c:pt idx="1096">
                  <c:v>2.7162086992959522E-2</c:v>
                </c:pt>
                <c:pt idx="1097">
                  <c:v>2.7171035865425075E-2</c:v>
                </c:pt>
                <c:pt idx="1098">
                  <c:v>2.7182740040404049E-2</c:v>
                </c:pt>
                <c:pt idx="1099">
                  <c:v>2.7188127542410321E-2</c:v>
                </c:pt>
                <c:pt idx="1100">
                  <c:v>2.7196663906663206E-2</c:v>
                </c:pt>
                <c:pt idx="1101">
                  <c:v>2.720506618490412E-2</c:v>
                </c:pt>
                <c:pt idx="1102">
                  <c:v>2.7213334376836523E-2</c:v>
                </c:pt>
                <c:pt idx="1103">
                  <c:v>2.7216672425458555E-2</c:v>
                </c:pt>
                <c:pt idx="1104">
                  <c:v>2.7224699357765961E-2</c:v>
                </c:pt>
                <c:pt idx="1105">
                  <c:v>2.7232592232839484E-2</c:v>
                </c:pt>
                <c:pt idx="1106">
                  <c:v>2.7240351050439315E-2</c:v>
                </c:pt>
                <c:pt idx="1107">
                  <c:v>2.7254225213088068E-2</c:v>
                </c:pt>
                <c:pt idx="1108">
                  <c:v>2.726012770035444E-2</c:v>
                </c:pt>
                <c:pt idx="1109">
                  <c:v>2.7267457280412168E-2</c:v>
                </c:pt>
                <c:pt idx="1110">
                  <c:v>2.7274652772008273E-2</c:v>
                </c:pt>
                <c:pt idx="1111">
                  <c:v>2.7284168380363738E-2</c:v>
                </c:pt>
                <c:pt idx="1112">
                  <c:v>2.7288641488825437E-2</c:v>
                </c:pt>
                <c:pt idx="1113">
                  <c:v>2.729543471356172E-2</c:v>
                </c:pt>
                <c:pt idx="1114">
                  <c:v>2.730359172148672E-2</c:v>
                </c:pt>
                <c:pt idx="1115">
                  <c:v>2.7308618894521592E-2</c:v>
                </c:pt>
                <c:pt idx="1116">
                  <c:v>2.7315009850291349E-2</c:v>
                </c:pt>
                <c:pt idx="1117">
                  <c:v>2.732390718176422E-2</c:v>
                </c:pt>
                <c:pt idx="1118">
                  <c:v>2.7327389491293985E-2</c:v>
                </c:pt>
                <c:pt idx="1119">
                  <c:v>2.7333378176103974E-2</c:v>
                </c:pt>
                <c:pt idx="1120">
                  <c:v>2.7339232770172875E-2</c:v>
                </c:pt>
                <c:pt idx="1121">
                  <c:v>2.7344953273299551E-2</c:v>
                </c:pt>
                <c:pt idx="1122">
                  <c:v>2.7350539685288035E-2</c:v>
                </c:pt>
                <c:pt idx="1123">
                  <c:v>2.7356875042404027E-2</c:v>
                </c:pt>
                <c:pt idx="1124">
                  <c:v>2.7362716812047716E-2</c:v>
                </c:pt>
                <c:pt idx="1125">
                  <c:v>2.7366494372508446E-2</c:v>
                </c:pt>
                <c:pt idx="1126">
                  <c:v>2.7371544418054058E-2</c:v>
                </c:pt>
                <c:pt idx="1127">
                  <c:v>2.7376460371540921E-2</c:v>
                </c:pt>
                <c:pt idx="1128">
                  <c:v>2.7381242232801431E-2</c:v>
                </c:pt>
                <c:pt idx="1129">
                  <c:v>2.7385890001665397E-2</c:v>
                </c:pt>
                <c:pt idx="1130">
                  <c:v>2.7390403677978108E-2</c:v>
                </c:pt>
                <c:pt idx="1131">
                  <c:v>2.7394783261577113E-2</c:v>
                </c:pt>
                <c:pt idx="1132">
                  <c:v>2.7399028752315435E-2</c:v>
                </c:pt>
                <c:pt idx="1133">
                  <c:v>2.7399164613259863E-2</c:v>
                </c:pt>
                <c:pt idx="1134">
                  <c:v>2.7407117454627251E-2</c:v>
                </c:pt>
                <c:pt idx="1135">
                  <c:v>2.7410960665919689E-2</c:v>
                </c:pt>
                <c:pt idx="1136">
                  <c:v>2.7414669783791885E-2</c:v>
                </c:pt>
                <c:pt idx="1137">
                  <c:v>2.7420816744907487E-2</c:v>
                </c:pt>
                <c:pt idx="1138">
                  <c:v>2.7421685738765002E-2</c:v>
                </c:pt>
                <c:pt idx="1139">
                  <c:v>2.7424992575620956E-2</c:v>
                </c:pt>
                <c:pt idx="1140">
                  <c:v>2.742816531857448E-2</c:v>
                </c:pt>
                <c:pt idx="1141">
                  <c:v>2.743120396751211E-2</c:v>
                </c:pt>
                <c:pt idx="1142">
                  <c:v>2.7434108522330709E-2</c:v>
                </c:pt>
                <c:pt idx="1143">
                  <c:v>2.7436878982927126E-2</c:v>
                </c:pt>
                <c:pt idx="1144">
                  <c:v>2.743951534920596E-2</c:v>
                </c:pt>
                <c:pt idx="1145">
                  <c:v>2.7445649792673846E-2</c:v>
                </c:pt>
                <c:pt idx="1146">
                  <c:v>2.7440774310322054E-2</c:v>
                </c:pt>
                <c:pt idx="1147">
                  <c:v>2.7446619881262811E-2</c:v>
                </c:pt>
                <c:pt idx="1148">
                  <c:v>2.7448719869412636E-2</c:v>
                </c:pt>
                <c:pt idx="1149">
                  <c:v>2.7450685762834881E-2</c:v>
                </c:pt>
                <c:pt idx="1150">
                  <c:v>2.7456058476375104E-2</c:v>
                </c:pt>
                <c:pt idx="1151">
                  <c:v>2.7454901803110485E-2</c:v>
                </c:pt>
                <c:pt idx="1152">
                  <c:v>2.7456407942702883E-2</c:v>
                </c:pt>
                <c:pt idx="1153">
                  <c:v>2.745777998730211E-2</c:v>
                </c:pt>
                <c:pt idx="1154">
                  <c:v>2.7459017936861747E-2</c:v>
                </c:pt>
                <c:pt idx="1155">
                  <c:v>2.7456777572514617E-2</c:v>
                </c:pt>
                <c:pt idx="1156">
                  <c:v>2.7457775838353182E-2</c:v>
                </c:pt>
                <c:pt idx="1157">
                  <c:v>2.7458640039683679E-2</c:v>
                </c:pt>
                <c:pt idx="1158">
                  <c:v>2.7459370176477562E-2</c:v>
                </c:pt>
                <c:pt idx="1159">
                  <c:v>2.7463196257753605E-2</c:v>
                </c:pt>
                <c:pt idx="1160">
                  <c:v>2.7463629636345972E-2</c:v>
                </c:pt>
                <c:pt idx="1161">
                  <c:v>2.7463928919697622E-2</c:v>
                </c:pt>
                <c:pt idx="1162">
                  <c:v>2.746409410779824E-2</c:v>
                </c:pt>
                <c:pt idx="1163">
                  <c:v>2.7464125200642668E-2</c:v>
                </c:pt>
                <c:pt idx="1164">
                  <c:v>2.7462994207515301E-2</c:v>
                </c:pt>
                <c:pt idx="1165">
                  <c:v>2.7462766705415476E-2</c:v>
                </c:pt>
                <c:pt idx="1166">
                  <c:v>2.7462277179814087E-2</c:v>
                </c:pt>
                <c:pt idx="1167">
                  <c:v>2.7461909446135913E-2</c:v>
                </c:pt>
                <c:pt idx="1168">
                  <c:v>2.7462269236130269E-2</c:v>
                </c:pt>
                <c:pt idx="1169">
                  <c:v>2.7461495757571647E-2</c:v>
                </c:pt>
                <c:pt idx="1170">
                  <c:v>2.746058818384451E-2</c:v>
                </c:pt>
                <c:pt idx="1171">
                  <c:v>2.7459546514982374E-2</c:v>
                </c:pt>
                <c:pt idx="1172">
                  <c:v>2.7457242279887772E-2</c:v>
                </c:pt>
                <c:pt idx="1173">
                  <c:v>2.7455723520785291E-2</c:v>
                </c:pt>
                <c:pt idx="1174">
                  <c:v>2.7454469521632774E-2</c:v>
                </c:pt>
                <c:pt idx="1175">
                  <c:v>2.7452644283051164E-2</c:v>
                </c:pt>
                <c:pt idx="1176">
                  <c:v>2.7453629079952888E-2</c:v>
                </c:pt>
                <c:pt idx="1177">
                  <c:v>2.7451725081992381E-2</c:v>
                </c:pt>
                <c:pt idx="1178">
                  <c:v>2.7449686968869264E-2</c:v>
                </c:pt>
                <c:pt idx="1179">
                  <c:v>2.7447514740661046E-2</c:v>
                </c:pt>
                <c:pt idx="1180">
                  <c:v>2.7442599707711679E-2</c:v>
                </c:pt>
                <c:pt idx="1181">
                  <c:v>2.7442767939301792E-2</c:v>
                </c:pt>
                <c:pt idx="1182">
                  <c:v>2.7440193366327588E-2</c:v>
                </c:pt>
                <c:pt idx="1183">
                  <c:v>2.7437484678617095E-2</c:v>
                </c:pt>
                <c:pt idx="1184">
                  <c:v>2.7434641876264786E-2</c:v>
                </c:pt>
                <c:pt idx="1185">
                  <c:v>2.7429203854977935E-2</c:v>
                </c:pt>
                <c:pt idx="1186">
                  <c:v>2.7426138722555393E-2</c:v>
                </c:pt>
                <c:pt idx="1187">
                  <c:v>2.742298151125766E-2</c:v>
                </c:pt>
                <c:pt idx="1188">
                  <c:v>2.7419758951561235E-2</c:v>
                </c:pt>
                <c:pt idx="1189">
                  <c:v>2.7418922427339225E-2</c:v>
                </c:pt>
                <c:pt idx="1190">
                  <c:v>2.7415635063503533E-2</c:v>
                </c:pt>
                <c:pt idx="1191">
                  <c:v>2.7412328170545279E-2</c:v>
                </c:pt>
                <c:pt idx="1192">
                  <c:v>2.7409001748476575E-2</c:v>
                </c:pt>
                <c:pt idx="1193">
                  <c:v>2.7403250801905976E-2</c:v>
                </c:pt>
                <c:pt idx="1194">
                  <c:v>2.7399890273056116E-2</c:v>
                </c:pt>
                <c:pt idx="1195">
                  <c:v>2.7396510219509729E-2</c:v>
                </c:pt>
                <c:pt idx="1196">
                  <c:v>2.7393110641280138E-2</c:v>
                </c:pt>
                <c:pt idx="1197">
                  <c:v>2.7389691538388661E-2</c:v>
                </c:pt>
                <c:pt idx="1198">
                  <c:v>2.7389426268700875E-2</c:v>
                </c:pt>
                <c:pt idx="1199">
                  <c:v>2.738516998054295E-2</c:v>
                </c:pt>
                <c:pt idx="1200">
                  <c:v>2.7381687326276157E-2</c:v>
                </c:pt>
                <c:pt idx="1201">
                  <c:v>2.7374884511892905E-2</c:v>
                </c:pt>
                <c:pt idx="1202">
                  <c:v>2.7372081191894916E-2</c:v>
                </c:pt>
                <c:pt idx="1203">
                  <c:v>2.7369829965483983E-2</c:v>
                </c:pt>
                <c:pt idx="1204">
                  <c:v>2.7366268071104538E-2</c:v>
                </c:pt>
                <c:pt idx="1205">
                  <c:v>2.7362686649312906E-2</c:v>
                </c:pt>
                <c:pt idx="1206">
                  <c:v>2.7356745768306025E-2</c:v>
                </c:pt>
                <c:pt idx="1207">
                  <c:v>2.7352351752055273E-2</c:v>
                </c:pt>
                <c:pt idx="1208">
                  <c:v>2.7348718430505934E-2</c:v>
                </c:pt>
                <c:pt idx="1209">
                  <c:v>2.7345065587383668E-2</c:v>
                </c:pt>
                <c:pt idx="1210">
                  <c:v>2.734139322271131E-2</c:v>
                </c:pt>
                <c:pt idx="1211">
                  <c:v>2.7340788043816455E-2</c:v>
                </c:pt>
                <c:pt idx="1212">
                  <c:v>2.7337839628803259E-2</c:v>
                </c:pt>
                <c:pt idx="1213">
                  <c:v>2.7333332290164492E-2</c:v>
                </c:pt>
                <c:pt idx="1214">
                  <c:v>2.7329575122457539E-2</c:v>
                </c:pt>
                <c:pt idx="1215">
                  <c:v>2.7325798427525749E-2</c:v>
                </c:pt>
                <c:pt idx="1216">
                  <c:v>2.7322002205386609E-2</c:v>
                </c:pt>
                <c:pt idx="1217">
                  <c:v>2.7318186456057603E-2</c:v>
                </c:pt>
                <c:pt idx="1218">
                  <c:v>2.7314351179561214E-2</c:v>
                </c:pt>
                <c:pt idx="1219">
                  <c:v>2.7309944095628425E-2</c:v>
                </c:pt>
                <c:pt idx="1220">
                  <c:v>2.7306622045143725E-2</c:v>
                </c:pt>
                <c:pt idx="1221">
                  <c:v>2.7302728187262593E-2</c:v>
                </c:pt>
                <c:pt idx="1222">
                  <c:v>2.7297501422066696E-2</c:v>
                </c:pt>
                <c:pt idx="1223">
                  <c:v>2.7294881890257972E-2</c:v>
                </c:pt>
                <c:pt idx="1224">
                  <c:v>2.7290929451176948E-2</c:v>
                </c:pt>
                <c:pt idx="1225">
                  <c:v>2.728695748506843E-2</c:v>
                </c:pt>
                <c:pt idx="1226">
                  <c:v>2.7282965991952401E-2</c:v>
                </c:pt>
                <c:pt idx="1227">
                  <c:v>2.7278954971853842E-2</c:v>
                </c:pt>
                <c:pt idx="1228">
                  <c:v>2.7274924424790237E-2</c:v>
                </c:pt>
                <c:pt idx="1229">
                  <c:v>2.7270874350781571E-2</c:v>
                </c:pt>
                <c:pt idx="1230">
                  <c:v>2.7266804749852824E-2</c:v>
                </c:pt>
                <c:pt idx="1231">
                  <c:v>2.7262715622021483E-2</c:v>
                </c:pt>
                <c:pt idx="1232">
                  <c:v>2.725639864145259E-2</c:v>
                </c:pt>
                <c:pt idx="1233">
                  <c:v>2.7254478785743441E-2</c:v>
                </c:pt>
                <c:pt idx="1234">
                  <c:v>2.7250331077336709E-2</c:v>
                </c:pt>
                <c:pt idx="1235">
                  <c:v>2.724616384211731E-2</c:v>
                </c:pt>
                <c:pt idx="1236">
                  <c:v>2.7241977080102731E-2</c:v>
                </c:pt>
                <c:pt idx="1237">
                  <c:v>2.7237770791312954E-2</c:v>
                </c:pt>
                <c:pt idx="1238">
                  <c:v>2.7233544975775459E-2</c:v>
                </c:pt>
                <c:pt idx="1239">
                  <c:v>2.7229299633510229E-2</c:v>
                </c:pt>
                <c:pt idx="1240">
                  <c:v>2.7225034764539746E-2</c:v>
                </c:pt>
                <c:pt idx="1241">
                  <c:v>2.7220750368883995E-2</c:v>
                </c:pt>
                <c:pt idx="1242">
                  <c:v>2.7216446446562959E-2</c:v>
                </c:pt>
                <c:pt idx="1243">
                  <c:v>2.7212122997606614E-2</c:v>
                </c:pt>
                <c:pt idx="1244">
                  <c:v>2.7207780022032446E-2</c:v>
                </c:pt>
                <c:pt idx="1245">
                  <c:v>2.7201276085258554E-2</c:v>
                </c:pt>
                <c:pt idx="1246">
                  <c:v>2.7199035491120571E-2</c:v>
                </c:pt>
                <c:pt idx="1247">
                  <c:v>2.7194633935832824E-2</c:v>
                </c:pt>
                <c:pt idx="1248">
                  <c:v>2.7190212854017182E-2</c:v>
                </c:pt>
                <c:pt idx="1249">
                  <c:v>2.7185772245696127E-2</c:v>
                </c:pt>
                <c:pt idx="1250">
                  <c:v>2.7181312110899636E-2</c:v>
                </c:pt>
                <c:pt idx="1251">
                  <c:v>2.7176832449642696E-2</c:v>
                </c:pt>
                <c:pt idx="1252">
                  <c:v>2.7172333261952786E-2</c:v>
                </c:pt>
                <c:pt idx="1253">
                  <c:v>2.7163876339612144E-2</c:v>
                </c:pt>
                <c:pt idx="1254">
                  <c:v>2.715997714911908E-2</c:v>
                </c:pt>
                <c:pt idx="1255">
                  <c:v>2.7157369719427567E-2</c:v>
                </c:pt>
                <c:pt idx="1256">
                  <c:v>2.7152791376458308E-2</c:v>
                </c:pt>
                <c:pt idx="1257">
                  <c:v>2.7148193508586067E-2</c:v>
                </c:pt>
                <c:pt idx="1258">
                  <c:v>2.7141502644775693E-2</c:v>
                </c:pt>
                <c:pt idx="1259">
                  <c:v>2.7138939198228035E-2</c:v>
                </c:pt>
                <c:pt idx="1260">
                  <c:v>2.7134282755793816E-2</c:v>
                </c:pt>
                <c:pt idx="1261">
                  <c:v>2.7129606788546867E-2</c:v>
                </c:pt>
                <c:pt idx="1262">
                  <c:v>2.7126278984323869E-2</c:v>
                </c:pt>
                <c:pt idx="1263">
                  <c:v>2.7120196279728215E-2</c:v>
                </c:pt>
                <c:pt idx="1264">
                  <c:v>2.7115461738197778E-2</c:v>
                </c:pt>
                <c:pt idx="1265">
                  <c:v>2.7110707671957748E-2</c:v>
                </c:pt>
                <c:pt idx="1266">
                  <c:v>2.7103197548600997E-2</c:v>
                </c:pt>
                <c:pt idx="1267">
                  <c:v>2.7101140965428847E-2</c:v>
                </c:pt>
                <c:pt idx="1268">
                  <c:v>2.7096328325188972E-2</c:v>
                </c:pt>
                <c:pt idx="1269">
                  <c:v>2.7092167794031397E-2</c:v>
                </c:pt>
                <c:pt idx="1270">
                  <c:v>2.7086644470882146E-2</c:v>
                </c:pt>
                <c:pt idx="1271">
                  <c:v>2.7081773256864186E-2</c:v>
                </c:pt>
                <c:pt idx="1272">
                  <c:v>2.7074780510593123E-2</c:v>
                </c:pt>
                <c:pt idx="1273">
                  <c:v>2.7071972255220365E-2</c:v>
                </c:pt>
                <c:pt idx="1274">
                  <c:v>2.7067042467643496E-2</c:v>
                </c:pt>
                <c:pt idx="1275">
                  <c:v>2.7062093155596847E-2</c:v>
                </c:pt>
                <c:pt idx="1276">
                  <c:v>2.7057124319106202E-2</c:v>
                </c:pt>
                <c:pt idx="1277">
                  <c:v>2.7052135958194765E-2</c:v>
                </c:pt>
                <c:pt idx="1278">
                  <c:v>2.7047128072888324E-2</c:v>
                </c:pt>
                <c:pt idx="1279">
                  <c:v>2.7039286728756551E-2</c:v>
                </c:pt>
                <c:pt idx="1280">
                  <c:v>2.7037053729193575E-2</c:v>
                </c:pt>
                <c:pt idx="1281">
                  <c:v>2.703198727085426E-2</c:v>
                </c:pt>
                <c:pt idx="1282">
                  <c:v>2.702690128822308E-2</c:v>
                </c:pt>
                <c:pt idx="1283">
                  <c:v>2.7021795781318095E-2</c:v>
                </c:pt>
                <c:pt idx="1284">
                  <c:v>2.7017315846566137E-2</c:v>
                </c:pt>
                <c:pt idx="1285">
                  <c:v>2.7011526194815616E-2</c:v>
                </c:pt>
                <c:pt idx="1286">
                  <c:v>2.7006362115267118E-2</c:v>
                </c:pt>
                <c:pt idx="1287">
                  <c:v>2.7001178511550535E-2</c:v>
                </c:pt>
                <c:pt idx="1288">
                  <c:v>2.699597538369938E-2</c:v>
                </c:pt>
                <c:pt idx="1289">
                  <c:v>2.6990752731734291E-2</c:v>
                </c:pt>
                <c:pt idx="1290">
                  <c:v>2.6985510555681047E-2</c:v>
                </c:pt>
                <c:pt idx="1291">
                  <c:v>2.6980248855570592E-2</c:v>
                </c:pt>
                <c:pt idx="1292">
                  <c:v>2.6974967631428714E-2</c:v>
                </c:pt>
                <c:pt idx="1293">
                  <c:v>2.6969666883273465E-2</c:v>
                </c:pt>
                <c:pt idx="1294">
                  <c:v>2.6964346611146096E-2</c:v>
                </c:pt>
                <c:pt idx="1295">
                  <c:v>2.6959006815062084E-2</c:v>
                </c:pt>
                <c:pt idx="1296">
                  <c:v>2.6953647495052368E-2</c:v>
                </c:pt>
                <c:pt idx="1297">
                  <c:v>2.6948890495708255E-2</c:v>
                </c:pt>
                <c:pt idx="1298">
                  <c:v>2.6942870283361554E-2</c:v>
                </c:pt>
                <c:pt idx="1299">
                  <c:v>2.6937452391734607E-2</c:v>
                </c:pt>
                <c:pt idx="1300">
                  <c:v>2.6932014976290258E-2</c:v>
                </c:pt>
                <c:pt idx="1301">
                  <c:v>2.6926558037056871E-2</c:v>
                </c:pt>
                <c:pt idx="1302">
                  <c:v>2.6921081574055074E-2</c:v>
                </c:pt>
                <c:pt idx="1303">
                  <c:v>2.691558558732355E-2</c:v>
                </c:pt>
                <c:pt idx="1304">
                  <c:v>2.6910070076882925E-2</c:v>
                </c:pt>
                <c:pt idx="1305">
                  <c:v>2.6902156908651279E-2</c:v>
                </c:pt>
                <c:pt idx="1306">
                  <c:v>2.6896593983606797E-2</c:v>
                </c:pt>
                <c:pt idx="1307">
                  <c:v>2.6891011534951201E-2</c:v>
                </c:pt>
                <c:pt idx="1308">
                  <c:v>2.68878127985967E-2</c:v>
                </c:pt>
                <c:pt idx="1309">
                  <c:v>2.6882199670036033E-2</c:v>
                </c:pt>
                <c:pt idx="1310">
                  <c:v>2.6876567017936455E-2</c:v>
                </c:pt>
                <c:pt idx="1311">
                  <c:v>2.686912435003963E-2</c:v>
                </c:pt>
                <c:pt idx="1312">
                  <c:v>2.6863458101951756E-2</c:v>
                </c:pt>
                <c:pt idx="1313">
                  <c:v>2.6857772334503465E-2</c:v>
                </c:pt>
                <c:pt idx="1314">
                  <c:v>2.6852067047717601E-2</c:v>
                </c:pt>
                <c:pt idx="1315">
                  <c:v>2.6848110905329542E-2</c:v>
                </c:pt>
                <c:pt idx="1316">
                  <c:v>2.6842361112589547E-2</c:v>
                </c:pt>
                <c:pt idx="1317">
                  <c:v>2.6837177415219571E-2</c:v>
                </c:pt>
                <c:pt idx="1318">
                  <c:v>2.6830802957119412E-2</c:v>
                </c:pt>
                <c:pt idx="1319">
                  <c:v>2.6824994594446001E-2</c:v>
                </c:pt>
                <c:pt idx="1320">
                  <c:v>2.6819166708525053E-2</c:v>
                </c:pt>
                <c:pt idx="1321">
                  <c:v>2.6809391749439193E-2</c:v>
                </c:pt>
                <c:pt idx="1322">
                  <c:v>2.6807452367038541E-2</c:v>
                </c:pt>
                <c:pt idx="1323">
                  <c:v>2.6802140556145548E-2</c:v>
                </c:pt>
                <c:pt idx="1324">
                  <c:v>2.679623274374876E-2</c:v>
                </c:pt>
                <c:pt idx="1325">
                  <c:v>2.6789734431158795E-2</c:v>
                </c:pt>
                <c:pt idx="1326">
                  <c:v>2.6783789406345713E-2</c:v>
                </c:pt>
                <c:pt idx="1327">
                  <c:v>2.6775262647253367E-2</c:v>
                </c:pt>
                <c:pt idx="1328">
                  <c:v>2.6771840787611276E-2</c:v>
                </c:pt>
                <c:pt idx="1329">
                  <c:v>2.6765837193751807E-2</c:v>
                </c:pt>
                <c:pt idx="1330">
                  <c:v>2.6759814076938761E-2</c:v>
                </c:pt>
                <c:pt idx="1331">
                  <c:v>2.6750616463614207E-2</c:v>
                </c:pt>
                <c:pt idx="1332">
                  <c:v>2.6747709274573137E-2</c:v>
                </c:pt>
                <c:pt idx="1333">
                  <c:v>2.6741627589082443E-2</c:v>
                </c:pt>
                <c:pt idx="1334">
                  <c:v>2.6735526380756786E-2</c:v>
                </c:pt>
                <c:pt idx="1335">
                  <c:v>2.6729405649629688E-2</c:v>
                </c:pt>
                <c:pt idx="1336">
                  <c:v>2.6724366647671003E-2</c:v>
                </c:pt>
                <c:pt idx="1337">
                  <c:v>2.6717105619094947E-2</c:v>
                </c:pt>
                <c:pt idx="1338">
                  <c:v>2.6710926319749192E-2</c:v>
                </c:pt>
                <c:pt idx="1339">
                  <c:v>2.6704727497725764E-2</c:v>
                </c:pt>
                <c:pt idx="1340">
                  <c:v>2.6698509153053034E-2</c:v>
                </c:pt>
                <c:pt idx="1341">
                  <c:v>2.6692271285769679E-2</c:v>
                </c:pt>
                <c:pt idx="1342">
                  <c:v>2.6686013895898905E-2</c:v>
                </c:pt>
                <c:pt idx="1343">
                  <c:v>2.6679736983474239E-2</c:v>
                </c:pt>
                <c:pt idx="1344">
                  <c:v>2.6673440548534353E-2</c:v>
                </c:pt>
                <c:pt idx="1345">
                  <c:v>2.6667124591099878E-2</c:v>
                </c:pt>
                <c:pt idx="1346">
                  <c:v>2.6660789111209494E-2</c:v>
                </c:pt>
                <c:pt idx="1347">
                  <c:v>2.6654434108894141E-2</c:v>
                </c:pt>
                <c:pt idx="1348">
                  <c:v>2.6648059584184768E-2</c:v>
                </c:pt>
                <c:pt idx="1349">
                  <c:v>2.6641665537114889E-2</c:v>
                </c:pt>
                <c:pt idx="1350">
                  <c:v>2.6635251967715452E-2</c:v>
                </c:pt>
                <c:pt idx="1351">
                  <c:v>2.6628818876019977E-2</c:v>
                </c:pt>
                <c:pt idx="1352">
                  <c:v>2.6622366262056829E-2</c:v>
                </c:pt>
                <c:pt idx="1353">
                  <c:v>2.6616413173467246E-2</c:v>
                </c:pt>
                <c:pt idx="1354">
                  <c:v>2.6609402467471913E-2</c:v>
                </c:pt>
                <c:pt idx="1355">
                  <c:v>2.6602891286912032E-2</c:v>
                </c:pt>
                <c:pt idx="1356">
                  <c:v>2.6596360584218562E-2</c:v>
                </c:pt>
                <c:pt idx="1357">
                  <c:v>2.6589810359419871E-2</c:v>
                </c:pt>
                <c:pt idx="1358">
                  <c:v>2.658375027748433E-2</c:v>
                </c:pt>
                <c:pt idx="1359">
                  <c:v>2.6573821395148588E-2</c:v>
                </c:pt>
                <c:pt idx="1360">
                  <c:v>2.6570042552758619E-2</c:v>
                </c:pt>
                <c:pt idx="1361">
                  <c:v>2.6563414239887145E-2</c:v>
                </c:pt>
                <c:pt idx="1362">
                  <c:v>2.6556766405083213E-2</c:v>
                </c:pt>
                <c:pt idx="1363">
                  <c:v>2.6548597369528019E-2</c:v>
                </c:pt>
                <c:pt idx="1364">
                  <c:v>2.6541916150795469E-2</c:v>
                </c:pt>
                <c:pt idx="1365">
                  <c:v>2.6535215414169904E-2</c:v>
                </c:pt>
                <c:pt idx="1366">
                  <c:v>2.6528495159668455E-2</c:v>
                </c:pt>
                <c:pt idx="1367">
                  <c:v>2.6523234403195796E-2</c:v>
                </c:pt>
                <c:pt idx="1368">
                  <c:v>2.6516960238382459E-2</c:v>
                </c:pt>
                <c:pt idx="1369">
                  <c:v>2.6509684950072439E-2</c:v>
                </c:pt>
                <c:pt idx="1370">
                  <c:v>2.6502880940997574E-2</c:v>
                </c:pt>
                <c:pt idx="1371">
                  <c:v>2.6494601120176257E-2</c:v>
                </c:pt>
                <c:pt idx="1372">
                  <c:v>2.6484812986529604E-2</c:v>
                </c:pt>
                <c:pt idx="1373">
                  <c:v>2.6482351784119902E-2</c:v>
                </c:pt>
                <c:pt idx="1374">
                  <c:v>2.6475469688725689E-2</c:v>
                </c:pt>
                <c:pt idx="1375">
                  <c:v>2.6469522950481179E-2</c:v>
                </c:pt>
                <c:pt idx="1376">
                  <c:v>2.6461646933493645E-2</c:v>
                </c:pt>
                <c:pt idx="1377">
                  <c:v>2.6454706273722858E-2</c:v>
                </c:pt>
                <c:pt idx="1378">
                  <c:v>2.6444757181862819E-2</c:v>
                </c:pt>
                <c:pt idx="1379">
                  <c:v>2.6440766390057414E-2</c:v>
                </c:pt>
                <c:pt idx="1380">
                  <c:v>2.6433767166229798E-2</c:v>
                </c:pt>
                <c:pt idx="1381">
                  <c:v>2.6426748421116947E-2</c:v>
                </c:pt>
                <c:pt idx="1382">
                  <c:v>2.641971015476012E-2</c:v>
                </c:pt>
                <c:pt idx="1383">
                  <c:v>2.6409160024994272E-2</c:v>
                </c:pt>
                <c:pt idx="1384">
                  <c:v>2.6405575058438314E-2</c:v>
                </c:pt>
                <c:pt idx="1385">
                  <c:v>2.6398478228548111E-2</c:v>
                </c:pt>
                <c:pt idx="1386">
                  <c:v>2.6391361877555752E-2</c:v>
                </c:pt>
                <c:pt idx="1387">
                  <c:v>2.6384226005489606E-2</c:v>
                </c:pt>
                <c:pt idx="1388">
                  <c:v>2.6377070612390925E-2</c:v>
                </c:pt>
                <c:pt idx="1389">
                  <c:v>2.6369895698295814E-2</c:v>
                </c:pt>
                <c:pt idx="1390">
                  <c:v>2.6362701263237791E-2</c:v>
                </c:pt>
                <c:pt idx="1391">
                  <c:v>2.6355487307255537E-2</c:v>
                </c:pt>
                <c:pt idx="1392">
                  <c:v>2.6348253830379992E-2</c:v>
                </c:pt>
                <c:pt idx="1393">
                  <c:v>2.6341000832654997E-2</c:v>
                </c:pt>
                <c:pt idx="1394">
                  <c:v>2.6333728314116647E-2</c:v>
                </c:pt>
                <c:pt idx="1395">
                  <c:v>2.6326436274793311E-2</c:v>
                </c:pt>
                <c:pt idx="1396">
                  <c:v>2.6319124714728821E-2</c:v>
                </c:pt>
                <c:pt idx="1397">
                  <c:v>2.6312228994354592E-2</c:v>
                </c:pt>
                <c:pt idx="1398">
                  <c:v>2.6304443032518204E-2</c:v>
                </c:pt>
                <c:pt idx="1399">
                  <c:v>2.6297072910446858E-2</c:v>
                </c:pt>
                <c:pt idx="1400">
                  <c:v>2.6289683267778759E-2</c:v>
                </c:pt>
                <c:pt idx="1401">
                  <c:v>2.6282274104555164E-2</c:v>
                </c:pt>
                <c:pt idx="1402">
                  <c:v>2.6274845420809597E-2</c:v>
                </c:pt>
                <c:pt idx="1403">
                  <c:v>2.6267397216580737E-2</c:v>
                </c:pt>
                <c:pt idx="1404">
                  <c:v>2.6259929491904681E-2</c:v>
                </c:pt>
                <c:pt idx="1405">
                  <c:v>2.6253281835944203E-2</c:v>
                </c:pt>
                <c:pt idx="1406">
                  <c:v>2.6245353417056194E-2</c:v>
                </c:pt>
                <c:pt idx="1407">
                  <c:v>2.6237409195582716E-2</c:v>
                </c:pt>
                <c:pt idx="1408">
                  <c:v>2.6229863389502093E-2</c:v>
                </c:pt>
                <c:pt idx="1409">
                  <c:v>2.6222298063159934E-2</c:v>
                </c:pt>
                <c:pt idx="1410">
                  <c:v>2.6215533367970941E-2</c:v>
                </c:pt>
                <c:pt idx="1411">
                  <c:v>2.6207108849866351E-2</c:v>
                </c:pt>
                <c:pt idx="1412">
                  <c:v>2.619948496298713E-2</c:v>
                </c:pt>
                <c:pt idx="1413">
                  <c:v>2.6191841556001082E-2</c:v>
                </c:pt>
                <c:pt idx="1414">
                  <c:v>2.6184178628949475E-2</c:v>
                </c:pt>
                <c:pt idx="1415">
                  <c:v>2.6175293955535812E-2</c:v>
                </c:pt>
                <c:pt idx="1416">
                  <c:v>2.6167597848278615E-2</c:v>
                </c:pt>
                <c:pt idx="1417">
                  <c:v>2.6159882224824189E-2</c:v>
                </c:pt>
                <c:pt idx="1418">
                  <c:v>2.6153726264735722E-2</c:v>
                </c:pt>
                <c:pt idx="1419">
                  <c:v>2.6145571194066883E-2</c:v>
                </c:pt>
                <c:pt idx="1420">
                  <c:v>2.6137791147436723E-2</c:v>
                </c:pt>
                <c:pt idx="1421">
                  <c:v>2.6129991581011747E-2</c:v>
                </c:pt>
                <c:pt idx="1422">
                  <c:v>2.6117695681631782E-2</c:v>
                </c:pt>
                <c:pt idx="1423">
                  <c:v>2.6114333888939814E-2</c:v>
                </c:pt>
                <c:pt idx="1424">
                  <c:v>2.6106475763370211E-2</c:v>
                </c:pt>
                <c:pt idx="1425">
                  <c:v>2.6098978933732087E-2</c:v>
                </c:pt>
                <c:pt idx="1426">
                  <c:v>2.6090700953359705E-2</c:v>
                </c:pt>
                <c:pt idx="1427">
                  <c:v>2.6082784269001315E-2</c:v>
                </c:pt>
                <c:pt idx="1428">
                  <c:v>2.6071440859540541E-2</c:v>
                </c:pt>
                <c:pt idx="1429">
                  <c:v>2.6066892341774239E-2</c:v>
                </c:pt>
                <c:pt idx="1430">
                  <c:v>2.6058917098982906E-2</c:v>
                </c:pt>
                <c:pt idx="1431">
                  <c:v>2.6050922336796442E-2</c:v>
                </c:pt>
                <c:pt idx="1432">
                  <c:v>2.6042908055253527E-2</c:v>
                </c:pt>
                <c:pt idx="1433">
                  <c:v>2.6034874254395414E-2</c:v>
                </c:pt>
                <c:pt idx="1434">
                  <c:v>2.6026820934260782E-2</c:v>
                </c:pt>
                <c:pt idx="1435">
                  <c:v>2.6014921909342625E-2</c:v>
                </c:pt>
                <c:pt idx="1436">
                  <c:v>2.6011014856444914E-2</c:v>
                </c:pt>
                <c:pt idx="1437">
                  <c:v>2.6002543858607778E-2</c:v>
                </c:pt>
                <c:pt idx="1438">
                  <c:v>2.5994412461777069E-2</c:v>
                </c:pt>
                <c:pt idx="1439">
                  <c:v>2.5986261545870977E-2</c:v>
                </c:pt>
                <c:pt idx="1440">
                  <c:v>2.5978091110938486E-2</c:v>
                </c:pt>
                <c:pt idx="1441">
                  <c:v>2.5969901157013121E-2</c:v>
                </c:pt>
                <c:pt idx="1442">
                  <c:v>2.596169168413872E-2</c:v>
                </c:pt>
                <c:pt idx="1443">
                  <c:v>2.5953462692356537E-2</c:v>
                </c:pt>
                <c:pt idx="1444">
                  <c:v>2.594521418171299E-2</c:v>
                </c:pt>
                <c:pt idx="1445">
                  <c:v>2.5935921335710051E-2</c:v>
                </c:pt>
                <c:pt idx="1446">
                  <c:v>2.5928659369546712E-2</c:v>
                </c:pt>
                <c:pt idx="1447">
                  <c:v>2.5920355298191006E-2</c:v>
                </c:pt>
                <c:pt idx="1448">
                  <c:v>2.5912035534407296E-2</c:v>
                </c:pt>
                <c:pt idx="1449">
                  <c:v>2.5904371099604813E-2</c:v>
                </c:pt>
                <c:pt idx="1450">
                  <c:v>2.5895354969189176E-2</c:v>
                </c:pt>
                <c:pt idx="1451">
                  <c:v>2.5886995743333148E-2</c:v>
                </c:pt>
                <c:pt idx="1452">
                  <c:v>2.5878623976211025E-2</c:v>
                </c:pt>
                <c:pt idx="1453">
                  <c:v>2.5870239667853758E-2</c:v>
                </c:pt>
                <c:pt idx="1454">
                  <c:v>2.5861842818281973E-2</c:v>
                </c:pt>
                <c:pt idx="1455">
                  <c:v>2.5853433427529191E-2</c:v>
                </c:pt>
                <c:pt idx="1456">
                  <c:v>2.5845011495616039E-2</c:v>
                </c:pt>
                <c:pt idx="1457">
                  <c:v>2.583754504234308E-2</c:v>
                </c:pt>
                <c:pt idx="1458">
                  <c:v>2.5827165343558063E-2</c:v>
                </c:pt>
                <c:pt idx="1459">
                  <c:v>2.5819670453210913E-2</c:v>
                </c:pt>
                <c:pt idx="1460">
                  <c:v>2.5811198356945092E-2</c:v>
                </c:pt>
                <c:pt idx="1461">
                  <c:v>2.5802713719655566E-2</c:v>
                </c:pt>
                <c:pt idx="1462">
                  <c:v>2.57887677467677E-2</c:v>
                </c:pt>
                <c:pt idx="1463">
                  <c:v>2.5782055960534199E-2</c:v>
                </c:pt>
                <c:pt idx="1464">
                  <c:v>2.5773528325675296E-2</c:v>
                </c:pt>
                <c:pt idx="1465">
                  <c:v>2.5764988149913886E-2</c:v>
                </c:pt>
                <c:pt idx="1466">
                  <c:v>2.5756435433280905E-2</c:v>
                </c:pt>
                <c:pt idx="1467">
                  <c:v>2.5747255568566028E-2</c:v>
                </c:pt>
                <c:pt idx="1468">
                  <c:v>2.5738680786975044E-2</c:v>
                </c:pt>
                <c:pt idx="1469">
                  <c:v>2.573009346596904E-2</c:v>
                </c:pt>
                <c:pt idx="1470">
                  <c:v>2.5721493605583845E-2</c:v>
                </c:pt>
                <c:pt idx="1471">
                  <c:v>2.5713483738027523E-2</c:v>
                </c:pt>
                <c:pt idx="1472">
                  <c:v>2.570485577675306E-2</c:v>
                </c:pt>
                <c:pt idx="1473">
                  <c:v>2.5696215274797842E-2</c:v>
                </c:pt>
                <c:pt idx="1474">
                  <c:v>2.5687562232200555E-2</c:v>
                </c:pt>
                <c:pt idx="1475">
                  <c:v>2.5678601496490039E-2</c:v>
                </c:pt>
                <c:pt idx="1476">
                  <c:v>2.5669924886584816E-2</c:v>
                </c:pt>
                <c:pt idx="1477">
                  <c:v>2.5658750819334664E-2</c:v>
                </c:pt>
                <c:pt idx="1478">
                  <c:v>2.5652534047157616E-2</c:v>
                </c:pt>
                <c:pt idx="1479">
                  <c:v>2.5643819817691593E-2</c:v>
                </c:pt>
                <c:pt idx="1480">
                  <c:v>2.563413270285262E-2</c:v>
                </c:pt>
                <c:pt idx="1481">
                  <c:v>2.5625390085007468E-2</c:v>
                </c:pt>
                <c:pt idx="1482">
                  <c:v>2.5617487111119937E-2</c:v>
                </c:pt>
                <c:pt idx="1483">
                  <c:v>2.5607867228084578E-2</c:v>
                </c:pt>
                <c:pt idx="1484">
                  <c:v>2.5597550576911487E-2</c:v>
                </c:pt>
                <c:pt idx="1485">
                  <c:v>2.559001444411102E-2</c:v>
                </c:pt>
                <c:pt idx="1486">
                  <c:v>2.5581210645242436E-2</c:v>
                </c:pt>
                <c:pt idx="1487">
                  <c:v>2.5571133806199242E-2</c:v>
                </c:pt>
                <c:pt idx="1488">
                  <c:v>2.55631276916885E-2</c:v>
                </c:pt>
                <c:pt idx="1489">
                  <c:v>2.5554279913604979E-2</c:v>
                </c:pt>
                <c:pt idx="1490">
                  <c:v>2.5545419593997275E-2</c:v>
                </c:pt>
                <c:pt idx="1491">
                  <c:v>2.5536546732889614E-2</c:v>
                </c:pt>
                <c:pt idx="1492">
                  <c:v>2.5526855063923826E-2</c:v>
                </c:pt>
                <c:pt idx="1493">
                  <c:v>2.5518763386307635E-2</c:v>
                </c:pt>
                <c:pt idx="1494">
                  <c:v>2.5509852900891455E-2</c:v>
                </c:pt>
                <c:pt idx="1495">
                  <c:v>2.5500929874106119E-2</c:v>
                </c:pt>
                <c:pt idx="1496">
                  <c:v>2.5491994305971006E-2</c:v>
                </c:pt>
                <c:pt idx="1497">
                  <c:v>2.5482262835787139E-2</c:v>
                </c:pt>
                <c:pt idx="1498">
                  <c:v>2.5473306772165749E-2</c:v>
                </c:pt>
                <c:pt idx="1499">
                  <c:v>2.5464338169273404E-2</c:v>
                </c:pt>
                <c:pt idx="1500">
                  <c:v>2.5455357027144743E-2</c:v>
                </c:pt>
                <c:pt idx="1501">
                  <c:v>2.5447128346223608E-2</c:v>
                </c:pt>
                <c:pt idx="1502">
                  <c:v>2.5438117530677769E-2</c:v>
                </c:pt>
                <c:pt idx="1503">
                  <c:v>2.5429094173997739E-2</c:v>
                </c:pt>
                <c:pt idx="1504">
                  <c:v>2.5420058276227116E-2</c:v>
                </c:pt>
                <c:pt idx="1505">
                  <c:v>2.5410263228897279E-2</c:v>
                </c:pt>
                <c:pt idx="1506">
                  <c:v>2.5401206851923597E-2</c:v>
                </c:pt>
                <c:pt idx="1507">
                  <c:v>2.5392137935913439E-2</c:v>
                </c:pt>
                <c:pt idx="1508">
                  <c:v>2.5383056480885458E-2</c:v>
                </c:pt>
                <c:pt idx="1509">
                  <c:v>2.5374690672001037E-2</c:v>
                </c:pt>
                <c:pt idx="1510">
                  <c:v>2.5365579528297294E-2</c:v>
                </c:pt>
                <c:pt idx="1511">
                  <c:v>2.535645584372339E-2</c:v>
                </c:pt>
                <c:pt idx="1512">
                  <c:v>2.5347319618301129E-2</c:v>
                </c:pt>
                <c:pt idx="1513">
                  <c:v>2.5331157522156589E-2</c:v>
                </c:pt>
                <c:pt idx="1514">
                  <c:v>2.5325920666381754E-2</c:v>
                </c:pt>
                <c:pt idx="1515">
                  <c:v>2.53182909826144E-2</c:v>
                </c:pt>
                <c:pt idx="1516">
                  <c:v>2.5310649308770392E-2</c:v>
                </c:pt>
                <c:pt idx="1517">
                  <c:v>2.5301450379588371E-2</c:v>
                </c:pt>
                <c:pt idx="1518">
                  <c:v>2.5291552291188069E-2</c:v>
                </c:pt>
                <c:pt idx="1519">
                  <c:v>2.5281877566817483E-2</c:v>
                </c:pt>
                <c:pt idx="1520">
                  <c:v>2.5272648731915481E-2</c:v>
                </c:pt>
                <c:pt idx="1521">
                  <c:v>2.5263407359656612E-2</c:v>
                </c:pt>
                <c:pt idx="1522">
                  <c:v>2.5254153450066572E-2</c:v>
                </c:pt>
                <c:pt idx="1523">
                  <c:v>2.5246214330685173E-2</c:v>
                </c:pt>
                <c:pt idx="1524">
                  <c:v>2.5236706738676871E-2</c:v>
                </c:pt>
                <c:pt idx="1525">
                  <c:v>2.522740748512543E-2</c:v>
                </c:pt>
                <c:pt idx="1526">
                  <c:v>2.5218095691168913E-2</c:v>
                </c:pt>
                <c:pt idx="1527">
                  <c:v>2.5208771356846075E-2</c:v>
                </c:pt>
                <c:pt idx="1528">
                  <c:v>2.5197886561326155E-2</c:v>
                </c:pt>
                <c:pt idx="1529">
                  <c:v>2.5188536904215131E-2</c:v>
                </c:pt>
                <c:pt idx="1530">
                  <c:v>2.5179384666099806E-2</c:v>
                </c:pt>
                <c:pt idx="1531">
                  <c:v>2.5169173918673543E-2</c:v>
                </c:pt>
                <c:pt idx="1532">
                  <c:v>2.5160412695173495E-2</c:v>
                </c:pt>
                <c:pt idx="1533">
                  <c:v>2.5149463803680775E-2</c:v>
                </c:pt>
                <c:pt idx="1534">
                  <c:v>2.5141600524704599E-2</c:v>
                </c:pt>
                <c:pt idx="1535">
                  <c:v>2.5132175630234732E-2</c:v>
                </c:pt>
                <c:pt idx="1536">
                  <c:v>2.5122738196312888E-2</c:v>
                </c:pt>
                <c:pt idx="1537">
                  <c:v>2.5113288222976538E-2</c:v>
                </c:pt>
                <c:pt idx="1538">
                  <c:v>2.510382571025066E-2</c:v>
                </c:pt>
                <c:pt idx="1539">
                  <c:v>2.509435065816773E-2</c:v>
                </c:pt>
                <c:pt idx="1540">
                  <c:v>2.5084863066765217E-2</c:v>
                </c:pt>
                <c:pt idx="1541">
                  <c:v>2.50753629360706E-2</c:v>
                </c:pt>
                <c:pt idx="1542">
                  <c:v>2.5065850266113854E-2</c:v>
                </c:pt>
                <c:pt idx="1543">
                  <c:v>2.5056325056929951E-2</c:v>
                </c:pt>
                <c:pt idx="1544">
                  <c:v>2.5046787308548868E-2</c:v>
                </c:pt>
                <c:pt idx="1545">
                  <c:v>2.5037237021003078E-2</c:v>
                </c:pt>
                <c:pt idx="1546">
                  <c:v>2.5027674194325056E-2</c:v>
                </c:pt>
                <c:pt idx="1547">
                  <c:v>2.5018098828547275E-2</c:v>
                </c:pt>
                <c:pt idx="1548">
                  <c:v>2.5008510923697214E-2</c:v>
                </c:pt>
                <c:pt idx="1549">
                  <c:v>2.4998910479812342E-2</c:v>
                </c:pt>
                <c:pt idx="1550">
                  <c:v>2.4989297496922636E-2</c:v>
                </c:pt>
                <c:pt idx="1551">
                  <c:v>2.4979671975060569E-2</c:v>
                </c:pt>
                <c:pt idx="1552">
                  <c:v>2.4970033914256118E-2</c:v>
                </c:pt>
                <c:pt idx="1553">
                  <c:v>2.4960383314541756E-2</c:v>
                </c:pt>
                <c:pt idx="1554">
                  <c:v>2.4950720175954955E-2</c:v>
                </c:pt>
                <c:pt idx="1555">
                  <c:v>2.494104449852319E-2</c:v>
                </c:pt>
                <c:pt idx="1556">
                  <c:v>2.4931356282278938E-2</c:v>
                </c:pt>
                <c:pt idx="1557">
                  <c:v>2.4921655527254671E-2</c:v>
                </c:pt>
                <c:pt idx="1558">
                  <c:v>2.4911942233485362E-2</c:v>
                </c:pt>
                <c:pt idx="1559">
                  <c:v>2.4902216400998489E-2</c:v>
                </c:pt>
                <c:pt idx="1560">
                  <c:v>2.4892478029831522E-2</c:v>
                </c:pt>
                <c:pt idx="1561">
                  <c:v>2.4882727120014436E-2</c:v>
                </c:pt>
                <c:pt idx="1562">
                  <c:v>2.4872963671579706E-2</c:v>
                </c:pt>
                <c:pt idx="1563">
                  <c:v>2.4863187684562305E-2</c:v>
                </c:pt>
                <c:pt idx="1564">
                  <c:v>2.4853399158992207E-2</c:v>
                </c:pt>
                <c:pt idx="1565">
                  <c:v>2.4837837292844726E-2</c:v>
                </c:pt>
                <c:pt idx="1566">
                  <c:v>2.4828018097669064E-2</c:v>
                </c:pt>
                <c:pt idx="1567">
                  <c:v>2.4822401499759717E-2</c:v>
                </c:pt>
                <c:pt idx="1568">
                  <c:v>2.4814119671844326E-2</c:v>
                </c:pt>
                <c:pt idx="1569">
                  <c:v>2.4804268454002854E-2</c:v>
                </c:pt>
                <c:pt idx="1570">
                  <c:v>2.4793961476420743E-2</c:v>
                </c:pt>
                <c:pt idx="1571">
                  <c:v>2.4783943453647237E-2</c:v>
                </c:pt>
                <c:pt idx="1572">
                  <c:v>2.477406092184006E-2</c:v>
                </c:pt>
                <c:pt idx="1573">
                  <c:v>2.4764165854129137E-2</c:v>
                </c:pt>
                <c:pt idx="1574">
                  <c:v>2.4754258250548729E-2</c:v>
                </c:pt>
                <c:pt idx="1575">
                  <c:v>2.4744897842660651E-2</c:v>
                </c:pt>
                <c:pt idx="1576">
                  <c:v>2.4734958857028644E-2</c:v>
                </c:pt>
                <c:pt idx="1577">
                  <c:v>2.4725007333271098E-2</c:v>
                </c:pt>
                <c:pt idx="1578">
                  <c:v>2.4715178109034595E-2</c:v>
                </c:pt>
                <c:pt idx="1579">
                  <c:v>2.4705066671519282E-2</c:v>
                </c:pt>
                <c:pt idx="1580">
                  <c:v>2.469507753358996E-2</c:v>
                </c:pt>
                <c:pt idx="1581">
                  <c:v>2.4685075857669991E-2</c:v>
                </c:pt>
                <c:pt idx="1582">
                  <c:v>2.4675061643794349E-2</c:v>
                </c:pt>
                <c:pt idx="1583">
                  <c:v>2.4665034891990512E-2</c:v>
                </c:pt>
                <c:pt idx="1584">
                  <c:v>2.4654995602298446E-2</c:v>
                </c:pt>
                <c:pt idx="1585">
                  <c:v>2.4645067542496756E-2</c:v>
                </c:pt>
                <c:pt idx="1586">
                  <c:v>2.4634879409377031E-2</c:v>
                </c:pt>
                <c:pt idx="1587">
                  <c:v>2.4624802506212629E-2</c:v>
                </c:pt>
                <c:pt idx="1588">
                  <c:v>2.4613151759053421E-2</c:v>
                </c:pt>
                <c:pt idx="1589">
                  <c:v>2.4604611086656292E-2</c:v>
                </c:pt>
                <c:pt idx="1590">
                  <c:v>2.4594496570324309E-2</c:v>
                </c:pt>
                <c:pt idx="1591">
                  <c:v>2.4584369516338911E-2</c:v>
                </c:pt>
                <c:pt idx="1592">
                  <c:v>2.4574229924732571E-2</c:v>
                </c:pt>
                <c:pt idx="1593">
                  <c:v>2.4564077795540262E-2</c:v>
                </c:pt>
                <c:pt idx="1594">
                  <c:v>2.4553913128794458E-2</c:v>
                </c:pt>
                <c:pt idx="1595">
                  <c:v>2.4543735924525134E-2</c:v>
                </c:pt>
                <c:pt idx="1596">
                  <c:v>2.4533546182774757E-2</c:v>
                </c:pt>
                <c:pt idx="1597">
                  <c:v>2.4523343903568307E-2</c:v>
                </c:pt>
                <c:pt idx="1598">
                  <c:v>2.4513129086948249E-2</c:v>
                </c:pt>
                <c:pt idx="1599">
                  <c:v>2.4502901732942062E-2</c:v>
                </c:pt>
                <c:pt idx="1600">
                  <c:v>2.4492661841589713E-2</c:v>
                </c:pt>
                <c:pt idx="1601">
                  <c:v>2.4482409412916184E-2</c:v>
                </c:pt>
                <c:pt idx="1602">
                  <c:v>2.4472144446963939E-2</c:v>
                </c:pt>
                <c:pt idx="1603">
                  <c:v>2.4461866943767951E-2</c:v>
                </c:pt>
                <c:pt idx="1604">
                  <c:v>2.4451576903358196E-2</c:v>
                </c:pt>
                <c:pt idx="1605">
                  <c:v>2.4440997482120863E-2</c:v>
                </c:pt>
                <c:pt idx="1606">
                  <c:v>2.4430959211037273E-2</c:v>
                </c:pt>
                <c:pt idx="1607">
                  <c:v>2.4420631559198547E-2</c:v>
                </c:pt>
                <c:pt idx="1608">
                  <c:v>2.4410291370283443E-2</c:v>
                </c:pt>
                <c:pt idx="1609">
                  <c:v>2.4399938644326935E-2</c:v>
                </c:pt>
                <c:pt idx="1610">
                  <c:v>2.4389573381363994E-2</c:v>
                </c:pt>
                <c:pt idx="1611">
                  <c:v>2.4379195581432089E-2</c:v>
                </c:pt>
                <c:pt idx="1612">
                  <c:v>2.4368805244563696E-2</c:v>
                </c:pt>
                <c:pt idx="1613">
                  <c:v>2.4358402370791288E-2</c:v>
                </c:pt>
                <c:pt idx="1614">
                  <c:v>2.4347986960152335E-2</c:v>
                </c:pt>
                <c:pt idx="1615">
                  <c:v>2.4337559012681809E-2</c:v>
                </c:pt>
                <c:pt idx="1616">
                  <c:v>2.4327118528414682E-2</c:v>
                </c:pt>
                <c:pt idx="1617">
                  <c:v>2.4316665507383428E-2</c:v>
                </c:pt>
                <c:pt idx="1618">
                  <c:v>2.4306199949625518E-2</c:v>
                </c:pt>
                <c:pt idx="1619">
                  <c:v>2.4294154434410322E-2</c:v>
                </c:pt>
                <c:pt idx="1620">
                  <c:v>2.4285231224064618E-2</c:v>
                </c:pt>
                <c:pt idx="1621">
                  <c:v>2.4274728056334072E-2</c:v>
                </c:pt>
                <c:pt idx="1622">
                  <c:v>2.4264212352014258E-2</c:v>
                </c:pt>
                <c:pt idx="1623">
                  <c:v>2.4253429841341361E-2</c:v>
                </c:pt>
                <c:pt idx="1624">
                  <c:v>2.4242895481725313E-2</c:v>
                </c:pt>
                <c:pt idx="1625">
                  <c:v>2.4232348587755706E-2</c:v>
                </c:pt>
                <c:pt idx="1626">
                  <c:v>2.422178915946966E-2</c:v>
                </c:pt>
                <c:pt idx="1627">
                  <c:v>2.421144578282769E-2</c:v>
                </c:pt>
                <c:pt idx="1628">
                  <c:v>2.4200910023054367E-2</c:v>
                </c:pt>
                <c:pt idx="1629">
                  <c:v>2.4190251400271201E-2</c:v>
                </c:pt>
                <c:pt idx="1630">
                  <c:v>2.4179635404513733E-2</c:v>
                </c:pt>
                <c:pt idx="1631">
                  <c:v>2.4168854947811746E-2</c:v>
                </c:pt>
                <c:pt idx="1632">
                  <c:v>2.4158365804230197E-2</c:v>
                </c:pt>
                <c:pt idx="1633">
                  <c:v>2.4147712199769078E-2</c:v>
                </c:pt>
                <c:pt idx="1634">
                  <c:v>2.413704605914585E-2</c:v>
                </c:pt>
                <c:pt idx="1635">
                  <c:v>2.4126411282869048E-2</c:v>
                </c:pt>
                <c:pt idx="1636">
                  <c:v>2.4115676169545464E-2</c:v>
                </c:pt>
                <c:pt idx="1637">
                  <c:v>2.4104972420645743E-2</c:v>
                </c:pt>
                <c:pt idx="1638">
                  <c:v>2.4092685227263391E-2</c:v>
                </c:pt>
                <c:pt idx="1639">
                  <c:v>2.4083527314814612E-2</c:v>
                </c:pt>
                <c:pt idx="1640">
                  <c:v>2.4072785957958143E-2</c:v>
                </c:pt>
                <c:pt idx="1641">
                  <c:v>2.4062032065186867E-2</c:v>
                </c:pt>
                <c:pt idx="1642">
                  <c:v>2.4051265636533259E-2</c:v>
                </c:pt>
                <c:pt idx="1643">
                  <c:v>2.4040486672042283E-2</c:v>
                </c:pt>
                <c:pt idx="1644">
                  <c:v>2.4029606109387629E-2</c:v>
                </c:pt>
                <c:pt idx="1645">
                  <c:v>2.4018891135675624E-2</c:v>
                </c:pt>
                <c:pt idx="1646">
                  <c:v>2.4008074563874882E-2</c:v>
                </c:pt>
                <c:pt idx="1647">
                  <c:v>2.3997245456376659E-2</c:v>
                </c:pt>
                <c:pt idx="1648">
                  <c:v>2.3986403813215929E-2</c:v>
                </c:pt>
                <c:pt idx="1649">
                  <c:v>2.3975549634427662E-2</c:v>
                </c:pt>
                <c:pt idx="1650">
                  <c:v>2.3964682920054325E-2</c:v>
                </c:pt>
                <c:pt idx="1651">
                  <c:v>2.3953803670123397E-2</c:v>
                </c:pt>
                <c:pt idx="1652">
                  <c:v>2.3942911884677343E-2</c:v>
                </c:pt>
                <c:pt idx="1653">
                  <c:v>2.3932007563751134E-2</c:v>
                </c:pt>
                <c:pt idx="1654">
                  <c:v>2.3921090707382242E-2</c:v>
                </c:pt>
                <c:pt idx="1655">
                  <c:v>2.3910161315605638E-2</c:v>
                </c:pt>
                <c:pt idx="1656">
                  <c:v>2.3899219388456294E-2</c:v>
                </c:pt>
                <c:pt idx="1657">
                  <c:v>2.3888264925974179E-2</c:v>
                </c:pt>
                <c:pt idx="1658">
                  <c:v>2.3877297928194263E-2</c:v>
                </c:pt>
                <c:pt idx="1659">
                  <c:v>2.386631839515152E-2</c:v>
                </c:pt>
                <c:pt idx="1660">
                  <c:v>2.3855326326883419E-2</c:v>
                </c:pt>
                <c:pt idx="1661">
                  <c:v>2.3844321723429929E-2</c:v>
                </c:pt>
                <c:pt idx="1662">
                  <c:v>2.3833304584821025E-2</c:v>
                </c:pt>
                <c:pt idx="1663">
                  <c:v>2.3822274911101671E-2</c:v>
                </c:pt>
                <c:pt idx="1664">
                  <c:v>2.3811232702304341E-2</c:v>
                </c:pt>
                <c:pt idx="1665">
                  <c:v>2.3800173305671312E-2</c:v>
                </c:pt>
                <c:pt idx="1666">
                  <c:v>2.3789110679623138E-2</c:v>
                </c:pt>
                <c:pt idx="1667">
                  <c:v>2.3778030865809208E-2</c:v>
                </c:pt>
                <c:pt idx="1668">
                  <c:v>2.3766938517072178E-2</c:v>
                </c:pt>
                <c:pt idx="1669">
                  <c:v>2.3755833633437029E-2</c:v>
                </c:pt>
                <c:pt idx="1670">
                  <c:v>2.3744716214946227E-2</c:v>
                </c:pt>
                <c:pt idx="1671">
                  <c:v>2.3733586261639739E-2</c:v>
                </c:pt>
                <c:pt idx="1672">
                  <c:v>2.3722443773550039E-2</c:v>
                </c:pt>
                <c:pt idx="1673">
                  <c:v>2.3711288750717097E-2</c:v>
                </c:pt>
                <c:pt idx="1674">
                  <c:v>2.3700121193173385E-2</c:v>
                </c:pt>
                <c:pt idx="1675">
                  <c:v>2.3689002971150598E-2</c:v>
                </c:pt>
                <c:pt idx="1676">
                  <c:v>2.3677815236439536E-2</c:v>
                </c:pt>
                <c:pt idx="1677">
                  <c:v>2.3666614968553976E-2</c:v>
                </c:pt>
                <c:pt idx="1678">
                  <c:v>2.3655402167524237E-2</c:v>
                </c:pt>
                <c:pt idx="1679">
                  <c:v>2.3644067923615258E-2</c:v>
                </c:pt>
                <c:pt idx="1680">
                  <c:v>2.3632852621163214E-2</c:v>
                </c:pt>
                <c:pt idx="1681">
                  <c:v>2.3621597321715759E-2</c:v>
                </c:pt>
                <c:pt idx="1682">
                  <c:v>2.3610329487859794E-2</c:v>
                </c:pt>
                <c:pt idx="1683">
                  <c:v>2.3599049119635285E-2</c:v>
                </c:pt>
                <c:pt idx="1684">
                  <c:v>2.3587756217079703E-2</c:v>
                </c:pt>
                <c:pt idx="1685">
                  <c:v>2.3576450780225522E-2</c:v>
                </c:pt>
                <c:pt idx="1686">
                  <c:v>2.356509390697022E-2</c:v>
                </c:pt>
                <c:pt idx="1687">
                  <c:v>2.3553802303786231E-2</c:v>
                </c:pt>
                <c:pt idx="1688">
                  <c:v>2.3540880057664696E-2</c:v>
                </c:pt>
                <c:pt idx="1689">
                  <c:v>2.3524653753279397E-2</c:v>
                </c:pt>
                <c:pt idx="1690">
                  <c:v>2.3518156069440674E-2</c:v>
                </c:pt>
                <c:pt idx="1691">
                  <c:v>2.3506775274904222E-2</c:v>
                </c:pt>
                <c:pt idx="1692">
                  <c:v>2.3495381946796168E-2</c:v>
                </c:pt>
                <c:pt idx="1693">
                  <c:v>2.3483976085155196E-2</c:v>
                </c:pt>
                <c:pt idx="1694">
                  <c:v>2.3472557690022558E-2</c:v>
                </c:pt>
                <c:pt idx="1695">
                  <c:v>2.3456278218550786E-2</c:v>
                </c:pt>
                <c:pt idx="1696">
                  <c:v>2.3449627940230755E-2</c:v>
                </c:pt>
                <c:pt idx="1697">
                  <c:v>2.3438227304012457E-2</c:v>
                </c:pt>
                <c:pt idx="1698">
                  <c:v>2.3426758775263852E-2</c:v>
                </c:pt>
                <c:pt idx="1699">
                  <c:v>2.3415277713206659E-2</c:v>
                </c:pt>
                <c:pt idx="1700">
                  <c:v>2.3403784117874405E-2</c:v>
                </c:pt>
                <c:pt idx="1701">
                  <c:v>2.3392277989308347E-2</c:v>
                </c:pt>
                <c:pt idx="1702">
                  <c:v>2.3380759327539427E-2</c:v>
                </c:pt>
                <c:pt idx="1703">
                  <c:v>2.3369228132611476E-2</c:v>
                </c:pt>
                <c:pt idx="1704">
                  <c:v>2.3357684404558023E-2</c:v>
                </c:pt>
                <c:pt idx="1705">
                  <c:v>2.3346337606695893E-2</c:v>
                </c:pt>
                <c:pt idx="1706">
                  <c:v>2.3334565595796452E-2</c:v>
                </c:pt>
                <c:pt idx="1707">
                  <c:v>2.3323008711366364E-2</c:v>
                </c:pt>
                <c:pt idx="1708">
                  <c:v>2.331147051417384E-2</c:v>
                </c:pt>
                <c:pt idx="1709">
                  <c:v>2.3299835070188412E-2</c:v>
                </c:pt>
                <c:pt idx="1710">
                  <c:v>2.328849946024773E-2</c:v>
                </c:pt>
                <c:pt idx="1711">
                  <c:v>2.327707945865819E-2</c:v>
                </c:pt>
                <c:pt idx="1712">
                  <c:v>2.326570385467424E-2</c:v>
                </c:pt>
                <c:pt idx="1713">
                  <c:v>2.3254372648154064E-2</c:v>
                </c:pt>
                <c:pt idx="1714">
                  <c:v>2.3243085838981617E-2</c:v>
                </c:pt>
                <c:pt idx="1715">
                  <c:v>2.3231843427020241E-2</c:v>
                </c:pt>
                <c:pt idx="1716">
                  <c:v>2.3220645412138426E-2</c:v>
                </c:pt>
                <c:pt idx="1717">
                  <c:v>2.320935756283906E-2</c:v>
                </c:pt>
                <c:pt idx="1718">
                  <c:v>2.3198511526676083E-2</c:v>
                </c:pt>
                <c:pt idx="1719">
                  <c:v>2.3187317748717157E-2</c:v>
                </c:pt>
                <c:pt idx="1720">
                  <c:v>2.3176297320892658E-2</c:v>
                </c:pt>
                <c:pt idx="1721">
                  <c:v>2.3165321289515969E-2</c:v>
                </c:pt>
                <c:pt idx="1722">
                  <c:v>2.3146546962841637E-2</c:v>
                </c:pt>
                <c:pt idx="1723">
                  <c:v>2.3138850046731108E-2</c:v>
                </c:pt>
                <c:pt idx="1724">
                  <c:v>2.3128026230794671E-2</c:v>
                </c:pt>
                <c:pt idx="1725">
                  <c:v>2.3117246810751647E-2</c:v>
                </c:pt>
                <c:pt idx="1726">
                  <c:v>2.3106511786478264E-2</c:v>
                </c:pt>
                <c:pt idx="1727">
                  <c:v>2.3095880194192096E-2</c:v>
                </c:pt>
                <c:pt idx="1728">
                  <c:v>2.3085226496142624E-2</c:v>
                </c:pt>
                <c:pt idx="1729">
                  <c:v>2.3074617184050919E-2</c:v>
                </c:pt>
                <c:pt idx="1730">
                  <c:v>2.3064052257808498E-2</c:v>
                </c:pt>
                <c:pt idx="1731">
                  <c:v>2.3053502597419357E-2</c:v>
                </c:pt>
                <c:pt idx="1732">
                  <c:v>2.3043033945216184E-2</c:v>
                </c:pt>
                <c:pt idx="1733">
                  <c:v>2.3032609687934295E-2</c:v>
                </c:pt>
                <c:pt idx="1734">
                  <c:v>2.3022229825455081E-2</c:v>
                </c:pt>
                <c:pt idx="1735">
                  <c:v>2.3011894357659924E-2</c:v>
                </c:pt>
                <c:pt idx="1736">
                  <c:v>2.3001600215484252E-2</c:v>
                </c:pt>
                <c:pt idx="1737">
                  <c:v>2.2991351019781447E-2</c:v>
                </c:pt>
                <c:pt idx="1738">
                  <c:v>2.2978238710345877E-2</c:v>
                </c:pt>
                <c:pt idx="1739">
                  <c:v>2.2970985801912036E-2</c:v>
                </c:pt>
                <c:pt idx="1740">
                  <c:v>2.2960882934827013E-2</c:v>
                </c:pt>
                <c:pt idx="1741">
                  <c:v>2.2950813832671078E-2</c:v>
                </c:pt>
                <c:pt idx="1742">
                  <c:v>2.2940789124381793E-2</c:v>
                </c:pt>
                <c:pt idx="1743">
                  <c:v>2.2930808809843117E-2</c:v>
                </c:pt>
                <c:pt idx="1744">
                  <c:v>2.2919433441411563E-2</c:v>
                </c:pt>
                <c:pt idx="1745">
                  <c:v>2.2908136804971946E-2</c:v>
                </c:pt>
                <c:pt idx="1746">
                  <c:v>2.289970237647232E-2</c:v>
                </c:pt>
                <c:pt idx="1747">
                  <c:v>2.2888507203457031E-2</c:v>
                </c:pt>
                <c:pt idx="1748">
                  <c:v>2.2878862340874988E-2</c:v>
                </c:pt>
                <c:pt idx="1749">
                  <c:v>2.2869166181237365E-2</c:v>
                </c:pt>
                <c:pt idx="1750">
                  <c:v>2.2859514420665989E-2</c:v>
                </c:pt>
                <c:pt idx="1751">
                  <c:v>2.2849907059049428E-2</c:v>
                </c:pt>
                <c:pt idx="1752">
                  <c:v>2.2840210024155816E-2</c:v>
                </c:pt>
                <c:pt idx="1753">
                  <c:v>2.2830825532198711E-2</c:v>
                </c:pt>
                <c:pt idx="1754">
                  <c:v>2.282135136673686E-2</c:v>
                </c:pt>
                <c:pt idx="1755">
                  <c:v>2.2811921599755054E-2</c:v>
                </c:pt>
                <c:pt idx="1756">
                  <c:v>2.2802536231149133E-2</c:v>
                </c:pt>
                <c:pt idx="1757">
                  <c:v>2.2793022583446287E-2</c:v>
                </c:pt>
                <c:pt idx="1758">
                  <c:v>2.2783718262777697E-2</c:v>
                </c:pt>
                <c:pt idx="1759">
                  <c:v>2.2774458331030978E-2</c:v>
                </c:pt>
                <c:pt idx="1760">
                  <c:v>2.2765242788096884E-2</c:v>
                </c:pt>
                <c:pt idx="1761">
                  <c:v>2.2756275359717391E-2</c:v>
                </c:pt>
                <c:pt idx="1762">
                  <c:v>2.2747156378959008E-2</c:v>
                </c:pt>
                <c:pt idx="1763">
                  <c:v>2.2738081795789261E-2</c:v>
                </c:pt>
                <c:pt idx="1764">
                  <c:v>2.2729051610087033E-2</c:v>
                </c:pt>
                <c:pt idx="1765">
                  <c:v>2.2719830902093285E-2</c:v>
                </c:pt>
                <c:pt idx="1766">
                  <c:v>2.2710881689921969E-2</c:v>
                </c:pt>
                <c:pt idx="1767">
                  <c:v>2.2701976865857176E-2</c:v>
                </c:pt>
                <c:pt idx="1768">
                  <c:v>2.2693116429810978E-2</c:v>
                </c:pt>
                <c:pt idx="1769">
                  <c:v>2.2684300381674127E-2</c:v>
                </c:pt>
                <c:pt idx="1770">
                  <c:v>2.2675894715735462E-2</c:v>
                </c:pt>
                <c:pt idx="1771">
                  <c:v>2.2667083430224399E-2</c:v>
                </c:pt>
                <c:pt idx="1772">
                  <c:v>2.2658408420384229E-2</c:v>
                </c:pt>
                <c:pt idx="1773">
                  <c:v>2.2643538883724001E-2</c:v>
                </c:pt>
                <c:pt idx="1774">
                  <c:v>2.2638541023996556E-2</c:v>
                </c:pt>
                <c:pt idx="1775">
                  <c:v>2.2631327989430794E-2</c:v>
                </c:pt>
                <c:pt idx="1776">
                  <c:v>2.2622834269460934E-2</c:v>
                </c:pt>
                <c:pt idx="1777">
                  <c:v>2.2614384942577781E-2</c:v>
                </c:pt>
                <c:pt idx="1778">
                  <c:v>2.2605642349993335E-2</c:v>
                </c:pt>
                <c:pt idx="1779">
                  <c:v>2.2597159186460911E-2</c:v>
                </c:pt>
                <c:pt idx="1780">
                  <c:v>2.2588832443337328E-2</c:v>
                </c:pt>
                <c:pt idx="1781">
                  <c:v>2.2580550081041331E-2</c:v>
                </c:pt>
                <c:pt idx="1782">
                  <c:v>2.2572312099487273E-2</c:v>
                </c:pt>
                <c:pt idx="1783">
                  <c:v>2.2564747560513965E-2</c:v>
                </c:pt>
                <c:pt idx="1784">
                  <c:v>2.255648265265503E-2</c:v>
                </c:pt>
                <c:pt idx="1785">
                  <c:v>2.254838846695334E-2</c:v>
                </c:pt>
                <c:pt idx="1786">
                  <c:v>2.2540338673461557E-2</c:v>
                </c:pt>
                <c:pt idx="1787">
                  <c:v>2.2532333272087257E-2</c:v>
                </c:pt>
                <c:pt idx="1788">
                  <c:v>2.2524372262738013E-2</c:v>
                </c:pt>
                <c:pt idx="1789">
                  <c:v>2.2516455645313904E-2</c:v>
                </c:pt>
                <c:pt idx="1790">
                  <c:v>2.2508728442415755E-2</c:v>
                </c:pt>
                <c:pt idx="1791">
                  <c:v>2.2499493121398106E-2</c:v>
                </c:pt>
                <c:pt idx="1792">
                  <c:v>2.2492972143680623E-2</c:v>
                </c:pt>
                <c:pt idx="1793">
                  <c:v>2.2483977938646645E-2</c:v>
                </c:pt>
                <c:pt idx="1794">
                  <c:v>2.2477538433857969E-2</c:v>
                </c:pt>
                <c:pt idx="1795">
                  <c:v>2.2469888166056218E-2</c:v>
                </c:pt>
                <c:pt idx="1796">
                  <c:v>2.2462282289537616E-2</c:v>
                </c:pt>
                <c:pt idx="1797">
                  <c:v>2.2454720804212236E-2</c:v>
                </c:pt>
                <c:pt idx="1798">
                  <c:v>2.2447203709997643E-2</c:v>
                </c:pt>
                <c:pt idx="1799">
                  <c:v>2.2439731006796415E-2</c:v>
                </c:pt>
                <c:pt idx="1800">
                  <c:v>2.2432302694518624E-2</c:v>
                </c:pt>
                <c:pt idx="1801">
                  <c:v>2.2424918773084335E-2</c:v>
                </c:pt>
                <c:pt idx="1802">
                  <c:v>2.2417579242403618E-2</c:v>
                </c:pt>
                <c:pt idx="1803">
                  <c:v>2.2410284102386546E-2</c:v>
                </c:pt>
                <c:pt idx="1804">
                  <c:v>2.2402486437029339E-2</c:v>
                </c:pt>
                <c:pt idx="1805">
                  <c:v>2.2395826994008605E-2</c:v>
                </c:pt>
                <c:pt idx="1806">
                  <c:v>2.2388665025477872E-2</c:v>
                </c:pt>
                <c:pt idx="1807">
                  <c:v>2.2381547447271055E-2</c:v>
                </c:pt>
                <c:pt idx="1808">
                  <c:v>2.2374474259305721E-2</c:v>
                </c:pt>
                <c:pt idx="1809">
                  <c:v>2.2367445461496938E-2</c:v>
                </c:pt>
                <c:pt idx="1810">
                  <c:v>2.2360461053759773E-2</c:v>
                </c:pt>
                <c:pt idx="1811">
                  <c:v>2.2353521036016788E-2</c:v>
                </c:pt>
                <c:pt idx="1812">
                  <c:v>2.2346625408180554E-2</c:v>
                </c:pt>
                <c:pt idx="1813">
                  <c:v>2.233977417017613E-2</c:v>
                </c:pt>
                <c:pt idx="1814">
                  <c:v>2.2332967321916086E-2</c:v>
                </c:pt>
                <c:pt idx="1815">
                  <c:v>2.2326204863325483E-2</c:v>
                </c:pt>
                <c:pt idx="1816">
                  <c:v>2.231948679431689E-2</c:v>
                </c:pt>
                <c:pt idx="1817">
                  <c:v>2.2312159356554735E-2</c:v>
                </c:pt>
                <c:pt idx="1818">
                  <c:v>2.2306183824750969E-2</c:v>
                </c:pt>
                <c:pt idx="1819">
                  <c:v>2.2299598924028774E-2</c:v>
                </c:pt>
                <c:pt idx="1820">
                  <c:v>2.2293058412581335E-2</c:v>
                </c:pt>
                <c:pt idx="1821">
                  <c:v>2.2286562290331213E-2</c:v>
                </c:pt>
                <c:pt idx="1822">
                  <c:v>2.2280110557195976E-2</c:v>
                </c:pt>
                <c:pt idx="1823">
                  <c:v>2.2273703213105678E-2</c:v>
                </c:pt>
                <c:pt idx="1824">
                  <c:v>2.2267340257982882E-2</c:v>
                </c:pt>
                <c:pt idx="1825">
                  <c:v>2.2256293267656106E-2</c:v>
                </c:pt>
                <c:pt idx="1826">
                  <c:v>2.2250937473502128E-2</c:v>
                </c:pt>
                <c:pt idx="1827">
                  <c:v>2.2247385060738176E-2</c:v>
                </c:pt>
                <c:pt idx="1828">
                  <c:v>2.2241203212974167E-2</c:v>
                </c:pt>
                <c:pt idx="1829">
                  <c:v>2.2235065750956851E-2</c:v>
                </c:pt>
                <c:pt idx="1830">
                  <c:v>2.2228210253493037E-2</c:v>
                </c:pt>
                <c:pt idx="1831">
                  <c:v>2.2222153172530526E-2</c:v>
                </c:pt>
                <c:pt idx="1832">
                  <c:v>2.2216140468601493E-2</c:v>
                </c:pt>
                <c:pt idx="1833">
                  <c:v>2.2210172141651694E-2</c:v>
                </c:pt>
                <c:pt idx="1834">
                  <c:v>2.2205310125794631E-2</c:v>
                </c:pt>
                <c:pt idx="1835">
                  <c:v>2.219917307560627E-2</c:v>
                </c:pt>
                <c:pt idx="1836">
                  <c:v>2.2193346311871538E-2</c:v>
                </c:pt>
                <c:pt idx="1837">
                  <c:v>2.218756393333168E-2</c:v>
                </c:pt>
                <c:pt idx="1838">
                  <c:v>2.2178288530179557E-2</c:v>
                </c:pt>
                <c:pt idx="1839">
                  <c:v>2.2176132331589042E-2</c:v>
                </c:pt>
                <c:pt idx="1840">
                  <c:v>2.2170483108249602E-2</c:v>
                </c:pt>
                <c:pt idx="1841">
                  <c:v>2.2165163892049755E-2</c:v>
                </c:pt>
                <c:pt idx="1842">
                  <c:v>2.2159317816319874E-2</c:v>
                </c:pt>
                <c:pt idx="1843">
                  <c:v>2.2151451305318568E-2</c:v>
                </c:pt>
                <c:pt idx="1844">
                  <c:v>2.2145998643357909E-2</c:v>
                </c:pt>
                <c:pt idx="1845">
                  <c:v>2.2142902764333804E-2</c:v>
                </c:pt>
                <c:pt idx="1846">
                  <c:v>2.213751984966238E-2</c:v>
                </c:pt>
                <c:pt idx="1847">
                  <c:v>2.2132483955178139E-2</c:v>
                </c:pt>
                <c:pt idx="1848">
                  <c:v>2.2126887173941855E-2</c:v>
                </c:pt>
                <c:pt idx="1849">
                  <c:v>2.2121637412766404E-2</c:v>
                </c:pt>
                <c:pt idx="1850">
                  <c:v>2.2113902629094184E-2</c:v>
                </c:pt>
                <c:pt idx="1851">
                  <c:v>2.2111271043491164E-2</c:v>
                </c:pt>
                <c:pt idx="1852">
                  <c:v>2.2106154435272758E-2</c:v>
                </c:pt>
                <c:pt idx="1853">
                  <c:v>2.2101082211251316E-2</c:v>
                </c:pt>
                <c:pt idx="1854">
                  <c:v>2.2096054371375268E-2</c:v>
                </c:pt>
                <c:pt idx="1855">
                  <c:v>2.2091070915585299E-2</c:v>
                </c:pt>
                <c:pt idx="1856">
                  <c:v>2.2086131843822111E-2</c:v>
                </c:pt>
                <c:pt idx="1857">
                  <c:v>2.2081237156028968E-2</c:v>
                </c:pt>
                <c:pt idx="1858">
                  <c:v>2.2076386852151724E-2</c:v>
                </c:pt>
                <c:pt idx="1859">
                  <c:v>2.2071580932136226E-2</c:v>
                </c:pt>
                <c:pt idx="1860">
                  <c:v>2.2066819395923167E-2</c:v>
                </c:pt>
                <c:pt idx="1861">
                  <c:v>2.2062102243455822E-2</c:v>
                </c:pt>
                <c:pt idx="1862">
                  <c:v>2.2057429474692927E-2</c:v>
                </c:pt>
                <c:pt idx="1863">
                  <c:v>2.2052801089572603E-2</c:v>
                </c:pt>
                <c:pt idx="1864">
                  <c:v>2.2048217088035536E-2</c:v>
                </c:pt>
                <c:pt idx="1865">
                  <c:v>2.2043677470043054E-2</c:v>
                </c:pt>
                <c:pt idx="1866">
                  <c:v>2.2039182235530686E-2</c:v>
                </c:pt>
                <c:pt idx="1867">
                  <c:v>2.2034731384454598E-2</c:v>
                </c:pt>
                <c:pt idx="1868">
                  <c:v>2.2030324916763225E-2</c:v>
                </c:pt>
                <c:pt idx="1869">
                  <c:v>2.2025962832402407E-2</c:v>
                </c:pt>
                <c:pt idx="1870">
                  <c:v>2.2021645131325734E-2</c:v>
                </c:pt>
                <c:pt idx="1871">
                  <c:v>2.2017371813479056E-2</c:v>
                </c:pt>
                <c:pt idx="1872">
                  <c:v>2.2013142878823694E-2</c:v>
                </c:pt>
                <c:pt idx="1873">
                  <c:v>2.2008958327300338E-2</c:v>
                </c:pt>
                <c:pt idx="1874">
                  <c:v>2.2004818158865156E-2</c:v>
                </c:pt>
                <c:pt idx="1875">
                  <c:v>2.2000722373471733E-2</c:v>
                </c:pt>
                <c:pt idx="1876">
                  <c:v>2.1996670971068496E-2</c:v>
                </c:pt>
                <c:pt idx="1877">
                  <c:v>2.1990394153233971E-2</c:v>
                </c:pt>
                <c:pt idx="1878">
                  <c:v>2.1986456878322704E-2</c:v>
                </c:pt>
                <c:pt idx="1879">
                  <c:v>2.1983117396364642E-2</c:v>
                </c:pt>
                <c:pt idx="1880">
                  <c:v>2.1979262546673577E-2</c:v>
                </c:pt>
                <c:pt idx="1881">
                  <c:v>2.1975452079727731E-2</c:v>
                </c:pt>
                <c:pt idx="1882">
                  <c:v>2.1970876610105237E-2</c:v>
                </c:pt>
                <c:pt idx="1883">
                  <c:v>2.1967149022729917E-2</c:v>
                </c:pt>
                <c:pt idx="1884">
                  <c:v>2.1963465812493803E-2</c:v>
                </c:pt>
                <c:pt idx="1885">
                  <c:v>2.1959826979350033E-2</c:v>
                </c:pt>
                <c:pt idx="1886">
                  <c:v>2.1957065484727652E-2</c:v>
                </c:pt>
                <c:pt idx="1887">
                  <c:v>2.1953521313378993E-2</c:v>
                </c:pt>
                <c:pt idx="1888">
                  <c:v>2.1950021524479016E-2</c:v>
                </c:pt>
                <c:pt idx="1889">
                  <c:v>2.1946566117999361E-2</c:v>
                </c:pt>
                <c:pt idx="1890">
                  <c:v>2.1943155093888451E-2</c:v>
                </c:pt>
                <c:pt idx="1891">
                  <c:v>2.1939357024678863E-2</c:v>
                </c:pt>
                <c:pt idx="1892">
                  <c:v>2.1936031797494593E-2</c:v>
                </c:pt>
                <c:pt idx="1893">
                  <c:v>2.1931821716131061E-2</c:v>
                </c:pt>
                <c:pt idx="1894">
                  <c:v>2.1929514481676904E-2</c:v>
                </c:pt>
                <c:pt idx="1895">
                  <c:v>2.1926765707604202E-2</c:v>
                </c:pt>
                <c:pt idx="1896">
                  <c:v>2.192362097693994E-2</c:v>
                </c:pt>
                <c:pt idx="1897">
                  <c:v>2.1920520628383993E-2</c:v>
                </c:pt>
                <c:pt idx="1898">
                  <c:v>2.1917464661907991E-2</c:v>
                </c:pt>
                <c:pt idx="1899">
                  <c:v>2.191357080178058E-2</c:v>
                </c:pt>
                <c:pt idx="1900">
                  <c:v>2.1910187165095074E-2</c:v>
                </c:pt>
                <c:pt idx="1901">
                  <c:v>2.1907687476937276E-2</c:v>
                </c:pt>
                <c:pt idx="1902">
                  <c:v>2.1904812383352734E-2</c:v>
                </c:pt>
                <c:pt idx="1903">
                  <c:v>2.1901580903969986E-2</c:v>
                </c:pt>
                <c:pt idx="1904">
                  <c:v>2.1900215058295366E-2</c:v>
                </c:pt>
                <c:pt idx="1905">
                  <c:v>2.1897488454814189E-2</c:v>
                </c:pt>
                <c:pt idx="1906">
                  <c:v>2.1894806238561448E-2</c:v>
                </c:pt>
                <c:pt idx="1907">
                  <c:v>2.1892168409505659E-2</c:v>
                </c:pt>
                <c:pt idx="1908">
                  <c:v>2.1889574967622592E-2</c:v>
                </c:pt>
                <c:pt idx="1909">
                  <c:v>2.1887025912871071E-2</c:v>
                </c:pt>
                <c:pt idx="1910">
                  <c:v>2.1884521245224452E-2</c:v>
                </c:pt>
                <c:pt idx="1911">
                  <c:v>2.1882060964656089E-2</c:v>
                </c:pt>
                <c:pt idx="1912">
                  <c:v>2.1878158591355223E-2</c:v>
                </c:pt>
                <c:pt idx="1913">
                  <c:v>2.1875778006988256E-2</c:v>
                </c:pt>
                <c:pt idx="1914">
                  <c:v>2.1873441801484539E-2</c:v>
                </c:pt>
                <c:pt idx="1915">
                  <c:v>2.1871149974812099E-2</c:v>
                </c:pt>
                <c:pt idx="1916">
                  <c:v>2.1868902526952283E-2</c:v>
                </c:pt>
                <c:pt idx="1917">
                  <c:v>2.1868231408135524E-2</c:v>
                </c:pt>
                <c:pt idx="1918">
                  <c:v>2.1866081836274406E-2</c:v>
                </c:pt>
                <c:pt idx="1919">
                  <c:v>2.1863976651261427E-2</c:v>
                </c:pt>
                <c:pt idx="1920">
                  <c:v>2.186191585306994E-2</c:v>
                </c:pt>
                <c:pt idx="1921">
                  <c:v>2.185833096896328E-2</c:v>
                </c:pt>
                <c:pt idx="1922">
                  <c:v>2.1856349793462293E-2</c:v>
                </c:pt>
                <c:pt idx="1923">
                  <c:v>2.185441299660873E-2</c:v>
                </c:pt>
                <c:pt idx="1924">
                  <c:v>2.1852520578381274E-2</c:v>
                </c:pt>
                <c:pt idx="1925">
                  <c:v>2.1850672538755944E-2</c:v>
                </c:pt>
                <c:pt idx="1926">
                  <c:v>2.1850483185866697E-2</c:v>
                </c:pt>
                <c:pt idx="1927">
                  <c:v>2.184873309476678E-2</c:v>
                </c:pt>
                <c:pt idx="1928">
                  <c:v>2.1847027390306681E-2</c:v>
                </c:pt>
                <c:pt idx="1929">
                  <c:v>2.184458430906755E-2</c:v>
                </c:pt>
                <c:pt idx="1930">
                  <c:v>2.184297064611429E-2</c:v>
                </c:pt>
                <c:pt idx="1931">
                  <c:v>2.1841401367040103E-2</c:v>
                </c:pt>
                <c:pt idx="1932">
                  <c:v>2.1839876471827502E-2</c:v>
                </c:pt>
                <c:pt idx="1933">
                  <c:v>2.1838395960456503E-2</c:v>
                </c:pt>
                <c:pt idx="1934">
                  <c:v>2.1834709216107053E-2</c:v>
                </c:pt>
                <c:pt idx="1935">
                  <c:v>2.1833305131664052E-2</c:v>
                </c:pt>
                <c:pt idx="1936">
                  <c:v>2.1831945420240598E-2</c:v>
                </c:pt>
                <c:pt idx="1937">
                  <c:v>2.1830630081819562E-2</c:v>
                </c:pt>
                <c:pt idx="1938">
                  <c:v>2.1831659160628514E-2</c:v>
                </c:pt>
                <c:pt idx="1939">
                  <c:v>2.1831023855387599E-2</c:v>
                </c:pt>
                <c:pt idx="1940">
                  <c:v>2.1829275127015491E-2</c:v>
                </c:pt>
                <c:pt idx="1941">
                  <c:v>2.1828149685792775E-2</c:v>
                </c:pt>
                <c:pt idx="1942">
                  <c:v>2.1825305915845059E-2</c:v>
                </c:pt>
                <c:pt idx="1943">
                  <c:v>2.1826031954442493E-2</c:v>
                </c:pt>
                <c:pt idx="1944">
                  <c:v>2.1825039664292445E-2</c:v>
                </c:pt>
                <c:pt idx="1945">
                  <c:v>2.1824091757806641E-2</c:v>
                </c:pt>
                <c:pt idx="1946">
                  <c:v>2.1823788892034332E-2</c:v>
                </c:pt>
                <c:pt idx="1947">
                  <c:v>2.1822329095792792E-2</c:v>
                </c:pt>
                <c:pt idx="1948">
                  <c:v>2.1821514340247261E-2</c:v>
                </c:pt>
                <c:pt idx="1949">
                  <c:v>2.1820027393966157E-2</c:v>
                </c:pt>
                <c:pt idx="1950">
                  <c:v>2.1820017980011541E-2</c:v>
                </c:pt>
                <c:pt idx="1951">
                  <c:v>2.181933637531136E-2</c:v>
                </c:pt>
                <c:pt idx="1952">
                  <c:v>2.1818699154210475E-2</c:v>
                </c:pt>
                <c:pt idx="1953">
                  <c:v>2.1818106316698893E-2</c:v>
                </c:pt>
                <c:pt idx="1954">
                  <c:v>2.1817557862771619E-2</c:v>
                </c:pt>
                <c:pt idx="1955">
                  <c:v>2.1817053792423657E-2</c:v>
                </c:pt>
                <c:pt idx="1956">
                  <c:v>2.1816594105650011E-2</c:v>
                </c:pt>
                <c:pt idx="1957">
                  <c:v>2.1816178802440689E-2</c:v>
                </c:pt>
                <c:pt idx="1958">
                  <c:v>2.1815807882793192E-2</c:v>
                </c:pt>
                <c:pt idx="1959">
                  <c:v>2.1815481346702525E-2</c:v>
                </c:pt>
                <c:pt idx="1960">
                  <c:v>2.1815199194171186E-2</c:v>
                </c:pt>
                <c:pt idx="1961">
                  <c:v>2.1814961425186685E-2</c:v>
                </c:pt>
                <c:pt idx="1962">
                  <c:v>2.1814768039746524E-2</c:v>
                </c:pt>
                <c:pt idx="1963">
                  <c:v>2.18146190378532E-2</c:v>
                </c:pt>
                <c:pt idx="1964">
                  <c:v>2.1812544788589468E-2</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6763392"/>
        <c:axId val="596764928"/>
      </c:lineChart>
      <c:dateAx>
        <c:axId val="596763392"/>
        <c:scaling>
          <c:orientation val="minMax"/>
          <c:max val="42915"/>
          <c:min val="42185"/>
        </c:scaling>
        <c:delete val="0"/>
        <c:axPos val="b"/>
        <c:numFmt formatCode="[$-409]mmm\-yy;@" sourceLinked="0"/>
        <c:majorTickMark val="out"/>
        <c:minorTickMark val="none"/>
        <c:tickLblPos val="low"/>
        <c:txPr>
          <a:bodyPr rot="-2700000" vert="horz"/>
          <a:lstStyle/>
          <a:p>
            <a:pPr>
              <a:defRPr/>
            </a:pPr>
            <a:endParaRPr lang="en-US"/>
          </a:p>
        </c:txPr>
        <c:crossAx val="596764928"/>
        <c:crosses val="autoZero"/>
        <c:auto val="1"/>
        <c:lblOffset val="100"/>
        <c:baseTimeUnit val="days"/>
        <c:majorUnit val="3"/>
        <c:majorTimeUnit val="months"/>
        <c:minorUnit val="1"/>
        <c:minorTimeUnit val="years"/>
      </c:dateAx>
      <c:valAx>
        <c:axId val="596764928"/>
        <c:scaling>
          <c:orientation val="minMax"/>
          <c:max val="3.0000000000000001E-3"/>
          <c:min val="-4.0000000000000001E-3"/>
        </c:scaling>
        <c:delete val="0"/>
        <c:axPos val="l"/>
        <c:majorGridlines/>
        <c:numFmt formatCode="0.00%" sourceLinked="0"/>
        <c:majorTickMark val="out"/>
        <c:minorTickMark val="none"/>
        <c:tickLblPos val="nextTo"/>
        <c:crossAx val="596763392"/>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42276</c:v>
                </c:pt>
                <c:pt idx="1">
                  <c:v>42277</c:v>
                </c:pt>
                <c:pt idx="2">
                  <c:v>42278</c:v>
                </c:pt>
                <c:pt idx="3">
                  <c:v>42279</c:v>
                </c:pt>
                <c:pt idx="4">
                  <c:v>42282</c:v>
                </c:pt>
                <c:pt idx="5">
                  <c:v>42283</c:v>
                </c:pt>
                <c:pt idx="6">
                  <c:v>42284</c:v>
                </c:pt>
                <c:pt idx="7">
                  <c:v>42285</c:v>
                </c:pt>
                <c:pt idx="8">
                  <c:v>42286</c:v>
                </c:pt>
                <c:pt idx="9">
                  <c:v>42289</c:v>
                </c:pt>
                <c:pt idx="10">
                  <c:v>42290</c:v>
                </c:pt>
                <c:pt idx="11">
                  <c:v>42291</c:v>
                </c:pt>
                <c:pt idx="12">
                  <c:v>42292</c:v>
                </c:pt>
                <c:pt idx="13">
                  <c:v>42293</c:v>
                </c:pt>
                <c:pt idx="14">
                  <c:v>42296</c:v>
                </c:pt>
                <c:pt idx="15">
                  <c:v>42297</c:v>
                </c:pt>
                <c:pt idx="16">
                  <c:v>42298</c:v>
                </c:pt>
                <c:pt idx="17">
                  <c:v>42299</c:v>
                </c:pt>
                <c:pt idx="18">
                  <c:v>42300</c:v>
                </c:pt>
                <c:pt idx="19">
                  <c:v>42303</c:v>
                </c:pt>
                <c:pt idx="20">
                  <c:v>42304</c:v>
                </c:pt>
                <c:pt idx="21">
                  <c:v>42305</c:v>
                </c:pt>
                <c:pt idx="22">
                  <c:v>42306</c:v>
                </c:pt>
                <c:pt idx="23">
                  <c:v>42307</c:v>
                </c:pt>
                <c:pt idx="24">
                  <c:v>42310</c:v>
                </c:pt>
                <c:pt idx="25">
                  <c:v>42311</c:v>
                </c:pt>
                <c:pt idx="26">
                  <c:v>42312</c:v>
                </c:pt>
                <c:pt idx="27">
                  <c:v>42313</c:v>
                </c:pt>
                <c:pt idx="28">
                  <c:v>42314</c:v>
                </c:pt>
                <c:pt idx="29">
                  <c:v>42317</c:v>
                </c:pt>
                <c:pt idx="30">
                  <c:v>42318</c:v>
                </c:pt>
                <c:pt idx="31">
                  <c:v>42319</c:v>
                </c:pt>
                <c:pt idx="32">
                  <c:v>42320</c:v>
                </c:pt>
                <c:pt idx="33">
                  <c:v>42321</c:v>
                </c:pt>
                <c:pt idx="34">
                  <c:v>42324</c:v>
                </c:pt>
                <c:pt idx="35">
                  <c:v>42325</c:v>
                </c:pt>
                <c:pt idx="36">
                  <c:v>42326</c:v>
                </c:pt>
                <c:pt idx="37">
                  <c:v>42327</c:v>
                </c:pt>
                <c:pt idx="38">
                  <c:v>42328</c:v>
                </c:pt>
                <c:pt idx="39">
                  <c:v>42331</c:v>
                </c:pt>
                <c:pt idx="40">
                  <c:v>42332</c:v>
                </c:pt>
                <c:pt idx="41">
                  <c:v>42333</c:v>
                </c:pt>
                <c:pt idx="42">
                  <c:v>42334</c:v>
                </c:pt>
                <c:pt idx="43">
                  <c:v>42335</c:v>
                </c:pt>
                <c:pt idx="44">
                  <c:v>42338</c:v>
                </c:pt>
                <c:pt idx="45">
                  <c:v>42339</c:v>
                </c:pt>
                <c:pt idx="46">
                  <c:v>42340</c:v>
                </c:pt>
                <c:pt idx="47">
                  <c:v>42341</c:v>
                </c:pt>
                <c:pt idx="48">
                  <c:v>42342</c:v>
                </c:pt>
                <c:pt idx="49">
                  <c:v>42345</c:v>
                </c:pt>
                <c:pt idx="50">
                  <c:v>42346</c:v>
                </c:pt>
                <c:pt idx="51">
                  <c:v>42347</c:v>
                </c:pt>
                <c:pt idx="52">
                  <c:v>42348</c:v>
                </c:pt>
                <c:pt idx="53">
                  <c:v>42349</c:v>
                </c:pt>
                <c:pt idx="54">
                  <c:v>42352</c:v>
                </c:pt>
                <c:pt idx="55">
                  <c:v>42353</c:v>
                </c:pt>
                <c:pt idx="56">
                  <c:v>42354</c:v>
                </c:pt>
                <c:pt idx="57">
                  <c:v>42355</c:v>
                </c:pt>
                <c:pt idx="58">
                  <c:v>42356</c:v>
                </c:pt>
                <c:pt idx="59">
                  <c:v>42359</c:v>
                </c:pt>
                <c:pt idx="60">
                  <c:v>42360</c:v>
                </c:pt>
                <c:pt idx="61">
                  <c:v>42361</c:v>
                </c:pt>
                <c:pt idx="62">
                  <c:v>42366</c:v>
                </c:pt>
                <c:pt idx="63">
                  <c:v>42367</c:v>
                </c:pt>
                <c:pt idx="64">
                  <c:v>42368</c:v>
                </c:pt>
                <c:pt idx="65">
                  <c:v>42373</c:v>
                </c:pt>
                <c:pt idx="66">
                  <c:v>42374</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42496</c:v>
                </c:pt>
                <c:pt idx="151">
                  <c:v>42499</c:v>
                </c:pt>
                <c:pt idx="152">
                  <c:v>42500</c:v>
                </c:pt>
                <c:pt idx="153">
                  <c:v>42501</c:v>
                </c:pt>
                <c:pt idx="154">
                  <c:v>42502</c:v>
                </c:pt>
                <c:pt idx="155">
                  <c:v>42503</c:v>
                </c:pt>
                <c:pt idx="156">
                  <c:v>42507</c:v>
                </c:pt>
                <c:pt idx="157">
                  <c:v>42508</c:v>
                </c:pt>
                <c:pt idx="158">
                  <c:v>42509</c:v>
                </c:pt>
                <c:pt idx="159">
                  <c:v>42510</c:v>
                </c:pt>
                <c:pt idx="160">
                  <c:v>42513</c:v>
                </c:pt>
                <c:pt idx="161">
                  <c:v>42514</c:v>
                </c:pt>
                <c:pt idx="162">
                  <c:v>42515</c:v>
                </c:pt>
                <c:pt idx="163">
                  <c:v>42516</c:v>
                </c:pt>
                <c:pt idx="164">
                  <c:v>42517</c:v>
                </c:pt>
                <c:pt idx="165">
                  <c:v>42520</c:v>
                </c:pt>
                <c:pt idx="166">
                  <c:v>42521</c:v>
                </c:pt>
                <c:pt idx="167">
                  <c:v>42522</c:v>
                </c:pt>
                <c:pt idx="168">
                  <c:v>42523</c:v>
                </c:pt>
                <c:pt idx="169">
                  <c:v>42524</c:v>
                </c:pt>
                <c:pt idx="170">
                  <c:v>42527</c:v>
                </c:pt>
                <c:pt idx="171">
                  <c:v>42528</c:v>
                </c:pt>
                <c:pt idx="172">
                  <c:v>42529</c:v>
                </c:pt>
                <c:pt idx="173">
                  <c:v>42530</c:v>
                </c:pt>
                <c:pt idx="174">
                  <c:v>42531</c:v>
                </c:pt>
                <c:pt idx="175">
                  <c:v>42534</c:v>
                </c:pt>
                <c:pt idx="176">
                  <c:v>42535</c:v>
                </c:pt>
                <c:pt idx="177">
                  <c:v>42536</c:v>
                </c:pt>
                <c:pt idx="178">
                  <c:v>42537</c:v>
                </c:pt>
                <c:pt idx="179">
                  <c:v>42538</c:v>
                </c:pt>
                <c:pt idx="180">
                  <c:v>42541</c:v>
                </c:pt>
                <c:pt idx="181">
                  <c:v>42542</c:v>
                </c:pt>
                <c:pt idx="182">
                  <c:v>42543</c:v>
                </c:pt>
                <c:pt idx="183">
                  <c:v>42544</c:v>
                </c:pt>
                <c:pt idx="184">
                  <c:v>42548</c:v>
                </c:pt>
                <c:pt idx="185">
                  <c:v>42549</c:v>
                </c:pt>
                <c:pt idx="186">
                  <c:v>42550</c:v>
                </c:pt>
                <c:pt idx="187">
                  <c:v>42551</c:v>
                </c:pt>
                <c:pt idx="188">
                  <c:v>42552</c:v>
                </c:pt>
                <c:pt idx="189">
                  <c:v>42555</c:v>
                </c:pt>
                <c:pt idx="190">
                  <c:v>42556</c:v>
                </c:pt>
                <c:pt idx="191">
                  <c:v>42557</c:v>
                </c:pt>
                <c:pt idx="192">
                  <c:v>42558</c:v>
                </c:pt>
                <c:pt idx="193">
                  <c:v>42559</c:v>
                </c:pt>
                <c:pt idx="194">
                  <c:v>42562</c:v>
                </c:pt>
                <c:pt idx="195">
                  <c:v>42563</c:v>
                </c:pt>
                <c:pt idx="196">
                  <c:v>42564</c:v>
                </c:pt>
                <c:pt idx="197">
                  <c:v>42565</c:v>
                </c:pt>
                <c:pt idx="198">
                  <c:v>42566</c:v>
                </c:pt>
                <c:pt idx="199">
                  <c:v>42569</c:v>
                </c:pt>
                <c:pt idx="200">
                  <c:v>42570</c:v>
                </c:pt>
                <c:pt idx="201">
                  <c:v>42571</c:v>
                </c:pt>
                <c:pt idx="202">
                  <c:v>42572</c:v>
                </c:pt>
                <c:pt idx="203">
                  <c:v>42573</c:v>
                </c:pt>
                <c:pt idx="204">
                  <c:v>42576</c:v>
                </c:pt>
                <c:pt idx="205">
                  <c:v>42577</c:v>
                </c:pt>
                <c:pt idx="206">
                  <c:v>42578</c:v>
                </c:pt>
                <c:pt idx="207">
                  <c:v>42579</c:v>
                </c:pt>
                <c:pt idx="208">
                  <c:v>42580</c:v>
                </c:pt>
                <c:pt idx="209">
                  <c:v>42583</c:v>
                </c:pt>
                <c:pt idx="210">
                  <c:v>42584</c:v>
                </c:pt>
                <c:pt idx="211">
                  <c:v>42585</c:v>
                </c:pt>
                <c:pt idx="212">
                  <c:v>42586</c:v>
                </c:pt>
                <c:pt idx="213">
                  <c:v>42587</c:v>
                </c:pt>
                <c:pt idx="214">
                  <c:v>42590</c:v>
                </c:pt>
                <c:pt idx="215">
                  <c:v>42591</c:v>
                </c:pt>
                <c:pt idx="216">
                  <c:v>42592</c:v>
                </c:pt>
                <c:pt idx="217">
                  <c:v>42593</c:v>
                </c:pt>
                <c:pt idx="218">
                  <c:v>42594</c:v>
                </c:pt>
                <c:pt idx="219">
                  <c:v>42597</c:v>
                </c:pt>
                <c:pt idx="220">
                  <c:v>42598</c:v>
                </c:pt>
                <c:pt idx="221">
                  <c:v>42599</c:v>
                </c:pt>
                <c:pt idx="222">
                  <c:v>42600</c:v>
                </c:pt>
                <c:pt idx="223">
                  <c:v>42601</c:v>
                </c:pt>
                <c:pt idx="224">
                  <c:v>42604</c:v>
                </c:pt>
                <c:pt idx="225">
                  <c:v>42605</c:v>
                </c:pt>
                <c:pt idx="226">
                  <c:v>42606</c:v>
                </c:pt>
                <c:pt idx="227">
                  <c:v>42607</c:v>
                </c:pt>
                <c:pt idx="228">
                  <c:v>42608</c:v>
                </c:pt>
                <c:pt idx="229">
                  <c:v>42611</c:v>
                </c:pt>
                <c:pt idx="230">
                  <c:v>42612</c:v>
                </c:pt>
                <c:pt idx="231">
                  <c:v>42613</c:v>
                </c:pt>
                <c:pt idx="232">
                  <c:v>42614</c:v>
                </c:pt>
                <c:pt idx="233">
                  <c:v>42615</c:v>
                </c:pt>
                <c:pt idx="234">
                  <c:v>42618</c:v>
                </c:pt>
                <c:pt idx="235">
                  <c:v>42619</c:v>
                </c:pt>
                <c:pt idx="236">
                  <c:v>42620</c:v>
                </c:pt>
                <c:pt idx="237">
                  <c:v>42621</c:v>
                </c:pt>
                <c:pt idx="238">
                  <c:v>42622</c:v>
                </c:pt>
                <c:pt idx="239">
                  <c:v>42625</c:v>
                </c:pt>
                <c:pt idx="240">
                  <c:v>42626</c:v>
                </c:pt>
                <c:pt idx="241">
                  <c:v>42627</c:v>
                </c:pt>
                <c:pt idx="242">
                  <c:v>42628</c:v>
                </c:pt>
                <c:pt idx="243">
                  <c:v>42629</c:v>
                </c:pt>
                <c:pt idx="244">
                  <c:v>42632</c:v>
                </c:pt>
                <c:pt idx="245">
                  <c:v>42633</c:v>
                </c:pt>
                <c:pt idx="246">
                  <c:v>42634</c:v>
                </c:pt>
                <c:pt idx="247">
                  <c:v>42635</c:v>
                </c:pt>
                <c:pt idx="248">
                  <c:v>42636</c:v>
                </c:pt>
                <c:pt idx="249">
                  <c:v>42639</c:v>
                </c:pt>
                <c:pt idx="250">
                  <c:v>42640</c:v>
                </c:pt>
                <c:pt idx="251">
                  <c:v>42641</c:v>
                </c:pt>
                <c:pt idx="252">
                  <c:v>42642</c:v>
                </c:pt>
                <c:pt idx="253">
                  <c:v>42643</c:v>
                </c:pt>
                <c:pt idx="254">
                  <c:v>42646</c:v>
                </c:pt>
                <c:pt idx="255">
                  <c:v>42647</c:v>
                </c:pt>
                <c:pt idx="256">
                  <c:v>42648</c:v>
                </c:pt>
                <c:pt idx="257">
                  <c:v>42649</c:v>
                </c:pt>
                <c:pt idx="258">
                  <c:v>42650</c:v>
                </c:pt>
                <c:pt idx="259">
                  <c:v>42653</c:v>
                </c:pt>
                <c:pt idx="260">
                  <c:v>42654</c:v>
                </c:pt>
                <c:pt idx="261">
                  <c:v>42655</c:v>
                </c:pt>
                <c:pt idx="262">
                  <c:v>42656</c:v>
                </c:pt>
                <c:pt idx="263">
                  <c:v>42657</c:v>
                </c:pt>
                <c:pt idx="264">
                  <c:v>42660</c:v>
                </c:pt>
                <c:pt idx="265">
                  <c:v>42661</c:v>
                </c:pt>
                <c:pt idx="266">
                  <c:v>42662</c:v>
                </c:pt>
                <c:pt idx="267">
                  <c:v>42663</c:v>
                </c:pt>
                <c:pt idx="268">
                  <c:v>42664</c:v>
                </c:pt>
                <c:pt idx="269">
                  <c:v>42667</c:v>
                </c:pt>
                <c:pt idx="270">
                  <c:v>42668</c:v>
                </c:pt>
                <c:pt idx="271">
                  <c:v>42669</c:v>
                </c:pt>
                <c:pt idx="272">
                  <c:v>42670</c:v>
                </c:pt>
                <c:pt idx="273">
                  <c:v>42671</c:v>
                </c:pt>
                <c:pt idx="274">
                  <c:v>42674</c:v>
                </c:pt>
                <c:pt idx="275">
                  <c:v>42675</c:v>
                </c:pt>
                <c:pt idx="276">
                  <c:v>42676</c:v>
                </c:pt>
                <c:pt idx="277">
                  <c:v>42677</c:v>
                </c:pt>
                <c:pt idx="278">
                  <c:v>42678</c:v>
                </c:pt>
                <c:pt idx="279">
                  <c:v>42681</c:v>
                </c:pt>
                <c:pt idx="280">
                  <c:v>42682</c:v>
                </c:pt>
                <c:pt idx="281">
                  <c:v>42683</c:v>
                </c:pt>
                <c:pt idx="282">
                  <c:v>42684</c:v>
                </c:pt>
                <c:pt idx="283">
                  <c:v>42685</c:v>
                </c:pt>
                <c:pt idx="284">
                  <c:v>42688</c:v>
                </c:pt>
                <c:pt idx="285">
                  <c:v>42689</c:v>
                </c:pt>
                <c:pt idx="286">
                  <c:v>42690</c:v>
                </c:pt>
                <c:pt idx="287">
                  <c:v>42691</c:v>
                </c:pt>
                <c:pt idx="288">
                  <c:v>42692</c:v>
                </c:pt>
                <c:pt idx="289">
                  <c:v>42695</c:v>
                </c:pt>
                <c:pt idx="290">
                  <c:v>42696</c:v>
                </c:pt>
                <c:pt idx="291">
                  <c:v>42697</c:v>
                </c:pt>
                <c:pt idx="292">
                  <c:v>42698</c:v>
                </c:pt>
                <c:pt idx="293">
                  <c:v>42699</c:v>
                </c:pt>
                <c:pt idx="294">
                  <c:v>42702</c:v>
                </c:pt>
                <c:pt idx="295">
                  <c:v>42703</c:v>
                </c:pt>
                <c:pt idx="296">
                  <c:v>42704</c:v>
                </c:pt>
                <c:pt idx="297">
                  <c:v>42705</c:v>
                </c:pt>
                <c:pt idx="298">
                  <c:v>42706</c:v>
                </c:pt>
                <c:pt idx="299">
                  <c:v>42709</c:v>
                </c:pt>
                <c:pt idx="300">
                  <c:v>42710</c:v>
                </c:pt>
                <c:pt idx="301">
                  <c:v>42711</c:v>
                </c:pt>
                <c:pt idx="302">
                  <c:v>42712</c:v>
                </c:pt>
                <c:pt idx="303">
                  <c:v>42713</c:v>
                </c:pt>
                <c:pt idx="304">
                  <c:v>42716</c:v>
                </c:pt>
                <c:pt idx="305">
                  <c:v>42717</c:v>
                </c:pt>
                <c:pt idx="306">
                  <c:v>42718</c:v>
                </c:pt>
                <c:pt idx="307">
                  <c:v>42719</c:v>
                </c:pt>
                <c:pt idx="308">
                  <c:v>42720</c:v>
                </c:pt>
                <c:pt idx="309">
                  <c:v>42723</c:v>
                </c:pt>
                <c:pt idx="310">
                  <c:v>42724</c:v>
                </c:pt>
                <c:pt idx="311">
                  <c:v>42725</c:v>
                </c:pt>
                <c:pt idx="312">
                  <c:v>42726</c:v>
                </c:pt>
                <c:pt idx="313">
                  <c:v>42727</c:v>
                </c:pt>
                <c:pt idx="314">
                  <c:v>42731</c:v>
                </c:pt>
                <c:pt idx="315">
                  <c:v>42732</c:v>
                </c:pt>
                <c:pt idx="316">
                  <c:v>42733</c:v>
                </c:pt>
                <c:pt idx="317">
                  <c:v>42734</c:v>
                </c:pt>
                <c:pt idx="318">
                  <c:v>42737</c:v>
                </c:pt>
                <c:pt idx="319">
                  <c:v>42738</c:v>
                </c:pt>
                <c:pt idx="320">
                  <c:v>42739</c:v>
                </c:pt>
                <c:pt idx="321">
                  <c:v>42740</c:v>
                </c:pt>
                <c:pt idx="322">
                  <c:v>42744</c:v>
                </c:pt>
                <c:pt idx="323">
                  <c:v>42745</c:v>
                </c:pt>
                <c:pt idx="324">
                  <c:v>42746</c:v>
                </c:pt>
                <c:pt idx="325">
                  <c:v>42747</c:v>
                </c:pt>
                <c:pt idx="326">
                  <c:v>42748</c:v>
                </c:pt>
                <c:pt idx="327">
                  <c:v>42751</c:v>
                </c:pt>
                <c:pt idx="328">
                  <c:v>42752</c:v>
                </c:pt>
                <c:pt idx="329">
                  <c:v>42753</c:v>
                </c:pt>
                <c:pt idx="330">
                  <c:v>42754</c:v>
                </c:pt>
                <c:pt idx="331">
                  <c:v>42755</c:v>
                </c:pt>
                <c:pt idx="332">
                  <c:v>42758</c:v>
                </c:pt>
                <c:pt idx="333">
                  <c:v>42759</c:v>
                </c:pt>
                <c:pt idx="334">
                  <c:v>42760</c:v>
                </c:pt>
                <c:pt idx="335">
                  <c:v>42761</c:v>
                </c:pt>
                <c:pt idx="336">
                  <c:v>42762</c:v>
                </c:pt>
                <c:pt idx="337">
                  <c:v>42765</c:v>
                </c:pt>
                <c:pt idx="338">
                  <c:v>42766</c:v>
                </c:pt>
                <c:pt idx="339">
                  <c:v>42767</c:v>
                </c:pt>
                <c:pt idx="340">
                  <c:v>42768</c:v>
                </c:pt>
                <c:pt idx="341">
                  <c:v>42769</c:v>
                </c:pt>
                <c:pt idx="342">
                  <c:v>42772</c:v>
                </c:pt>
                <c:pt idx="343">
                  <c:v>42773</c:v>
                </c:pt>
                <c:pt idx="344">
                  <c:v>42774</c:v>
                </c:pt>
                <c:pt idx="345">
                  <c:v>42775</c:v>
                </c:pt>
                <c:pt idx="346">
                  <c:v>42776</c:v>
                </c:pt>
                <c:pt idx="347">
                  <c:v>42779</c:v>
                </c:pt>
                <c:pt idx="348">
                  <c:v>42780</c:v>
                </c:pt>
                <c:pt idx="349">
                  <c:v>42781</c:v>
                </c:pt>
                <c:pt idx="350">
                  <c:v>42782</c:v>
                </c:pt>
                <c:pt idx="351">
                  <c:v>42783</c:v>
                </c:pt>
                <c:pt idx="352">
                  <c:v>42786</c:v>
                </c:pt>
                <c:pt idx="353">
                  <c:v>42787</c:v>
                </c:pt>
                <c:pt idx="354">
                  <c:v>42788</c:v>
                </c:pt>
                <c:pt idx="355">
                  <c:v>42789</c:v>
                </c:pt>
                <c:pt idx="356">
                  <c:v>42790</c:v>
                </c:pt>
                <c:pt idx="357">
                  <c:v>42793</c:v>
                </c:pt>
                <c:pt idx="358">
                  <c:v>42794</c:v>
                </c:pt>
                <c:pt idx="359">
                  <c:v>42795</c:v>
                </c:pt>
                <c:pt idx="360">
                  <c:v>42796</c:v>
                </c:pt>
                <c:pt idx="361">
                  <c:v>42797</c:v>
                </c:pt>
                <c:pt idx="362">
                  <c:v>42800</c:v>
                </c:pt>
                <c:pt idx="363">
                  <c:v>42801</c:v>
                </c:pt>
                <c:pt idx="364">
                  <c:v>42802</c:v>
                </c:pt>
                <c:pt idx="365">
                  <c:v>42803</c:v>
                </c:pt>
                <c:pt idx="366">
                  <c:v>42804</c:v>
                </c:pt>
                <c:pt idx="367">
                  <c:v>42807</c:v>
                </c:pt>
                <c:pt idx="368">
                  <c:v>42808</c:v>
                </c:pt>
                <c:pt idx="369">
                  <c:v>42809</c:v>
                </c:pt>
                <c:pt idx="370">
                  <c:v>42810</c:v>
                </c:pt>
                <c:pt idx="371">
                  <c:v>42811</c:v>
                </c:pt>
                <c:pt idx="372">
                  <c:v>42814</c:v>
                </c:pt>
                <c:pt idx="373">
                  <c:v>42815</c:v>
                </c:pt>
                <c:pt idx="374">
                  <c:v>42816</c:v>
                </c:pt>
                <c:pt idx="375">
                  <c:v>42817</c:v>
                </c:pt>
                <c:pt idx="376">
                  <c:v>42818</c:v>
                </c:pt>
                <c:pt idx="377">
                  <c:v>42821</c:v>
                </c:pt>
                <c:pt idx="378">
                  <c:v>42822</c:v>
                </c:pt>
                <c:pt idx="379">
                  <c:v>42823</c:v>
                </c:pt>
                <c:pt idx="380">
                  <c:v>42824</c:v>
                </c:pt>
                <c:pt idx="381">
                  <c:v>42825</c:v>
                </c:pt>
                <c:pt idx="382">
                  <c:v>42828</c:v>
                </c:pt>
                <c:pt idx="383">
                  <c:v>42829</c:v>
                </c:pt>
                <c:pt idx="384">
                  <c:v>42830</c:v>
                </c:pt>
                <c:pt idx="385">
                  <c:v>42831</c:v>
                </c:pt>
                <c:pt idx="386">
                  <c:v>42832</c:v>
                </c:pt>
                <c:pt idx="387">
                  <c:v>42835</c:v>
                </c:pt>
                <c:pt idx="388">
                  <c:v>42836</c:v>
                </c:pt>
                <c:pt idx="389">
                  <c:v>42837</c:v>
                </c:pt>
                <c:pt idx="390">
                  <c:v>42838</c:v>
                </c:pt>
                <c:pt idx="391">
                  <c:v>42843</c:v>
                </c:pt>
                <c:pt idx="392">
                  <c:v>42844</c:v>
                </c:pt>
                <c:pt idx="393">
                  <c:v>42845</c:v>
                </c:pt>
                <c:pt idx="394">
                  <c:v>42846</c:v>
                </c:pt>
                <c:pt idx="395">
                  <c:v>42849</c:v>
                </c:pt>
                <c:pt idx="396">
                  <c:v>42850</c:v>
                </c:pt>
                <c:pt idx="397">
                  <c:v>42851</c:v>
                </c:pt>
                <c:pt idx="398">
                  <c:v>42852</c:v>
                </c:pt>
                <c:pt idx="399">
                  <c:v>42853</c:v>
                </c:pt>
                <c:pt idx="400">
                  <c:v>42857</c:v>
                </c:pt>
                <c:pt idx="401">
                  <c:v>42858</c:v>
                </c:pt>
                <c:pt idx="402">
                  <c:v>42859</c:v>
                </c:pt>
                <c:pt idx="403">
                  <c:v>42860</c:v>
                </c:pt>
                <c:pt idx="404">
                  <c:v>42863</c:v>
                </c:pt>
                <c:pt idx="405">
                  <c:v>42864</c:v>
                </c:pt>
                <c:pt idx="406">
                  <c:v>42865</c:v>
                </c:pt>
                <c:pt idx="407">
                  <c:v>42866</c:v>
                </c:pt>
                <c:pt idx="408">
                  <c:v>42867</c:v>
                </c:pt>
                <c:pt idx="409">
                  <c:v>42870</c:v>
                </c:pt>
                <c:pt idx="410">
                  <c:v>42871</c:v>
                </c:pt>
                <c:pt idx="411">
                  <c:v>42872</c:v>
                </c:pt>
                <c:pt idx="412">
                  <c:v>42873</c:v>
                </c:pt>
                <c:pt idx="413">
                  <c:v>42874</c:v>
                </c:pt>
                <c:pt idx="414">
                  <c:v>42877</c:v>
                </c:pt>
                <c:pt idx="415">
                  <c:v>42878</c:v>
                </c:pt>
                <c:pt idx="416">
                  <c:v>42879</c:v>
                </c:pt>
                <c:pt idx="417">
                  <c:v>42881</c:v>
                </c:pt>
                <c:pt idx="418">
                  <c:v>42884</c:v>
                </c:pt>
                <c:pt idx="419">
                  <c:v>42885</c:v>
                </c:pt>
                <c:pt idx="420">
                  <c:v>42886</c:v>
                </c:pt>
                <c:pt idx="421">
                  <c:v>42887</c:v>
                </c:pt>
                <c:pt idx="422">
                  <c:v>42888</c:v>
                </c:pt>
                <c:pt idx="423">
                  <c:v>42892</c:v>
                </c:pt>
                <c:pt idx="424">
                  <c:v>42893</c:v>
                </c:pt>
                <c:pt idx="425">
                  <c:v>42894</c:v>
                </c:pt>
                <c:pt idx="426">
                  <c:v>42895</c:v>
                </c:pt>
                <c:pt idx="427">
                  <c:v>42898</c:v>
                </c:pt>
                <c:pt idx="428">
                  <c:v>42899</c:v>
                </c:pt>
                <c:pt idx="429">
                  <c:v>42900</c:v>
                </c:pt>
                <c:pt idx="430">
                  <c:v>42901</c:v>
                </c:pt>
                <c:pt idx="431">
                  <c:v>42902</c:v>
                </c:pt>
                <c:pt idx="432">
                  <c:v>42905</c:v>
                </c:pt>
                <c:pt idx="433">
                  <c:v>42906</c:v>
                </c:pt>
                <c:pt idx="434">
                  <c:v>42907</c:v>
                </c:pt>
                <c:pt idx="435">
                  <c:v>42908</c:v>
                </c:pt>
                <c:pt idx="436">
                  <c:v>42912</c:v>
                </c:pt>
                <c:pt idx="437">
                  <c:v>42913</c:v>
                </c:pt>
                <c:pt idx="438">
                  <c:v>42914</c:v>
                </c:pt>
                <c:pt idx="439">
                  <c:v>42915</c:v>
                </c:pt>
                <c:pt idx="440">
                  <c:v>42916</c:v>
                </c:pt>
                <c:pt idx="441">
                  <c:v>42919</c:v>
                </c:pt>
                <c:pt idx="442">
                  <c:v>42920</c:v>
                </c:pt>
                <c:pt idx="443">
                  <c:v>42921</c:v>
                </c:pt>
                <c:pt idx="444">
                  <c:v>42922</c:v>
                </c:pt>
                <c:pt idx="445">
                  <c:v>42923</c:v>
                </c:pt>
                <c:pt idx="446">
                  <c:v>42926</c:v>
                </c:pt>
                <c:pt idx="447">
                  <c:v>42927</c:v>
                </c:pt>
                <c:pt idx="448">
                  <c:v>42928</c:v>
                </c:pt>
                <c:pt idx="449">
                  <c:v>42929</c:v>
                </c:pt>
                <c:pt idx="450">
                  <c:v>42930</c:v>
                </c:pt>
                <c:pt idx="451">
                  <c:v>42933</c:v>
                </c:pt>
                <c:pt idx="452">
                  <c:v>42934</c:v>
                </c:pt>
                <c:pt idx="453">
                  <c:v>42935</c:v>
                </c:pt>
                <c:pt idx="454">
                  <c:v>42936</c:v>
                </c:pt>
                <c:pt idx="455">
                  <c:v>42937</c:v>
                </c:pt>
                <c:pt idx="456">
                  <c:v>42940</c:v>
                </c:pt>
                <c:pt idx="457">
                  <c:v>42941</c:v>
                </c:pt>
                <c:pt idx="458">
                  <c:v>42942</c:v>
                </c:pt>
                <c:pt idx="459">
                  <c:v>42943</c:v>
                </c:pt>
                <c:pt idx="460">
                  <c:v>42944</c:v>
                </c:pt>
                <c:pt idx="461">
                  <c:v>42947</c:v>
                </c:pt>
                <c:pt idx="462">
                  <c:v>42948</c:v>
                </c:pt>
                <c:pt idx="463">
                  <c:v>42949</c:v>
                </c:pt>
                <c:pt idx="464">
                  <c:v>42950</c:v>
                </c:pt>
                <c:pt idx="465">
                  <c:v>42951</c:v>
                </c:pt>
                <c:pt idx="466">
                  <c:v>42954</c:v>
                </c:pt>
                <c:pt idx="467">
                  <c:v>42955</c:v>
                </c:pt>
                <c:pt idx="468">
                  <c:v>42956</c:v>
                </c:pt>
                <c:pt idx="469">
                  <c:v>42957</c:v>
                </c:pt>
                <c:pt idx="470">
                  <c:v>42958</c:v>
                </c:pt>
                <c:pt idx="471">
                  <c:v>42961</c:v>
                </c:pt>
                <c:pt idx="472">
                  <c:v>42962</c:v>
                </c:pt>
                <c:pt idx="473">
                  <c:v>42963</c:v>
                </c:pt>
                <c:pt idx="474">
                  <c:v>42964</c:v>
                </c:pt>
                <c:pt idx="475">
                  <c:v>42965</c:v>
                </c:pt>
                <c:pt idx="476">
                  <c:v>42968</c:v>
                </c:pt>
                <c:pt idx="477">
                  <c:v>42969</c:v>
                </c:pt>
                <c:pt idx="478">
                  <c:v>42970</c:v>
                </c:pt>
                <c:pt idx="479">
                  <c:v>42971</c:v>
                </c:pt>
                <c:pt idx="480">
                  <c:v>42972</c:v>
                </c:pt>
                <c:pt idx="481">
                  <c:v>42975</c:v>
                </c:pt>
                <c:pt idx="482">
                  <c:v>42976</c:v>
                </c:pt>
                <c:pt idx="483">
                  <c:v>42977</c:v>
                </c:pt>
                <c:pt idx="484">
                  <c:v>42978</c:v>
                </c:pt>
                <c:pt idx="485">
                  <c:v>42979</c:v>
                </c:pt>
                <c:pt idx="486">
                  <c:v>42982</c:v>
                </c:pt>
                <c:pt idx="487">
                  <c:v>42983</c:v>
                </c:pt>
                <c:pt idx="488">
                  <c:v>42984</c:v>
                </c:pt>
                <c:pt idx="489">
                  <c:v>42985</c:v>
                </c:pt>
                <c:pt idx="490">
                  <c:v>42986</c:v>
                </c:pt>
                <c:pt idx="491">
                  <c:v>42989</c:v>
                </c:pt>
                <c:pt idx="492">
                  <c:v>42990</c:v>
                </c:pt>
                <c:pt idx="493">
                  <c:v>42991</c:v>
                </c:pt>
                <c:pt idx="494">
                  <c:v>42992</c:v>
                </c:pt>
                <c:pt idx="495">
                  <c:v>42993</c:v>
                </c:pt>
                <c:pt idx="496">
                  <c:v>42996</c:v>
                </c:pt>
                <c:pt idx="497">
                  <c:v>42997</c:v>
                </c:pt>
                <c:pt idx="498">
                  <c:v>42998</c:v>
                </c:pt>
                <c:pt idx="499">
                  <c:v>42999</c:v>
                </c:pt>
                <c:pt idx="500">
                  <c:v>43000</c:v>
                </c:pt>
                <c:pt idx="501">
                  <c:v>43003</c:v>
                </c:pt>
                <c:pt idx="502">
                  <c:v>43004</c:v>
                </c:pt>
                <c:pt idx="503">
                  <c:v>43005</c:v>
                </c:pt>
                <c:pt idx="504">
                  <c:v>43006</c:v>
                </c:pt>
                <c:pt idx="505">
                  <c:v>43007</c:v>
                </c:pt>
                <c:pt idx="506">
                  <c:v>43010</c:v>
                </c:pt>
                <c:pt idx="507">
                  <c:v>43011</c:v>
                </c:pt>
                <c:pt idx="508">
                  <c:v>43012</c:v>
                </c:pt>
                <c:pt idx="509">
                  <c:v>43013</c:v>
                </c:pt>
                <c:pt idx="510">
                  <c:v>43014</c:v>
                </c:pt>
                <c:pt idx="511">
                  <c:v>43017</c:v>
                </c:pt>
                <c:pt idx="512">
                  <c:v>43018</c:v>
                </c:pt>
                <c:pt idx="513">
                  <c:v>43019</c:v>
                </c:pt>
                <c:pt idx="514">
                  <c:v>43020</c:v>
                </c:pt>
                <c:pt idx="515">
                  <c:v>43021</c:v>
                </c:pt>
                <c:pt idx="516">
                  <c:v>43024</c:v>
                </c:pt>
                <c:pt idx="517">
                  <c:v>43025</c:v>
                </c:pt>
                <c:pt idx="518">
                  <c:v>43032</c:v>
                </c:pt>
                <c:pt idx="519">
                  <c:v>43039</c:v>
                </c:pt>
                <c:pt idx="520">
                  <c:v>43046</c:v>
                </c:pt>
                <c:pt idx="521">
                  <c:v>43053</c:v>
                </c:pt>
                <c:pt idx="522">
                  <c:v>43060</c:v>
                </c:pt>
                <c:pt idx="523">
                  <c:v>43067</c:v>
                </c:pt>
                <c:pt idx="524">
                  <c:v>43074</c:v>
                </c:pt>
                <c:pt idx="525">
                  <c:v>43081</c:v>
                </c:pt>
                <c:pt idx="526">
                  <c:v>43088</c:v>
                </c:pt>
                <c:pt idx="527">
                  <c:v>43097</c:v>
                </c:pt>
                <c:pt idx="528">
                  <c:v>43103</c:v>
                </c:pt>
                <c:pt idx="529">
                  <c:v>43109</c:v>
                </c:pt>
                <c:pt idx="530">
                  <c:v>43116</c:v>
                </c:pt>
                <c:pt idx="531">
                  <c:v>43123</c:v>
                </c:pt>
                <c:pt idx="532">
                  <c:v>43130</c:v>
                </c:pt>
                <c:pt idx="533">
                  <c:v>43137</c:v>
                </c:pt>
                <c:pt idx="534">
                  <c:v>43144</c:v>
                </c:pt>
                <c:pt idx="535">
                  <c:v>43151</c:v>
                </c:pt>
                <c:pt idx="536">
                  <c:v>43158</c:v>
                </c:pt>
                <c:pt idx="537">
                  <c:v>43165</c:v>
                </c:pt>
                <c:pt idx="538">
                  <c:v>43172</c:v>
                </c:pt>
                <c:pt idx="539">
                  <c:v>43179</c:v>
                </c:pt>
                <c:pt idx="540">
                  <c:v>43186</c:v>
                </c:pt>
                <c:pt idx="541">
                  <c:v>43195</c:v>
                </c:pt>
                <c:pt idx="542">
                  <c:v>43202</c:v>
                </c:pt>
                <c:pt idx="543">
                  <c:v>43209</c:v>
                </c:pt>
                <c:pt idx="544">
                  <c:v>43216</c:v>
                </c:pt>
                <c:pt idx="545">
                  <c:v>43224</c:v>
                </c:pt>
                <c:pt idx="546">
                  <c:v>43234</c:v>
                </c:pt>
                <c:pt idx="547">
                  <c:v>43238</c:v>
                </c:pt>
                <c:pt idx="548">
                  <c:v>43245</c:v>
                </c:pt>
                <c:pt idx="549">
                  <c:v>43252</c:v>
                </c:pt>
                <c:pt idx="550">
                  <c:v>43259</c:v>
                </c:pt>
                <c:pt idx="551">
                  <c:v>43266</c:v>
                </c:pt>
                <c:pt idx="552">
                  <c:v>43276</c:v>
                </c:pt>
                <c:pt idx="553">
                  <c:v>43280</c:v>
                </c:pt>
                <c:pt idx="554">
                  <c:v>43287</c:v>
                </c:pt>
                <c:pt idx="555">
                  <c:v>43294</c:v>
                </c:pt>
                <c:pt idx="556">
                  <c:v>43301</c:v>
                </c:pt>
                <c:pt idx="557">
                  <c:v>43308</c:v>
                </c:pt>
                <c:pt idx="558">
                  <c:v>43315</c:v>
                </c:pt>
                <c:pt idx="559">
                  <c:v>43322</c:v>
                </c:pt>
                <c:pt idx="560">
                  <c:v>43329</c:v>
                </c:pt>
                <c:pt idx="561">
                  <c:v>43336</c:v>
                </c:pt>
                <c:pt idx="562">
                  <c:v>43343</c:v>
                </c:pt>
                <c:pt idx="563">
                  <c:v>43350</c:v>
                </c:pt>
                <c:pt idx="564">
                  <c:v>43357</c:v>
                </c:pt>
                <c:pt idx="565">
                  <c:v>43364</c:v>
                </c:pt>
                <c:pt idx="566">
                  <c:v>43371</c:v>
                </c:pt>
                <c:pt idx="567">
                  <c:v>43378</c:v>
                </c:pt>
                <c:pt idx="568">
                  <c:v>43385</c:v>
                </c:pt>
                <c:pt idx="569">
                  <c:v>43392</c:v>
                </c:pt>
                <c:pt idx="570">
                  <c:v>43399</c:v>
                </c:pt>
                <c:pt idx="571">
                  <c:v>43406</c:v>
                </c:pt>
                <c:pt idx="572">
                  <c:v>43413</c:v>
                </c:pt>
                <c:pt idx="573">
                  <c:v>43420</c:v>
                </c:pt>
                <c:pt idx="574">
                  <c:v>43427</c:v>
                </c:pt>
                <c:pt idx="575">
                  <c:v>43434</c:v>
                </c:pt>
                <c:pt idx="576">
                  <c:v>43441</c:v>
                </c:pt>
                <c:pt idx="577">
                  <c:v>43448</c:v>
                </c:pt>
                <c:pt idx="578">
                  <c:v>43455</c:v>
                </c:pt>
                <c:pt idx="579">
                  <c:v>43467</c:v>
                </c:pt>
                <c:pt idx="580">
                  <c:v>43472</c:v>
                </c:pt>
                <c:pt idx="581">
                  <c:v>43479</c:v>
                </c:pt>
                <c:pt idx="582">
                  <c:v>43486</c:v>
                </c:pt>
                <c:pt idx="583">
                  <c:v>43493</c:v>
                </c:pt>
                <c:pt idx="584">
                  <c:v>43500</c:v>
                </c:pt>
                <c:pt idx="585">
                  <c:v>43507</c:v>
                </c:pt>
                <c:pt idx="586">
                  <c:v>43514</c:v>
                </c:pt>
                <c:pt idx="587">
                  <c:v>43521</c:v>
                </c:pt>
                <c:pt idx="588">
                  <c:v>43528</c:v>
                </c:pt>
                <c:pt idx="589">
                  <c:v>43535</c:v>
                </c:pt>
                <c:pt idx="590">
                  <c:v>43542</c:v>
                </c:pt>
                <c:pt idx="591">
                  <c:v>43549</c:v>
                </c:pt>
                <c:pt idx="592">
                  <c:v>43556</c:v>
                </c:pt>
                <c:pt idx="593">
                  <c:v>43563</c:v>
                </c:pt>
                <c:pt idx="594">
                  <c:v>43570</c:v>
                </c:pt>
                <c:pt idx="595">
                  <c:v>43579</c:v>
                </c:pt>
                <c:pt idx="596">
                  <c:v>43584</c:v>
                </c:pt>
                <c:pt idx="597">
                  <c:v>43591</c:v>
                </c:pt>
                <c:pt idx="598">
                  <c:v>43598</c:v>
                </c:pt>
                <c:pt idx="599">
                  <c:v>43605</c:v>
                </c:pt>
                <c:pt idx="600">
                  <c:v>43612</c:v>
                </c:pt>
                <c:pt idx="601">
                  <c:v>43620</c:v>
                </c:pt>
                <c:pt idx="602">
                  <c:v>43628</c:v>
                </c:pt>
                <c:pt idx="603">
                  <c:v>43634</c:v>
                </c:pt>
                <c:pt idx="604">
                  <c:v>43642</c:v>
                </c:pt>
                <c:pt idx="605">
                  <c:v>43649</c:v>
                </c:pt>
                <c:pt idx="606">
                  <c:v>43656</c:v>
                </c:pt>
                <c:pt idx="607">
                  <c:v>43663</c:v>
                </c:pt>
                <c:pt idx="608">
                  <c:v>43670</c:v>
                </c:pt>
                <c:pt idx="609">
                  <c:v>43677</c:v>
                </c:pt>
                <c:pt idx="610">
                  <c:v>43684</c:v>
                </c:pt>
                <c:pt idx="611">
                  <c:v>43691</c:v>
                </c:pt>
                <c:pt idx="612">
                  <c:v>43698</c:v>
                </c:pt>
                <c:pt idx="613">
                  <c:v>43705</c:v>
                </c:pt>
                <c:pt idx="614">
                  <c:v>43712</c:v>
                </c:pt>
                <c:pt idx="615">
                  <c:v>43719</c:v>
                </c:pt>
                <c:pt idx="616">
                  <c:v>43726</c:v>
                </c:pt>
                <c:pt idx="617">
                  <c:v>43733</c:v>
                </c:pt>
                <c:pt idx="618">
                  <c:v>43740</c:v>
                </c:pt>
                <c:pt idx="619">
                  <c:v>43747</c:v>
                </c:pt>
                <c:pt idx="620">
                  <c:v>43754</c:v>
                </c:pt>
                <c:pt idx="621">
                  <c:v>43761</c:v>
                </c:pt>
                <c:pt idx="622">
                  <c:v>43768</c:v>
                </c:pt>
                <c:pt idx="623">
                  <c:v>43775</c:v>
                </c:pt>
                <c:pt idx="624">
                  <c:v>43782</c:v>
                </c:pt>
                <c:pt idx="625">
                  <c:v>43789</c:v>
                </c:pt>
                <c:pt idx="626">
                  <c:v>43796</c:v>
                </c:pt>
                <c:pt idx="627">
                  <c:v>43803</c:v>
                </c:pt>
                <c:pt idx="628">
                  <c:v>43810</c:v>
                </c:pt>
                <c:pt idx="629">
                  <c:v>43817</c:v>
                </c:pt>
                <c:pt idx="630">
                  <c:v>43829</c:v>
                </c:pt>
                <c:pt idx="631">
                  <c:v>43833</c:v>
                </c:pt>
                <c:pt idx="632">
                  <c:v>43839</c:v>
                </c:pt>
                <c:pt idx="633">
                  <c:v>43846</c:v>
                </c:pt>
                <c:pt idx="634">
                  <c:v>43853</c:v>
                </c:pt>
                <c:pt idx="635">
                  <c:v>43860</c:v>
                </c:pt>
                <c:pt idx="636">
                  <c:v>43867</c:v>
                </c:pt>
                <c:pt idx="637">
                  <c:v>43874</c:v>
                </c:pt>
                <c:pt idx="638">
                  <c:v>43881</c:v>
                </c:pt>
                <c:pt idx="639">
                  <c:v>43888</c:v>
                </c:pt>
                <c:pt idx="640">
                  <c:v>43895</c:v>
                </c:pt>
                <c:pt idx="641">
                  <c:v>43902</c:v>
                </c:pt>
                <c:pt idx="642">
                  <c:v>43909</c:v>
                </c:pt>
                <c:pt idx="643">
                  <c:v>43916</c:v>
                </c:pt>
                <c:pt idx="644">
                  <c:v>43923</c:v>
                </c:pt>
                <c:pt idx="645">
                  <c:v>43930</c:v>
                </c:pt>
                <c:pt idx="646">
                  <c:v>43937</c:v>
                </c:pt>
                <c:pt idx="647">
                  <c:v>43944</c:v>
                </c:pt>
                <c:pt idx="648">
                  <c:v>43951</c:v>
                </c:pt>
                <c:pt idx="649">
                  <c:v>43958</c:v>
                </c:pt>
                <c:pt idx="650">
                  <c:v>43965</c:v>
                </c:pt>
                <c:pt idx="651">
                  <c:v>43973</c:v>
                </c:pt>
                <c:pt idx="652">
                  <c:v>43979</c:v>
                </c:pt>
                <c:pt idx="653">
                  <c:v>43986</c:v>
                </c:pt>
                <c:pt idx="654">
                  <c:v>43993</c:v>
                </c:pt>
                <c:pt idx="655">
                  <c:v>44000</c:v>
                </c:pt>
                <c:pt idx="656">
                  <c:v>44007</c:v>
                </c:pt>
                <c:pt idx="657">
                  <c:v>44014</c:v>
                </c:pt>
                <c:pt idx="658">
                  <c:v>44021</c:v>
                </c:pt>
                <c:pt idx="659">
                  <c:v>44028</c:v>
                </c:pt>
                <c:pt idx="660">
                  <c:v>44035</c:v>
                </c:pt>
                <c:pt idx="661">
                  <c:v>44042</c:v>
                </c:pt>
                <c:pt idx="662">
                  <c:v>44049</c:v>
                </c:pt>
                <c:pt idx="663">
                  <c:v>44056</c:v>
                </c:pt>
                <c:pt idx="664">
                  <c:v>44063</c:v>
                </c:pt>
                <c:pt idx="665">
                  <c:v>44070</c:v>
                </c:pt>
                <c:pt idx="666">
                  <c:v>44077</c:v>
                </c:pt>
                <c:pt idx="667">
                  <c:v>44084</c:v>
                </c:pt>
                <c:pt idx="668">
                  <c:v>44091</c:v>
                </c:pt>
                <c:pt idx="669">
                  <c:v>44098</c:v>
                </c:pt>
                <c:pt idx="670">
                  <c:v>44105</c:v>
                </c:pt>
                <c:pt idx="671">
                  <c:v>44112</c:v>
                </c:pt>
                <c:pt idx="672">
                  <c:v>44119</c:v>
                </c:pt>
                <c:pt idx="673">
                  <c:v>44126</c:v>
                </c:pt>
                <c:pt idx="674">
                  <c:v>44133</c:v>
                </c:pt>
                <c:pt idx="675">
                  <c:v>44140</c:v>
                </c:pt>
                <c:pt idx="676">
                  <c:v>44147</c:v>
                </c:pt>
                <c:pt idx="677">
                  <c:v>44154</c:v>
                </c:pt>
                <c:pt idx="678">
                  <c:v>44161</c:v>
                </c:pt>
                <c:pt idx="679">
                  <c:v>44168</c:v>
                </c:pt>
                <c:pt idx="680">
                  <c:v>44175</c:v>
                </c:pt>
                <c:pt idx="681">
                  <c:v>44182</c:v>
                </c:pt>
                <c:pt idx="682">
                  <c:v>44193</c:v>
                </c:pt>
                <c:pt idx="683">
                  <c:v>44200</c:v>
                </c:pt>
                <c:pt idx="684">
                  <c:v>44204</c:v>
                </c:pt>
                <c:pt idx="685">
                  <c:v>44210</c:v>
                </c:pt>
                <c:pt idx="686">
                  <c:v>44217</c:v>
                </c:pt>
                <c:pt idx="687">
                  <c:v>44224</c:v>
                </c:pt>
                <c:pt idx="688">
                  <c:v>44231</c:v>
                </c:pt>
                <c:pt idx="689">
                  <c:v>44238</c:v>
                </c:pt>
                <c:pt idx="690">
                  <c:v>44245</c:v>
                </c:pt>
                <c:pt idx="691">
                  <c:v>44252</c:v>
                </c:pt>
                <c:pt idx="692">
                  <c:v>44259</c:v>
                </c:pt>
                <c:pt idx="693">
                  <c:v>44266</c:v>
                </c:pt>
                <c:pt idx="694">
                  <c:v>44273</c:v>
                </c:pt>
                <c:pt idx="695">
                  <c:v>44280</c:v>
                </c:pt>
                <c:pt idx="696">
                  <c:v>44287</c:v>
                </c:pt>
                <c:pt idx="697">
                  <c:v>44294</c:v>
                </c:pt>
                <c:pt idx="698">
                  <c:v>44301</c:v>
                </c:pt>
                <c:pt idx="699">
                  <c:v>44308</c:v>
                </c:pt>
                <c:pt idx="700">
                  <c:v>44315</c:v>
                </c:pt>
                <c:pt idx="701">
                  <c:v>44322</c:v>
                </c:pt>
                <c:pt idx="702">
                  <c:v>44330</c:v>
                </c:pt>
                <c:pt idx="703">
                  <c:v>44336</c:v>
                </c:pt>
                <c:pt idx="704">
                  <c:v>44343</c:v>
                </c:pt>
                <c:pt idx="705">
                  <c:v>44350</c:v>
                </c:pt>
                <c:pt idx="706">
                  <c:v>44357</c:v>
                </c:pt>
                <c:pt idx="707">
                  <c:v>44364</c:v>
                </c:pt>
                <c:pt idx="708">
                  <c:v>44371</c:v>
                </c:pt>
                <c:pt idx="709">
                  <c:v>44378</c:v>
                </c:pt>
                <c:pt idx="710">
                  <c:v>44385</c:v>
                </c:pt>
                <c:pt idx="711">
                  <c:v>44392</c:v>
                </c:pt>
                <c:pt idx="712">
                  <c:v>44399</c:v>
                </c:pt>
                <c:pt idx="713">
                  <c:v>44406</c:v>
                </c:pt>
                <c:pt idx="714">
                  <c:v>44413</c:v>
                </c:pt>
                <c:pt idx="715">
                  <c:v>44420</c:v>
                </c:pt>
                <c:pt idx="716">
                  <c:v>44427</c:v>
                </c:pt>
                <c:pt idx="717">
                  <c:v>44434</c:v>
                </c:pt>
                <c:pt idx="718">
                  <c:v>44441</c:v>
                </c:pt>
                <c:pt idx="719">
                  <c:v>44448</c:v>
                </c:pt>
                <c:pt idx="720">
                  <c:v>44455</c:v>
                </c:pt>
                <c:pt idx="721">
                  <c:v>44462</c:v>
                </c:pt>
                <c:pt idx="722">
                  <c:v>44469</c:v>
                </c:pt>
                <c:pt idx="723">
                  <c:v>44476</c:v>
                </c:pt>
                <c:pt idx="724">
                  <c:v>44483</c:v>
                </c:pt>
                <c:pt idx="725">
                  <c:v>44490</c:v>
                </c:pt>
                <c:pt idx="726">
                  <c:v>44497</c:v>
                </c:pt>
                <c:pt idx="727">
                  <c:v>44504</c:v>
                </c:pt>
                <c:pt idx="728">
                  <c:v>44511</c:v>
                </c:pt>
                <c:pt idx="729">
                  <c:v>44518</c:v>
                </c:pt>
                <c:pt idx="730">
                  <c:v>44525</c:v>
                </c:pt>
                <c:pt idx="731">
                  <c:v>44532</c:v>
                </c:pt>
                <c:pt idx="732">
                  <c:v>44539</c:v>
                </c:pt>
                <c:pt idx="733">
                  <c:v>44546</c:v>
                </c:pt>
                <c:pt idx="734">
                  <c:v>44553</c:v>
                </c:pt>
                <c:pt idx="735">
                  <c:v>44560</c:v>
                </c:pt>
                <c:pt idx="736">
                  <c:v>44568</c:v>
                </c:pt>
                <c:pt idx="737">
                  <c:v>44574</c:v>
                </c:pt>
                <c:pt idx="738">
                  <c:v>44581</c:v>
                </c:pt>
                <c:pt idx="739">
                  <c:v>44588</c:v>
                </c:pt>
                <c:pt idx="740">
                  <c:v>44595</c:v>
                </c:pt>
                <c:pt idx="741">
                  <c:v>44602</c:v>
                </c:pt>
                <c:pt idx="742">
                  <c:v>44609</c:v>
                </c:pt>
                <c:pt idx="743">
                  <c:v>44616</c:v>
                </c:pt>
                <c:pt idx="744">
                  <c:v>44623</c:v>
                </c:pt>
                <c:pt idx="745">
                  <c:v>44630</c:v>
                </c:pt>
                <c:pt idx="746">
                  <c:v>44637</c:v>
                </c:pt>
                <c:pt idx="747">
                  <c:v>44644</c:v>
                </c:pt>
                <c:pt idx="748">
                  <c:v>44651</c:v>
                </c:pt>
                <c:pt idx="749">
                  <c:v>44658</c:v>
                </c:pt>
                <c:pt idx="750">
                  <c:v>44665</c:v>
                </c:pt>
                <c:pt idx="751">
                  <c:v>44672</c:v>
                </c:pt>
                <c:pt idx="752">
                  <c:v>44679</c:v>
                </c:pt>
                <c:pt idx="753">
                  <c:v>44686</c:v>
                </c:pt>
                <c:pt idx="754">
                  <c:v>44693</c:v>
                </c:pt>
                <c:pt idx="755">
                  <c:v>44700</c:v>
                </c:pt>
                <c:pt idx="756">
                  <c:v>44708</c:v>
                </c:pt>
                <c:pt idx="757">
                  <c:v>44714</c:v>
                </c:pt>
                <c:pt idx="758">
                  <c:v>44721</c:v>
                </c:pt>
                <c:pt idx="759">
                  <c:v>44728</c:v>
                </c:pt>
                <c:pt idx="760">
                  <c:v>44735</c:v>
                </c:pt>
                <c:pt idx="761">
                  <c:v>44742</c:v>
                </c:pt>
                <c:pt idx="762">
                  <c:v>44749</c:v>
                </c:pt>
                <c:pt idx="763">
                  <c:v>44756</c:v>
                </c:pt>
                <c:pt idx="764">
                  <c:v>44763</c:v>
                </c:pt>
                <c:pt idx="765">
                  <c:v>44770</c:v>
                </c:pt>
                <c:pt idx="766">
                  <c:v>44777</c:v>
                </c:pt>
                <c:pt idx="767">
                  <c:v>44784</c:v>
                </c:pt>
                <c:pt idx="768">
                  <c:v>44791</c:v>
                </c:pt>
                <c:pt idx="769">
                  <c:v>44798</c:v>
                </c:pt>
                <c:pt idx="770">
                  <c:v>44805</c:v>
                </c:pt>
                <c:pt idx="771">
                  <c:v>44812</c:v>
                </c:pt>
                <c:pt idx="772">
                  <c:v>44819</c:v>
                </c:pt>
                <c:pt idx="773">
                  <c:v>44826</c:v>
                </c:pt>
                <c:pt idx="774">
                  <c:v>44833</c:v>
                </c:pt>
                <c:pt idx="775">
                  <c:v>44840</c:v>
                </c:pt>
                <c:pt idx="776">
                  <c:v>44847</c:v>
                </c:pt>
                <c:pt idx="777">
                  <c:v>44854</c:v>
                </c:pt>
                <c:pt idx="778">
                  <c:v>44861</c:v>
                </c:pt>
                <c:pt idx="779">
                  <c:v>44868</c:v>
                </c:pt>
                <c:pt idx="780">
                  <c:v>44875</c:v>
                </c:pt>
                <c:pt idx="781">
                  <c:v>44882</c:v>
                </c:pt>
                <c:pt idx="782">
                  <c:v>44889</c:v>
                </c:pt>
                <c:pt idx="783">
                  <c:v>44896</c:v>
                </c:pt>
                <c:pt idx="784">
                  <c:v>44903</c:v>
                </c:pt>
                <c:pt idx="785">
                  <c:v>44910</c:v>
                </c:pt>
                <c:pt idx="786">
                  <c:v>44917</c:v>
                </c:pt>
                <c:pt idx="787">
                  <c:v>44924</c:v>
                </c:pt>
                <c:pt idx="788">
                  <c:v>44931</c:v>
                </c:pt>
                <c:pt idx="789">
                  <c:v>44938</c:v>
                </c:pt>
                <c:pt idx="790">
                  <c:v>44945</c:v>
                </c:pt>
                <c:pt idx="791">
                  <c:v>44952</c:v>
                </c:pt>
                <c:pt idx="792">
                  <c:v>44959</c:v>
                </c:pt>
                <c:pt idx="793">
                  <c:v>44966</c:v>
                </c:pt>
                <c:pt idx="794">
                  <c:v>44973</c:v>
                </c:pt>
                <c:pt idx="795">
                  <c:v>44980</c:v>
                </c:pt>
                <c:pt idx="796">
                  <c:v>44987</c:v>
                </c:pt>
                <c:pt idx="797">
                  <c:v>44994</c:v>
                </c:pt>
                <c:pt idx="798">
                  <c:v>45001</c:v>
                </c:pt>
                <c:pt idx="799">
                  <c:v>45008</c:v>
                </c:pt>
                <c:pt idx="800">
                  <c:v>45015</c:v>
                </c:pt>
                <c:pt idx="801">
                  <c:v>45022</c:v>
                </c:pt>
                <c:pt idx="802">
                  <c:v>45029</c:v>
                </c:pt>
                <c:pt idx="803">
                  <c:v>45036</c:v>
                </c:pt>
                <c:pt idx="804">
                  <c:v>45043</c:v>
                </c:pt>
                <c:pt idx="805">
                  <c:v>45050</c:v>
                </c:pt>
                <c:pt idx="806">
                  <c:v>45057</c:v>
                </c:pt>
                <c:pt idx="807">
                  <c:v>45065</c:v>
                </c:pt>
                <c:pt idx="808">
                  <c:v>45071</c:v>
                </c:pt>
                <c:pt idx="809">
                  <c:v>45078</c:v>
                </c:pt>
                <c:pt idx="810">
                  <c:v>45085</c:v>
                </c:pt>
                <c:pt idx="811">
                  <c:v>45092</c:v>
                </c:pt>
                <c:pt idx="812">
                  <c:v>45099</c:v>
                </c:pt>
                <c:pt idx="813">
                  <c:v>45106</c:v>
                </c:pt>
                <c:pt idx="814">
                  <c:v>45113</c:v>
                </c:pt>
                <c:pt idx="815">
                  <c:v>45120</c:v>
                </c:pt>
                <c:pt idx="816">
                  <c:v>45127</c:v>
                </c:pt>
                <c:pt idx="817">
                  <c:v>45134</c:v>
                </c:pt>
                <c:pt idx="818">
                  <c:v>45141</c:v>
                </c:pt>
                <c:pt idx="819">
                  <c:v>45148</c:v>
                </c:pt>
                <c:pt idx="820">
                  <c:v>45155</c:v>
                </c:pt>
                <c:pt idx="821">
                  <c:v>45162</c:v>
                </c:pt>
                <c:pt idx="822">
                  <c:v>45169</c:v>
                </c:pt>
                <c:pt idx="823">
                  <c:v>45176</c:v>
                </c:pt>
                <c:pt idx="824">
                  <c:v>45183</c:v>
                </c:pt>
                <c:pt idx="825">
                  <c:v>45190</c:v>
                </c:pt>
                <c:pt idx="826">
                  <c:v>45197</c:v>
                </c:pt>
                <c:pt idx="827">
                  <c:v>45204</c:v>
                </c:pt>
                <c:pt idx="828">
                  <c:v>45211</c:v>
                </c:pt>
                <c:pt idx="829">
                  <c:v>45218</c:v>
                </c:pt>
                <c:pt idx="830">
                  <c:v>45225</c:v>
                </c:pt>
                <c:pt idx="831">
                  <c:v>45232</c:v>
                </c:pt>
                <c:pt idx="832">
                  <c:v>45239</c:v>
                </c:pt>
                <c:pt idx="833">
                  <c:v>45246</c:v>
                </c:pt>
                <c:pt idx="834">
                  <c:v>45253</c:v>
                </c:pt>
                <c:pt idx="835">
                  <c:v>45260</c:v>
                </c:pt>
                <c:pt idx="836">
                  <c:v>45267</c:v>
                </c:pt>
                <c:pt idx="837">
                  <c:v>45274</c:v>
                </c:pt>
                <c:pt idx="838">
                  <c:v>45281</c:v>
                </c:pt>
                <c:pt idx="839">
                  <c:v>45289</c:v>
                </c:pt>
                <c:pt idx="840">
                  <c:v>45296</c:v>
                </c:pt>
                <c:pt idx="841">
                  <c:v>45303</c:v>
                </c:pt>
                <c:pt idx="842">
                  <c:v>45310</c:v>
                </c:pt>
                <c:pt idx="843">
                  <c:v>45317</c:v>
                </c:pt>
                <c:pt idx="844">
                  <c:v>45324</c:v>
                </c:pt>
                <c:pt idx="845">
                  <c:v>45331</c:v>
                </c:pt>
                <c:pt idx="846">
                  <c:v>45338</c:v>
                </c:pt>
                <c:pt idx="847">
                  <c:v>45345</c:v>
                </c:pt>
                <c:pt idx="848">
                  <c:v>45352</c:v>
                </c:pt>
                <c:pt idx="849">
                  <c:v>45359</c:v>
                </c:pt>
                <c:pt idx="850">
                  <c:v>45366</c:v>
                </c:pt>
                <c:pt idx="851">
                  <c:v>45373</c:v>
                </c:pt>
                <c:pt idx="852">
                  <c:v>45384</c:v>
                </c:pt>
                <c:pt idx="853">
                  <c:v>45387</c:v>
                </c:pt>
                <c:pt idx="854">
                  <c:v>45394</c:v>
                </c:pt>
                <c:pt idx="855">
                  <c:v>45401</c:v>
                </c:pt>
                <c:pt idx="856">
                  <c:v>45408</c:v>
                </c:pt>
                <c:pt idx="857">
                  <c:v>45418</c:v>
                </c:pt>
                <c:pt idx="858">
                  <c:v>45426</c:v>
                </c:pt>
                <c:pt idx="859">
                  <c:v>45434</c:v>
                </c:pt>
                <c:pt idx="860">
                  <c:v>45440</c:v>
                </c:pt>
                <c:pt idx="861">
                  <c:v>45447</c:v>
                </c:pt>
                <c:pt idx="862">
                  <c:v>45454</c:v>
                </c:pt>
                <c:pt idx="863">
                  <c:v>45461</c:v>
                </c:pt>
                <c:pt idx="864">
                  <c:v>45469</c:v>
                </c:pt>
                <c:pt idx="865">
                  <c:v>45476</c:v>
                </c:pt>
                <c:pt idx="866">
                  <c:v>45483</c:v>
                </c:pt>
                <c:pt idx="867">
                  <c:v>45490</c:v>
                </c:pt>
                <c:pt idx="868">
                  <c:v>45497</c:v>
                </c:pt>
                <c:pt idx="869">
                  <c:v>45504</c:v>
                </c:pt>
                <c:pt idx="870">
                  <c:v>45511</c:v>
                </c:pt>
                <c:pt idx="871">
                  <c:v>45518</c:v>
                </c:pt>
                <c:pt idx="872">
                  <c:v>45525</c:v>
                </c:pt>
                <c:pt idx="873">
                  <c:v>45532</c:v>
                </c:pt>
                <c:pt idx="874">
                  <c:v>45539</c:v>
                </c:pt>
                <c:pt idx="875">
                  <c:v>45546</c:v>
                </c:pt>
                <c:pt idx="876">
                  <c:v>45553</c:v>
                </c:pt>
                <c:pt idx="877">
                  <c:v>45560</c:v>
                </c:pt>
                <c:pt idx="878">
                  <c:v>45567</c:v>
                </c:pt>
                <c:pt idx="879">
                  <c:v>45574</c:v>
                </c:pt>
                <c:pt idx="880">
                  <c:v>45581</c:v>
                </c:pt>
                <c:pt idx="881">
                  <c:v>45588</c:v>
                </c:pt>
                <c:pt idx="882">
                  <c:v>45595</c:v>
                </c:pt>
                <c:pt idx="883">
                  <c:v>45602</c:v>
                </c:pt>
                <c:pt idx="884">
                  <c:v>45609</c:v>
                </c:pt>
                <c:pt idx="885">
                  <c:v>45616</c:v>
                </c:pt>
                <c:pt idx="886">
                  <c:v>45623</c:v>
                </c:pt>
                <c:pt idx="887">
                  <c:v>45630</c:v>
                </c:pt>
                <c:pt idx="888">
                  <c:v>45637</c:v>
                </c:pt>
                <c:pt idx="889">
                  <c:v>45644</c:v>
                </c:pt>
                <c:pt idx="890">
                  <c:v>45656</c:v>
                </c:pt>
                <c:pt idx="891">
                  <c:v>45660</c:v>
                </c:pt>
                <c:pt idx="892">
                  <c:v>45666</c:v>
                </c:pt>
                <c:pt idx="893">
                  <c:v>45673</c:v>
                </c:pt>
                <c:pt idx="894">
                  <c:v>45680</c:v>
                </c:pt>
                <c:pt idx="895">
                  <c:v>45687</c:v>
                </c:pt>
                <c:pt idx="896">
                  <c:v>45694</c:v>
                </c:pt>
                <c:pt idx="897">
                  <c:v>45701</c:v>
                </c:pt>
                <c:pt idx="898">
                  <c:v>45708</c:v>
                </c:pt>
                <c:pt idx="899">
                  <c:v>45715</c:v>
                </c:pt>
                <c:pt idx="900">
                  <c:v>45722</c:v>
                </c:pt>
                <c:pt idx="901">
                  <c:v>45729</c:v>
                </c:pt>
                <c:pt idx="902">
                  <c:v>45736</c:v>
                </c:pt>
                <c:pt idx="903">
                  <c:v>45743</c:v>
                </c:pt>
                <c:pt idx="904">
                  <c:v>45750</c:v>
                </c:pt>
                <c:pt idx="905">
                  <c:v>45757</c:v>
                </c:pt>
                <c:pt idx="906">
                  <c:v>45764</c:v>
                </c:pt>
                <c:pt idx="907">
                  <c:v>45771</c:v>
                </c:pt>
                <c:pt idx="908">
                  <c:v>45779</c:v>
                </c:pt>
                <c:pt idx="909">
                  <c:v>45785</c:v>
                </c:pt>
                <c:pt idx="910">
                  <c:v>45792</c:v>
                </c:pt>
                <c:pt idx="911">
                  <c:v>45799</c:v>
                </c:pt>
                <c:pt idx="912">
                  <c:v>45807</c:v>
                </c:pt>
                <c:pt idx="913">
                  <c:v>45813</c:v>
                </c:pt>
                <c:pt idx="914">
                  <c:v>45820</c:v>
                </c:pt>
                <c:pt idx="915">
                  <c:v>45827</c:v>
                </c:pt>
                <c:pt idx="916">
                  <c:v>45834</c:v>
                </c:pt>
                <c:pt idx="917">
                  <c:v>45841</c:v>
                </c:pt>
                <c:pt idx="918">
                  <c:v>45848</c:v>
                </c:pt>
                <c:pt idx="919">
                  <c:v>45855</c:v>
                </c:pt>
                <c:pt idx="920">
                  <c:v>45862</c:v>
                </c:pt>
                <c:pt idx="921">
                  <c:v>45869</c:v>
                </c:pt>
                <c:pt idx="922">
                  <c:v>45876</c:v>
                </c:pt>
                <c:pt idx="923">
                  <c:v>45883</c:v>
                </c:pt>
                <c:pt idx="924">
                  <c:v>45890</c:v>
                </c:pt>
                <c:pt idx="925">
                  <c:v>45897</c:v>
                </c:pt>
                <c:pt idx="926">
                  <c:v>45904</c:v>
                </c:pt>
                <c:pt idx="927">
                  <c:v>45911</c:v>
                </c:pt>
                <c:pt idx="928">
                  <c:v>45918</c:v>
                </c:pt>
                <c:pt idx="929">
                  <c:v>45925</c:v>
                </c:pt>
                <c:pt idx="930">
                  <c:v>45932</c:v>
                </c:pt>
                <c:pt idx="931">
                  <c:v>45939</c:v>
                </c:pt>
                <c:pt idx="932">
                  <c:v>45946</c:v>
                </c:pt>
                <c:pt idx="933">
                  <c:v>45953</c:v>
                </c:pt>
                <c:pt idx="934">
                  <c:v>45960</c:v>
                </c:pt>
                <c:pt idx="935">
                  <c:v>45967</c:v>
                </c:pt>
                <c:pt idx="936">
                  <c:v>45974</c:v>
                </c:pt>
                <c:pt idx="937">
                  <c:v>45981</c:v>
                </c:pt>
                <c:pt idx="938">
                  <c:v>45988</c:v>
                </c:pt>
                <c:pt idx="939">
                  <c:v>45995</c:v>
                </c:pt>
                <c:pt idx="940">
                  <c:v>46002</c:v>
                </c:pt>
                <c:pt idx="941">
                  <c:v>46009</c:v>
                </c:pt>
                <c:pt idx="942">
                  <c:v>46021</c:v>
                </c:pt>
                <c:pt idx="943">
                  <c:v>46027</c:v>
                </c:pt>
                <c:pt idx="944">
                  <c:v>46031</c:v>
                </c:pt>
                <c:pt idx="945">
                  <c:v>46038</c:v>
                </c:pt>
                <c:pt idx="946">
                  <c:v>46045</c:v>
                </c:pt>
                <c:pt idx="947">
                  <c:v>46052</c:v>
                </c:pt>
                <c:pt idx="948">
                  <c:v>46059</c:v>
                </c:pt>
                <c:pt idx="949">
                  <c:v>46066</c:v>
                </c:pt>
                <c:pt idx="950">
                  <c:v>46073</c:v>
                </c:pt>
                <c:pt idx="951">
                  <c:v>46080</c:v>
                </c:pt>
                <c:pt idx="952">
                  <c:v>46087</c:v>
                </c:pt>
                <c:pt idx="953">
                  <c:v>46094</c:v>
                </c:pt>
                <c:pt idx="954">
                  <c:v>46101</c:v>
                </c:pt>
                <c:pt idx="955">
                  <c:v>46108</c:v>
                </c:pt>
                <c:pt idx="956">
                  <c:v>46119</c:v>
                </c:pt>
                <c:pt idx="957">
                  <c:v>46122</c:v>
                </c:pt>
                <c:pt idx="958">
                  <c:v>46129</c:v>
                </c:pt>
                <c:pt idx="959">
                  <c:v>46136</c:v>
                </c:pt>
                <c:pt idx="960">
                  <c:v>46146</c:v>
                </c:pt>
                <c:pt idx="961">
                  <c:v>46150</c:v>
                </c:pt>
                <c:pt idx="962">
                  <c:v>46160</c:v>
                </c:pt>
                <c:pt idx="963">
                  <c:v>46164</c:v>
                </c:pt>
                <c:pt idx="964">
                  <c:v>46171</c:v>
                </c:pt>
                <c:pt idx="965">
                  <c:v>46178</c:v>
                </c:pt>
                <c:pt idx="966">
                  <c:v>46185</c:v>
                </c:pt>
                <c:pt idx="967">
                  <c:v>46195</c:v>
                </c:pt>
                <c:pt idx="968">
                  <c:v>46199</c:v>
                </c:pt>
                <c:pt idx="969">
                  <c:v>46206</c:v>
                </c:pt>
                <c:pt idx="970">
                  <c:v>46213</c:v>
                </c:pt>
                <c:pt idx="971">
                  <c:v>46220</c:v>
                </c:pt>
                <c:pt idx="972">
                  <c:v>46227</c:v>
                </c:pt>
                <c:pt idx="973">
                  <c:v>46234</c:v>
                </c:pt>
                <c:pt idx="974">
                  <c:v>46241</c:v>
                </c:pt>
                <c:pt idx="975">
                  <c:v>46248</c:v>
                </c:pt>
                <c:pt idx="976">
                  <c:v>46255</c:v>
                </c:pt>
                <c:pt idx="977">
                  <c:v>46262</c:v>
                </c:pt>
                <c:pt idx="978">
                  <c:v>46269</c:v>
                </c:pt>
                <c:pt idx="979">
                  <c:v>46276</c:v>
                </c:pt>
                <c:pt idx="980">
                  <c:v>46283</c:v>
                </c:pt>
                <c:pt idx="981">
                  <c:v>46290</c:v>
                </c:pt>
                <c:pt idx="982">
                  <c:v>46297</c:v>
                </c:pt>
                <c:pt idx="983">
                  <c:v>46304</c:v>
                </c:pt>
                <c:pt idx="984">
                  <c:v>46311</c:v>
                </c:pt>
                <c:pt idx="985">
                  <c:v>46318</c:v>
                </c:pt>
                <c:pt idx="986">
                  <c:v>46325</c:v>
                </c:pt>
                <c:pt idx="987">
                  <c:v>46332</c:v>
                </c:pt>
                <c:pt idx="988">
                  <c:v>46339</c:v>
                </c:pt>
                <c:pt idx="989">
                  <c:v>46346</c:v>
                </c:pt>
                <c:pt idx="990">
                  <c:v>46353</c:v>
                </c:pt>
                <c:pt idx="991">
                  <c:v>46360</c:v>
                </c:pt>
                <c:pt idx="992">
                  <c:v>46367</c:v>
                </c:pt>
                <c:pt idx="993">
                  <c:v>46374</c:v>
                </c:pt>
                <c:pt idx="994">
                  <c:v>46385</c:v>
                </c:pt>
                <c:pt idx="995">
                  <c:v>46392</c:v>
                </c:pt>
                <c:pt idx="996">
                  <c:v>46398</c:v>
                </c:pt>
                <c:pt idx="997">
                  <c:v>46405</c:v>
                </c:pt>
                <c:pt idx="998">
                  <c:v>46412</c:v>
                </c:pt>
                <c:pt idx="999">
                  <c:v>46419</c:v>
                </c:pt>
                <c:pt idx="1000">
                  <c:v>46426</c:v>
                </c:pt>
                <c:pt idx="1001">
                  <c:v>46433</c:v>
                </c:pt>
                <c:pt idx="1002">
                  <c:v>46440</c:v>
                </c:pt>
                <c:pt idx="1003">
                  <c:v>46447</c:v>
                </c:pt>
                <c:pt idx="1004">
                  <c:v>46454</c:v>
                </c:pt>
                <c:pt idx="1005">
                  <c:v>46461</c:v>
                </c:pt>
                <c:pt idx="1006">
                  <c:v>46468</c:v>
                </c:pt>
                <c:pt idx="1007">
                  <c:v>46477</c:v>
                </c:pt>
                <c:pt idx="1008">
                  <c:v>46482</c:v>
                </c:pt>
                <c:pt idx="1009">
                  <c:v>46489</c:v>
                </c:pt>
                <c:pt idx="1010">
                  <c:v>46496</c:v>
                </c:pt>
                <c:pt idx="1011">
                  <c:v>46503</c:v>
                </c:pt>
                <c:pt idx="1012">
                  <c:v>46510</c:v>
                </c:pt>
                <c:pt idx="1013">
                  <c:v>46518</c:v>
                </c:pt>
                <c:pt idx="1014">
                  <c:v>46526</c:v>
                </c:pt>
                <c:pt idx="1015">
                  <c:v>46532</c:v>
                </c:pt>
                <c:pt idx="1016">
                  <c:v>46539</c:v>
                </c:pt>
                <c:pt idx="1017">
                  <c:v>46546</c:v>
                </c:pt>
                <c:pt idx="1018">
                  <c:v>46553</c:v>
                </c:pt>
                <c:pt idx="1019">
                  <c:v>46560</c:v>
                </c:pt>
                <c:pt idx="1020">
                  <c:v>46568</c:v>
                </c:pt>
                <c:pt idx="1021">
                  <c:v>46575</c:v>
                </c:pt>
                <c:pt idx="1022">
                  <c:v>46582</c:v>
                </c:pt>
                <c:pt idx="1023">
                  <c:v>46589</c:v>
                </c:pt>
                <c:pt idx="1024">
                  <c:v>46596</c:v>
                </c:pt>
                <c:pt idx="1025">
                  <c:v>46603</c:v>
                </c:pt>
                <c:pt idx="1026">
                  <c:v>46610</c:v>
                </c:pt>
                <c:pt idx="1027">
                  <c:v>46617</c:v>
                </c:pt>
                <c:pt idx="1028">
                  <c:v>46624</c:v>
                </c:pt>
                <c:pt idx="1029">
                  <c:v>46631</c:v>
                </c:pt>
                <c:pt idx="1030">
                  <c:v>46638</c:v>
                </c:pt>
                <c:pt idx="1031">
                  <c:v>46645</c:v>
                </c:pt>
                <c:pt idx="1032">
                  <c:v>46652</c:v>
                </c:pt>
                <c:pt idx="1033">
                  <c:v>46659</c:v>
                </c:pt>
                <c:pt idx="1034">
                  <c:v>46666</c:v>
                </c:pt>
                <c:pt idx="1035">
                  <c:v>46673</c:v>
                </c:pt>
                <c:pt idx="1036">
                  <c:v>46680</c:v>
                </c:pt>
                <c:pt idx="1037">
                  <c:v>46687</c:v>
                </c:pt>
                <c:pt idx="1038">
                  <c:v>46694</c:v>
                </c:pt>
                <c:pt idx="1039">
                  <c:v>46701</c:v>
                </c:pt>
                <c:pt idx="1040">
                  <c:v>46708</c:v>
                </c:pt>
                <c:pt idx="1041">
                  <c:v>46715</c:v>
                </c:pt>
                <c:pt idx="1042">
                  <c:v>46722</c:v>
                </c:pt>
                <c:pt idx="1043">
                  <c:v>46729</c:v>
                </c:pt>
                <c:pt idx="1044">
                  <c:v>46736</c:v>
                </c:pt>
                <c:pt idx="1045">
                  <c:v>46743</c:v>
                </c:pt>
                <c:pt idx="1046">
                  <c:v>46750</c:v>
                </c:pt>
                <c:pt idx="1047">
                  <c:v>46757</c:v>
                </c:pt>
                <c:pt idx="1048">
                  <c:v>46764</c:v>
                </c:pt>
                <c:pt idx="1049">
                  <c:v>46771</c:v>
                </c:pt>
                <c:pt idx="1050">
                  <c:v>46778</c:v>
                </c:pt>
                <c:pt idx="1051">
                  <c:v>46785</c:v>
                </c:pt>
                <c:pt idx="1052">
                  <c:v>46792</c:v>
                </c:pt>
                <c:pt idx="1053">
                  <c:v>46799</c:v>
                </c:pt>
                <c:pt idx="1054">
                  <c:v>46806</c:v>
                </c:pt>
                <c:pt idx="1055">
                  <c:v>46813</c:v>
                </c:pt>
                <c:pt idx="1056">
                  <c:v>46820</c:v>
                </c:pt>
                <c:pt idx="1057">
                  <c:v>46827</c:v>
                </c:pt>
                <c:pt idx="1058">
                  <c:v>46834</c:v>
                </c:pt>
                <c:pt idx="1059">
                  <c:v>46841</c:v>
                </c:pt>
                <c:pt idx="1060">
                  <c:v>46848</c:v>
                </c:pt>
                <c:pt idx="1061">
                  <c:v>46855</c:v>
                </c:pt>
                <c:pt idx="1062">
                  <c:v>46863</c:v>
                </c:pt>
                <c:pt idx="1063">
                  <c:v>46870</c:v>
                </c:pt>
                <c:pt idx="1064">
                  <c:v>46877</c:v>
                </c:pt>
                <c:pt idx="1065">
                  <c:v>46884</c:v>
                </c:pt>
                <c:pt idx="1066">
                  <c:v>46891</c:v>
                </c:pt>
                <c:pt idx="1067">
                  <c:v>46899</c:v>
                </c:pt>
                <c:pt idx="1068">
                  <c:v>46905</c:v>
                </c:pt>
                <c:pt idx="1069">
                  <c:v>46912</c:v>
                </c:pt>
                <c:pt idx="1070">
                  <c:v>46919</c:v>
                </c:pt>
                <c:pt idx="1071">
                  <c:v>46926</c:v>
                </c:pt>
                <c:pt idx="1072">
                  <c:v>46933</c:v>
                </c:pt>
                <c:pt idx="1073">
                  <c:v>46940</c:v>
                </c:pt>
                <c:pt idx="1074">
                  <c:v>46947</c:v>
                </c:pt>
                <c:pt idx="1075">
                  <c:v>46954</c:v>
                </c:pt>
                <c:pt idx="1076">
                  <c:v>46961</c:v>
                </c:pt>
                <c:pt idx="1077">
                  <c:v>46968</c:v>
                </c:pt>
                <c:pt idx="1078">
                  <c:v>46975</c:v>
                </c:pt>
                <c:pt idx="1079">
                  <c:v>46982</c:v>
                </c:pt>
                <c:pt idx="1080">
                  <c:v>46989</c:v>
                </c:pt>
                <c:pt idx="1081">
                  <c:v>46996</c:v>
                </c:pt>
                <c:pt idx="1082">
                  <c:v>47003</c:v>
                </c:pt>
                <c:pt idx="1083">
                  <c:v>47010</c:v>
                </c:pt>
                <c:pt idx="1084">
                  <c:v>47017</c:v>
                </c:pt>
                <c:pt idx="1085">
                  <c:v>47024</c:v>
                </c:pt>
                <c:pt idx="1086">
                  <c:v>47031</c:v>
                </c:pt>
                <c:pt idx="1087">
                  <c:v>47038</c:v>
                </c:pt>
                <c:pt idx="1088">
                  <c:v>47045</c:v>
                </c:pt>
                <c:pt idx="1089">
                  <c:v>47052</c:v>
                </c:pt>
                <c:pt idx="1090">
                  <c:v>47059</c:v>
                </c:pt>
                <c:pt idx="1091">
                  <c:v>47066</c:v>
                </c:pt>
                <c:pt idx="1092">
                  <c:v>47073</c:v>
                </c:pt>
                <c:pt idx="1093">
                  <c:v>47080</c:v>
                </c:pt>
                <c:pt idx="1094">
                  <c:v>47087</c:v>
                </c:pt>
                <c:pt idx="1095">
                  <c:v>47094</c:v>
                </c:pt>
                <c:pt idx="1096">
                  <c:v>47101</c:v>
                </c:pt>
                <c:pt idx="1097">
                  <c:v>47108</c:v>
                </c:pt>
                <c:pt idx="1098">
                  <c:v>47116</c:v>
                </c:pt>
                <c:pt idx="1099">
                  <c:v>47123</c:v>
                </c:pt>
                <c:pt idx="1100">
                  <c:v>47130</c:v>
                </c:pt>
                <c:pt idx="1101">
                  <c:v>47137</c:v>
                </c:pt>
                <c:pt idx="1102">
                  <c:v>47144</c:v>
                </c:pt>
                <c:pt idx="1103">
                  <c:v>47151</c:v>
                </c:pt>
                <c:pt idx="1104">
                  <c:v>47158</c:v>
                </c:pt>
                <c:pt idx="1105">
                  <c:v>47165</c:v>
                </c:pt>
                <c:pt idx="1106">
                  <c:v>47172</c:v>
                </c:pt>
                <c:pt idx="1107">
                  <c:v>47179</c:v>
                </c:pt>
                <c:pt idx="1108">
                  <c:v>47186</c:v>
                </c:pt>
                <c:pt idx="1109">
                  <c:v>47193</c:v>
                </c:pt>
                <c:pt idx="1110">
                  <c:v>47200</c:v>
                </c:pt>
                <c:pt idx="1111">
                  <c:v>47211</c:v>
                </c:pt>
                <c:pt idx="1112">
                  <c:v>47214</c:v>
                </c:pt>
                <c:pt idx="1113">
                  <c:v>47221</c:v>
                </c:pt>
                <c:pt idx="1114">
                  <c:v>47228</c:v>
                </c:pt>
                <c:pt idx="1115">
                  <c:v>47235</c:v>
                </c:pt>
                <c:pt idx="1116">
                  <c:v>47242</c:v>
                </c:pt>
                <c:pt idx="1117">
                  <c:v>47252</c:v>
                </c:pt>
                <c:pt idx="1118">
                  <c:v>47256</c:v>
                </c:pt>
                <c:pt idx="1119">
                  <c:v>47263</c:v>
                </c:pt>
                <c:pt idx="1120">
                  <c:v>47270</c:v>
                </c:pt>
                <c:pt idx="1121">
                  <c:v>47277</c:v>
                </c:pt>
                <c:pt idx="1122">
                  <c:v>47284</c:v>
                </c:pt>
                <c:pt idx="1123">
                  <c:v>47294</c:v>
                </c:pt>
                <c:pt idx="1124">
                  <c:v>47298</c:v>
                </c:pt>
                <c:pt idx="1125">
                  <c:v>47305</c:v>
                </c:pt>
                <c:pt idx="1126">
                  <c:v>47312</c:v>
                </c:pt>
                <c:pt idx="1127">
                  <c:v>47319</c:v>
                </c:pt>
                <c:pt idx="1128">
                  <c:v>47326</c:v>
                </c:pt>
                <c:pt idx="1129">
                  <c:v>47333</c:v>
                </c:pt>
                <c:pt idx="1130">
                  <c:v>47340</c:v>
                </c:pt>
                <c:pt idx="1131">
                  <c:v>47347</c:v>
                </c:pt>
                <c:pt idx="1132">
                  <c:v>47354</c:v>
                </c:pt>
                <c:pt idx="1133">
                  <c:v>47361</c:v>
                </c:pt>
                <c:pt idx="1134">
                  <c:v>47368</c:v>
                </c:pt>
                <c:pt idx="1135">
                  <c:v>47375</c:v>
                </c:pt>
                <c:pt idx="1136">
                  <c:v>47382</c:v>
                </c:pt>
                <c:pt idx="1137">
                  <c:v>47389</c:v>
                </c:pt>
                <c:pt idx="1138">
                  <c:v>47396</c:v>
                </c:pt>
                <c:pt idx="1139">
                  <c:v>47403</c:v>
                </c:pt>
                <c:pt idx="1140">
                  <c:v>47410</c:v>
                </c:pt>
                <c:pt idx="1141">
                  <c:v>47417</c:v>
                </c:pt>
                <c:pt idx="1142">
                  <c:v>47424</c:v>
                </c:pt>
                <c:pt idx="1143">
                  <c:v>47431</c:v>
                </c:pt>
                <c:pt idx="1144">
                  <c:v>47438</c:v>
                </c:pt>
                <c:pt idx="1145">
                  <c:v>47445</c:v>
                </c:pt>
                <c:pt idx="1146">
                  <c:v>47452</c:v>
                </c:pt>
                <c:pt idx="1147">
                  <c:v>47459</c:v>
                </c:pt>
                <c:pt idx="1148">
                  <c:v>47466</c:v>
                </c:pt>
                <c:pt idx="1149">
                  <c:v>47473</c:v>
                </c:pt>
                <c:pt idx="1150">
                  <c:v>47485</c:v>
                </c:pt>
                <c:pt idx="1151">
                  <c:v>47490</c:v>
                </c:pt>
                <c:pt idx="1152">
                  <c:v>47497</c:v>
                </c:pt>
                <c:pt idx="1153">
                  <c:v>47504</c:v>
                </c:pt>
                <c:pt idx="1154">
                  <c:v>47511</c:v>
                </c:pt>
                <c:pt idx="1155">
                  <c:v>47518</c:v>
                </c:pt>
                <c:pt idx="1156">
                  <c:v>47525</c:v>
                </c:pt>
                <c:pt idx="1157">
                  <c:v>47532</c:v>
                </c:pt>
                <c:pt idx="1158">
                  <c:v>47539</c:v>
                </c:pt>
                <c:pt idx="1159">
                  <c:v>47546</c:v>
                </c:pt>
                <c:pt idx="1160">
                  <c:v>47553</c:v>
                </c:pt>
                <c:pt idx="1161">
                  <c:v>47560</c:v>
                </c:pt>
                <c:pt idx="1162">
                  <c:v>47567</c:v>
                </c:pt>
                <c:pt idx="1163">
                  <c:v>47574</c:v>
                </c:pt>
                <c:pt idx="1164">
                  <c:v>47581</c:v>
                </c:pt>
                <c:pt idx="1165">
                  <c:v>47588</c:v>
                </c:pt>
                <c:pt idx="1166">
                  <c:v>47597</c:v>
                </c:pt>
                <c:pt idx="1167">
                  <c:v>47602</c:v>
                </c:pt>
                <c:pt idx="1168">
                  <c:v>47609</c:v>
                </c:pt>
                <c:pt idx="1169">
                  <c:v>47616</c:v>
                </c:pt>
                <c:pt idx="1170">
                  <c:v>47623</c:v>
                </c:pt>
                <c:pt idx="1171">
                  <c:v>47630</c:v>
                </c:pt>
                <c:pt idx="1172">
                  <c:v>47638</c:v>
                </c:pt>
                <c:pt idx="1173">
                  <c:v>47646</c:v>
                </c:pt>
                <c:pt idx="1174">
                  <c:v>47652</c:v>
                </c:pt>
                <c:pt idx="1175">
                  <c:v>47660</c:v>
                </c:pt>
                <c:pt idx="1176">
                  <c:v>47667</c:v>
                </c:pt>
                <c:pt idx="1177">
                  <c:v>47674</c:v>
                </c:pt>
                <c:pt idx="1178">
                  <c:v>47681</c:v>
                </c:pt>
                <c:pt idx="1179">
                  <c:v>47688</c:v>
                </c:pt>
                <c:pt idx="1180">
                  <c:v>47695</c:v>
                </c:pt>
                <c:pt idx="1181">
                  <c:v>47702</c:v>
                </c:pt>
                <c:pt idx="1182">
                  <c:v>47709</c:v>
                </c:pt>
                <c:pt idx="1183">
                  <c:v>47716</c:v>
                </c:pt>
                <c:pt idx="1184">
                  <c:v>47723</c:v>
                </c:pt>
                <c:pt idx="1185">
                  <c:v>47730</c:v>
                </c:pt>
                <c:pt idx="1186">
                  <c:v>47737</c:v>
                </c:pt>
                <c:pt idx="1187">
                  <c:v>47744</c:v>
                </c:pt>
                <c:pt idx="1188">
                  <c:v>47751</c:v>
                </c:pt>
                <c:pt idx="1189">
                  <c:v>47758</c:v>
                </c:pt>
                <c:pt idx="1190">
                  <c:v>47765</c:v>
                </c:pt>
                <c:pt idx="1191">
                  <c:v>47772</c:v>
                </c:pt>
                <c:pt idx="1192">
                  <c:v>47779</c:v>
                </c:pt>
                <c:pt idx="1193">
                  <c:v>47786</c:v>
                </c:pt>
                <c:pt idx="1194">
                  <c:v>47793</c:v>
                </c:pt>
                <c:pt idx="1195">
                  <c:v>47800</c:v>
                </c:pt>
                <c:pt idx="1196">
                  <c:v>47807</c:v>
                </c:pt>
                <c:pt idx="1197">
                  <c:v>47814</c:v>
                </c:pt>
                <c:pt idx="1198">
                  <c:v>47821</c:v>
                </c:pt>
                <c:pt idx="1199">
                  <c:v>47828</c:v>
                </c:pt>
                <c:pt idx="1200">
                  <c:v>47835</c:v>
                </c:pt>
                <c:pt idx="1201">
                  <c:v>47847</c:v>
                </c:pt>
                <c:pt idx="1202">
                  <c:v>47851</c:v>
                </c:pt>
                <c:pt idx="1203">
                  <c:v>47857</c:v>
                </c:pt>
                <c:pt idx="1204">
                  <c:v>47864</c:v>
                </c:pt>
                <c:pt idx="1205">
                  <c:v>47871</c:v>
                </c:pt>
                <c:pt idx="1206">
                  <c:v>47878</c:v>
                </c:pt>
                <c:pt idx="1207">
                  <c:v>47885</c:v>
                </c:pt>
                <c:pt idx="1208">
                  <c:v>47892</c:v>
                </c:pt>
                <c:pt idx="1209">
                  <c:v>47899</c:v>
                </c:pt>
                <c:pt idx="1210">
                  <c:v>47906</c:v>
                </c:pt>
                <c:pt idx="1211">
                  <c:v>47913</c:v>
                </c:pt>
                <c:pt idx="1212">
                  <c:v>47920</c:v>
                </c:pt>
                <c:pt idx="1213">
                  <c:v>47927</c:v>
                </c:pt>
                <c:pt idx="1214">
                  <c:v>47934</c:v>
                </c:pt>
                <c:pt idx="1215">
                  <c:v>47941</c:v>
                </c:pt>
                <c:pt idx="1216">
                  <c:v>47948</c:v>
                </c:pt>
                <c:pt idx="1217">
                  <c:v>47955</c:v>
                </c:pt>
                <c:pt idx="1218">
                  <c:v>47962</c:v>
                </c:pt>
                <c:pt idx="1219">
                  <c:v>47970</c:v>
                </c:pt>
                <c:pt idx="1220">
                  <c:v>47976</c:v>
                </c:pt>
                <c:pt idx="1221">
                  <c:v>47983</c:v>
                </c:pt>
                <c:pt idx="1222">
                  <c:v>47991</c:v>
                </c:pt>
                <c:pt idx="1223">
                  <c:v>47997</c:v>
                </c:pt>
                <c:pt idx="1224">
                  <c:v>48004</c:v>
                </c:pt>
                <c:pt idx="1225">
                  <c:v>48011</c:v>
                </c:pt>
                <c:pt idx="1226">
                  <c:v>48018</c:v>
                </c:pt>
                <c:pt idx="1227">
                  <c:v>48025</c:v>
                </c:pt>
                <c:pt idx="1228">
                  <c:v>48032</c:v>
                </c:pt>
                <c:pt idx="1229">
                  <c:v>48039</c:v>
                </c:pt>
                <c:pt idx="1230">
                  <c:v>48046</c:v>
                </c:pt>
                <c:pt idx="1231">
                  <c:v>48053</c:v>
                </c:pt>
                <c:pt idx="1232">
                  <c:v>48060</c:v>
                </c:pt>
                <c:pt idx="1233">
                  <c:v>48067</c:v>
                </c:pt>
                <c:pt idx="1234">
                  <c:v>48074</c:v>
                </c:pt>
                <c:pt idx="1235">
                  <c:v>48081</c:v>
                </c:pt>
                <c:pt idx="1236">
                  <c:v>48088</c:v>
                </c:pt>
                <c:pt idx="1237">
                  <c:v>48095</c:v>
                </c:pt>
                <c:pt idx="1238">
                  <c:v>48102</c:v>
                </c:pt>
                <c:pt idx="1239">
                  <c:v>48109</c:v>
                </c:pt>
                <c:pt idx="1240">
                  <c:v>48116</c:v>
                </c:pt>
                <c:pt idx="1241">
                  <c:v>48123</c:v>
                </c:pt>
                <c:pt idx="1242">
                  <c:v>48130</c:v>
                </c:pt>
                <c:pt idx="1243">
                  <c:v>48137</c:v>
                </c:pt>
                <c:pt idx="1244">
                  <c:v>48144</c:v>
                </c:pt>
                <c:pt idx="1245">
                  <c:v>48151</c:v>
                </c:pt>
                <c:pt idx="1246">
                  <c:v>48158</c:v>
                </c:pt>
                <c:pt idx="1247">
                  <c:v>48165</c:v>
                </c:pt>
                <c:pt idx="1248">
                  <c:v>48172</c:v>
                </c:pt>
                <c:pt idx="1249">
                  <c:v>48179</c:v>
                </c:pt>
                <c:pt idx="1250">
                  <c:v>48186</c:v>
                </c:pt>
                <c:pt idx="1251">
                  <c:v>48193</c:v>
                </c:pt>
                <c:pt idx="1252">
                  <c:v>48200</c:v>
                </c:pt>
                <c:pt idx="1253">
                  <c:v>48212</c:v>
                </c:pt>
                <c:pt idx="1254">
                  <c:v>48218</c:v>
                </c:pt>
                <c:pt idx="1255">
                  <c:v>48222</c:v>
                </c:pt>
                <c:pt idx="1256">
                  <c:v>48229</c:v>
                </c:pt>
                <c:pt idx="1257">
                  <c:v>48236</c:v>
                </c:pt>
                <c:pt idx="1258">
                  <c:v>48243</c:v>
                </c:pt>
                <c:pt idx="1259">
                  <c:v>48250</c:v>
                </c:pt>
                <c:pt idx="1260">
                  <c:v>48257</c:v>
                </c:pt>
                <c:pt idx="1261">
                  <c:v>48264</c:v>
                </c:pt>
                <c:pt idx="1262">
                  <c:v>48271</c:v>
                </c:pt>
                <c:pt idx="1263">
                  <c:v>48278</c:v>
                </c:pt>
                <c:pt idx="1264">
                  <c:v>48285</c:v>
                </c:pt>
                <c:pt idx="1265">
                  <c:v>48292</c:v>
                </c:pt>
                <c:pt idx="1266">
                  <c:v>48303</c:v>
                </c:pt>
                <c:pt idx="1267">
                  <c:v>48306</c:v>
                </c:pt>
                <c:pt idx="1268">
                  <c:v>48313</c:v>
                </c:pt>
                <c:pt idx="1269">
                  <c:v>48320</c:v>
                </c:pt>
                <c:pt idx="1270">
                  <c:v>48327</c:v>
                </c:pt>
                <c:pt idx="1271">
                  <c:v>48334</c:v>
                </c:pt>
                <c:pt idx="1272">
                  <c:v>48344</c:v>
                </c:pt>
                <c:pt idx="1273">
                  <c:v>48348</c:v>
                </c:pt>
                <c:pt idx="1274">
                  <c:v>48355</c:v>
                </c:pt>
                <c:pt idx="1275">
                  <c:v>48362</c:v>
                </c:pt>
                <c:pt idx="1276">
                  <c:v>48369</c:v>
                </c:pt>
                <c:pt idx="1277">
                  <c:v>48376</c:v>
                </c:pt>
                <c:pt idx="1278">
                  <c:v>48383</c:v>
                </c:pt>
                <c:pt idx="1279">
                  <c:v>48393</c:v>
                </c:pt>
                <c:pt idx="1280">
                  <c:v>48397</c:v>
                </c:pt>
                <c:pt idx="1281">
                  <c:v>48404</c:v>
                </c:pt>
                <c:pt idx="1282">
                  <c:v>48411</c:v>
                </c:pt>
                <c:pt idx="1283">
                  <c:v>48418</c:v>
                </c:pt>
                <c:pt idx="1284">
                  <c:v>48425</c:v>
                </c:pt>
                <c:pt idx="1285">
                  <c:v>48432</c:v>
                </c:pt>
                <c:pt idx="1286">
                  <c:v>48439</c:v>
                </c:pt>
                <c:pt idx="1287">
                  <c:v>48446</c:v>
                </c:pt>
                <c:pt idx="1288">
                  <c:v>48453</c:v>
                </c:pt>
                <c:pt idx="1289">
                  <c:v>48460</c:v>
                </c:pt>
                <c:pt idx="1290">
                  <c:v>48467</c:v>
                </c:pt>
                <c:pt idx="1291">
                  <c:v>48474</c:v>
                </c:pt>
                <c:pt idx="1292">
                  <c:v>48481</c:v>
                </c:pt>
                <c:pt idx="1293">
                  <c:v>48488</c:v>
                </c:pt>
                <c:pt idx="1294">
                  <c:v>48495</c:v>
                </c:pt>
                <c:pt idx="1295">
                  <c:v>48502</c:v>
                </c:pt>
                <c:pt idx="1296">
                  <c:v>48509</c:v>
                </c:pt>
                <c:pt idx="1297">
                  <c:v>48516</c:v>
                </c:pt>
                <c:pt idx="1298">
                  <c:v>48523</c:v>
                </c:pt>
                <c:pt idx="1299">
                  <c:v>48530</c:v>
                </c:pt>
                <c:pt idx="1300">
                  <c:v>48537</c:v>
                </c:pt>
                <c:pt idx="1301">
                  <c:v>48544</c:v>
                </c:pt>
                <c:pt idx="1302">
                  <c:v>48551</c:v>
                </c:pt>
                <c:pt idx="1303">
                  <c:v>48558</c:v>
                </c:pt>
                <c:pt idx="1304">
                  <c:v>48565</c:v>
                </c:pt>
                <c:pt idx="1305">
                  <c:v>48575</c:v>
                </c:pt>
                <c:pt idx="1306">
                  <c:v>48582</c:v>
                </c:pt>
                <c:pt idx="1307">
                  <c:v>48589</c:v>
                </c:pt>
                <c:pt idx="1308">
                  <c:v>48593</c:v>
                </c:pt>
                <c:pt idx="1309">
                  <c:v>48600</c:v>
                </c:pt>
                <c:pt idx="1310">
                  <c:v>48607</c:v>
                </c:pt>
                <c:pt idx="1311">
                  <c:v>48614</c:v>
                </c:pt>
                <c:pt idx="1312">
                  <c:v>48621</c:v>
                </c:pt>
                <c:pt idx="1313">
                  <c:v>48628</c:v>
                </c:pt>
                <c:pt idx="1314">
                  <c:v>48635</c:v>
                </c:pt>
                <c:pt idx="1315">
                  <c:v>48642</c:v>
                </c:pt>
                <c:pt idx="1316">
                  <c:v>48649</c:v>
                </c:pt>
                <c:pt idx="1317">
                  <c:v>48656</c:v>
                </c:pt>
                <c:pt idx="1318">
                  <c:v>48663</c:v>
                </c:pt>
                <c:pt idx="1319">
                  <c:v>48670</c:v>
                </c:pt>
                <c:pt idx="1320">
                  <c:v>48677</c:v>
                </c:pt>
                <c:pt idx="1321">
                  <c:v>48688</c:v>
                </c:pt>
                <c:pt idx="1322">
                  <c:v>48691</c:v>
                </c:pt>
                <c:pt idx="1323">
                  <c:v>48698</c:v>
                </c:pt>
                <c:pt idx="1324">
                  <c:v>48705</c:v>
                </c:pt>
                <c:pt idx="1325">
                  <c:v>48712</c:v>
                </c:pt>
                <c:pt idx="1326">
                  <c:v>48719</c:v>
                </c:pt>
                <c:pt idx="1327">
                  <c:v>48729</c:v>
                </c:pt>
                <c:pt idx="1328">
                  <c:v>48733</c:v>
                </c:pt>
                <c:pt idx="1329">
                  <c:v>48740</c:v>
                </c:pt>
                <c:pt idx="1330">
                  <c:v>48747</c:v>
                </c:pt>
                <c:pt idx="1331">
                  <c:v>48757</c:v>
                </c:pt>
                <c:pt idx="1332">
                  <c:v>48761</c:v>
                </c:pt>
                <c:pt idx="1333">
                  <c:v>48768</c:v>
                </c:pt>
                <c:pt idx="1334">
                  <c:v>48775</c:v>
                </c:pt>
                <c:pt idx="1335">
                  <c:v>48782</c:v>
                </c:pt>
                <c:pt idx="1336">
                  <c:v>48789</c:v>
                </c:pt>
                <c:pt idx="1337">
                  <c:v>48796</c:v>
                </c:pt>
                <c:pt idx="1338">
                  <c:v>48803</c:v>
                </c:pt>
                <c:pt idx="1339">
                  <c:v>48810</c:v>
                </c:pt>
                <c:pt idx="1340">
                  <c:v>48817</c:v>
                </c:pt>
                <c:pt idx="1341">
                  <c:v>48824</c:v>
                </c:pt>
                <c:pt idx="1342">
                  <c:v>48831</c:v>
                </c:pt>
                <c:pt idx="1343">
                  <c:v>48838</c:v>
                </c:pt>
                <c:pt idx="1344">
                  <c:v>48845</c:v>
                </c:pt>
                <c:pt idx="1345">
                  <c:v>48852</c:v>
                </c:pt>
                <c:pt idx="1346">
                  <c:v>48859</c:v>
                </c:pt>
                <c:pt idx="1347">
                  <c:v>48866</c:v>
                </c:pt>
                <c:pt idx="1348">
                  <c:v>48873</c:v>
                </c:pt>
                <c:pt idx="1349">
                  <c:v>48880</c:v>
                </c:pt>
                <c:pt idx="1350">
                  <c:v>48887</c:v>
                </c:pt>
                <c:pt idx="1351">
                  <c:v>48894</c:v>
                </c:pt>
                <c:pt idx="1352">
                  <c:v>48901</c:v>
                </c:pt>
                <c:pt idx="1353">
                  <c:v>48908</c:v>
                </c:pt>
                <c:pt idx="1354">
                  <c:v>48915</c:v>
                </c:pt>
                <c:pt idx="1355">
                  <c:v>48922</c:v>
                </c:pt>
                <c:pt idx="1356">
                  <c:v>48929</c:v>
                </c:pt>
                <c:pt idx="1357">
                  <c:v>48936</c:v>
                </c:pt>
                <c:pt idx="1358">
                  <c:v>48943</c:v>
                </c:pt>
                <c:pt idx="1359">
                  <c:v>48953</c:v>
                </c:pt>
                <c:pt idx="1360">
                  <c:v>48957</c:v>
                </c:pt>
                <c:pt idx="1361">
                  <c:v>48964</c:v>
                </c:pt>
                <c:pt idx="1362">
                  <c:v>48971</c:v>
                </c:pt>
                <c:pt idx="1363">
                  <c:v>48978</c:v>
                </c:pt>
                <c:pt idx="1364">
                  <c:v>48985</c:v>
                </c:pt>
                <c:pt idx="1365">
                  <c:v>48992</c:v>
                </c:pt>
                <c:pt idx="1366">
                  <c:v>48999</c:v>
                </c:pt>
                <c:pt idx="1367">
                  <c:v>49006</c:v>
                </c:pt>
                <c:pt idx="1368">
                  <c:v>49013</c:v>
                </c:pt>
                <c:pt idx="1369">
                  <c:v>49020</c:v>
                </c:pt>
                <c:pt idx="1370">
                  <c:v>49027</c:v>
                </c:pt>
                <c:pt idx="1371">
                  <c:v>49034</c:v>
                </c:pt>
                <c:pt idx="1372">
                  <c:v>49045</c:v>
                </c:pt>
                <c:pt idx="1373">
                  <c:v>49048</c:v>
                </c:pt>
                <c:pt idx="1374">
                  <c:v>49055</c:v>
                </c:pt>
                <c:pt idx="1375">
                  <c:v>49062</c:v>
                </c:pt>
                <c:pt idx="1376">
                  <c:v>49069</c:v>
                </c:pt>
                <c:pt idx="1377">
                  <c:v>49076</c:v>
                </c:pt>
                <c:pt idx="1378">
                  <c:v>49086</c:v>
                </c:pt>
                <c:pt idx="1379">
                  <c:v>49090</c:v>
                </c:pt>
                <c:pt idx="1380">
                  <c:v>49097</c:v>
                </c:pt>
                <c:pt idx="1381">
                  <c:v>49104</c:v>
                </c:pt>
                <c:pt idx="1382">
                  <c:v>49111</c:v>
                </c:pt>
                <c:pt idx="1383">
                  <c:v>49121</c:v>
                </c:pt>
                <c:pt idx="1384">
                  <c:v>49125</c:v>
                </c:pt>
                <c:pt idx="1385">
                  <c:v>49132</c:v>
                </c:pt>
                <c:pt idx="1386">
                  <c:v>49139</c:v>
                </c:pt>
                <c:pt idx="1387">
                  <c:v>49146</c:v>
                </c:pt>
                <c:pt idx="1388">
                  <c:v>49153</c:v>
                </c:pt>
                <c:pt idx="1389">
                  <c:v>49160</c:v>
                </c:pt>
                <c:pt idx="1390">
                  <c:v>49167</c:v>
                </c:pt>
                <c:pt idx="1391">
                  <c:v>49174</c:v>
                </c:pt>
                <c:pt idx="1392">
                  <c:v>49181</c:v>
                </c:pt>
                <c:pt idx="1393">
                  <c:v>49188</c:v>
                </c:pt>
                <c:pt idx="1394">
                  <c:v>49195</c:v>
                </c:pt>
                <c:pt idx="1395">
                  <c:v>49202</c:v>
                </c:pt>
                <c:pt idx="1396">
                  <c:v>49209</c:v>
                </c:pt>
                <c:pt idx="1397">
                  <c:v>49216</c:v>
                </c:pt>
                <c:pt idx="1398">
                  <c:v>49223</c:v>
                </c:pt>
                <c:pt idx="1399">
                  <c:v>49230</c:v>
                </c:pt>
                <c:pt idx="1400">
                  <c:v>49237</c:v>
                </c:pt>
                <c:pt idx="1401">
                  <c:v>49244</c:v>
                </c:pt>
                <c:pt idx="1402">
                  <c:v>49251</c:v>
                </c:pt>
                <c:pt idx="1403">
                  <c:v>49258</c:v>
                </c:pt>
                <c:pt idx="1404">
                  <c:v>49265</c:v>
                </c:pt>
                <c:pt idx="1405">
                  <c:v>49272</c:v>
                </c:pt>
                <c:pt idx="1406">
                  <c:v>49279</c:v>
                </c:pt>
                <c:pt idx="1407">
                  <c:v>49286</c:v>
                </c:pt>
                <c:pt idx="1408">
                  <c:v>49293</c:v>
                </c:pt>
                <c:pt idx="1409">
                  <c:v>49300</c:v>
                </c:pt>
                <c:pt idx="1410">
                  <c:v>49307</c:v>
                </c:pt>
                <c:pt idx="1411">
                  <c:v>49314</c:v>
                </c:pt>
                <c:pt idx="1412">
                  <c:v>49321</c:v>
                </c:pt>
                <c:pt idx="1413">
                  <c:v>49328</c:v>
                </c:pt>
                <c:pt idx="1414">
                  <c:v>49335</c:v>
                </c:pt>
                <c:pt idx="1415">
                  <c:v>49342</c:v>
                </c:pt>
                <c:pt idx="1416">
                  <c:v>49349</c:v>
                </c:pt>
                <c:pt idx="1417">
                  <c:v>49356</c:v>
                </c:pt>
                <c:pt idx="1418">
                  <c:v>49363</c:v>
                </c:pt>
                <c:pt idx="1419">
                  <c:v>49370</c:v>
                </c:pt>
                <c:pt idx="1420">
                  <c:v>49377</c:v>
                </c:pt>
                <c:pt idx="1421">
                  <c:v>49384</c:v>
                </c:pt>
                <c:pt idx="1422">
                  <c:v>49395</c:v>
                </c:pt>
                <c:pt idx="1423">
                  <c:v>49398</c:v>
                </c:pt>
                <c:pt idx="1424">
                  <c:v>49405</c:v>
                </c:pt>
                <c:pt idx="1425">
                  <c:v>49412</c:v>
                </c:pt>
                <c:pt idx="1426">
                  <c:v>49419</c:v>
                </c:pt>
                <c:pt idx="1427">
                  <c:v>49426</c:v>
                </c:pt>
                <c:pt idx="1428">
                  <c:v>49436</c:v>
                </c:pt>
                <c:pt idx="1429">
                  <c:v>49440</c:v>
                </c:pt>
                <c:pt idx="1430">
                  <c:v>49447</c:v>
                </c:pt>
                <c:pt idx="1431">
                  <c:v>49454</c:v>
                </c:pt>
                <c:pt idx="1432">
                  <c:v>49461</c:v>
                </c:pt>
                <c:pt idx="1433">
                  <c:v>49468</c:v>
                </c:pt>
                <c:pt idx="1434">
                  <c:v>49475</c:v>
                </c:pt>
                <c:pt idx="1435">
                  <c:v>49485</c:v>
                </c:pt>
                <c:pt idx="1436">
                  <c:v>49489</c:v>
                </c:pt>
                <c:pt idx="1437">
                  <c:v>49496</c:v>
                </c:pt>
                <c:pt idx="1438">
                  <c:v>49503</c:v>
                </c:pt>
                <c:pt idx="1439">
                  <c:v>49510</c:v>
                </c:pt>
                <c:pt idx="1440">
                  <c:v>49517</c:v>
                </c:pt>
                <c:pt idx="1441">
                  <c:v>49524</c:v>
                </c:pt>
                <c:pt idx="1442">
                  <c:v>49531</c:v>
                </c:pt>
                <c:pt idx="1443">
                  <c:v>49538</c:v>
                </c:pt>
                <c:pt idx="1444">
                  <c:v>49545</c:v>
                </c:pt>
                <c:pt idx="1445">
                  <c:v>49552</c:v>
                </c:pt>
                <c:pt idx="1446">
                  <c:v>49559</c:v>
                </c:pt>
                <c:pt idx="1447">
                  <c:v>49566</c:v>
                </c:pt>
                <c:pt idx="1448">
                  <c:v>49573</c:v>
                </c:pt>
                <c:pt idx="1449">
                  <c:v>49580</c:v>
                </c:pt>
                <c:pt idx="1450">
                  <c:v>49587</c:v>
                </c:pt>
                <c:pt idx="1451">
                  <c:v>49594</c:v>
                </c:pt>
                <c:pt idx="1452">
                  <c:v>49601</c:v>
                </c:pt>
                <c:pt idx="1453">
                  <c:v>49608</c:v>
                </c:pt>
                <c:pt idx="1454">
                  <c:v>49615</c:v>
                </c:pt>
                <c:pt idx="1455">
                  <c:v>49622</c:v>
                </c:pt>
                <c:pt idx="1456">
                  <c:v>49629</c:v>
                </c:pt>
                <c:pt idx="1457">
                  <c:v>49636</c:v>
                </c:pt>
                <c:pt idx="1458">
                  <c:v>49643</c:v>
                </c:pt>
                <c:pt idx="1459">
                  <c:v>49650</c:v>
                </c:pt>
                <c:pt idx="1460">
                  <c:v>49657</c:v>
                </c:pt>
                <c:pt idx="1461">
                  <c:v>49664</c:v>
                </c:pt>
                <c:pt idx="1462">
                  <c:v>49676</c:v>
                </c:pt>
                <c:pt idx="1463">
                  <c:v>49681</c:v>
                </c:pt>
                <c:pt idx="1464">
                  <c:v>49688</c:v>
                </c:pt>
                <c:pt idx="1465">
                  <c:v>49695</c:v>
                </c:pt>
                <c:pt idx="1466">
                  <c:v>49702</c:v>
                </c:pt>
                <c:pt idx="1467">
                  <c:v>49709</c:v>
                </c:pt>
                <c:pt idx="1468">
                  <c:v>49716</c:v>
                </c:pt>
                <c:pt idx="1469">
                  <c:v>49723</c:v>
                </c:pt>
                <c:pt idx="1470">
                  <c:v>49730</c:v>
                </c:pt>
                <c:pt idx="1471">
                  <c:v>49737</c:v>
                </c:pt>
                <c:pt idx="1472">
                  <c:v>49744</c:v>
                </c:pt>
                <c:pt idx="1473">
                  <c:v>49751</c:v>
                </c:pt>
                <c:pt idx="1474">
                  <c:v>49758</c:v>
                </c:pt>
                <c:pt idx="1475">
                  <c:v>49765</c:v>
                </c:pt>
                <c:pt idx="1476">
                  <c:v>49772</c:v>
                </c:pt>
                <c:pt idx="1477">
                  <c:v>49781</c:v>
                </c:pt>
                <c:pt idx="1478">
                  <c:v>49786</c:v>
                </c:pt>
                <c:pt idx="1479">
                  <c:v>49793</c:v>
                </c:pt>
                <c:pt idx="1480">
                  <c:v>49801</c:v>
                </c:pt>
                <c:pt idx="1481">
                  <c:v>49808</c:v>
                </c:pt>
                <c:pt idx="1482">
                  <c:v>49815</c:v>
                </c:pt>
                <c:pt idx="1483">
                  <c:v>49822</c:v>
                </c:pt>
                <c:pt idx="1484">
                  <c:v>49830</c:v>
                </c:pt>
                <c:pt idx="1485">
                  <c:v>49836</c:v>
                </c:pt>
                <c:pt idx="1486">
                  <c:v>49843</c:v>
                </c:pt>
                <c:pt idx="1487">
                  <c:v>49851</c:v>
                </c:pt>
                <c:pt idx="1488">
                  <c:v>49858</c:v>
                </c:pt>
                <c:pt idx="1489">
                  <c:v>49865</c:v>
                </c:pt>
                <c:pt idx="1490">
                  <c:v>49872</c:v>
                </c:pt>
                <c:pt idx="1491">
                  <c:v>49879</c:v>
                </c:pt>
                <c:pt idx="1492">
                  <c:v>49886</c:v>
                </c:pt>
                <c:pt idx="1493">
                  <c:v>49893</c:v>
                </c:pt>
                <c:pt idx="1494">
                  <c:v>49900</c:v>
                </c:pt>
                <c:pt idx="1495">
                  <c:v>49907</c:v>
                </c:pt>
                <c:pt idx="1496">
                  <c:v>49914</c:v>
                </c:pt>
                <c:pt idx="1497">
                  <c:v>49921</c:v>
                </c:pt>
                <c:pt idx="1498">
                  <c:v>49928</c:v>
                </c:pt>
                <c:pt idx="1499">
                  <c:v>49935</c:v>
                </c:pt>
                <c:pt idx="1500">
                  <c:v>49942</c:v>
                </c:pt>
                <c:pt idx="1501">
                  <c:v>49949</c:v>
                </c:pt>
                <c:pt idx="1502">
                  <c:v>49956</c:v>
                </c:pt>
                <c:pt idx="1503">
                  <c:v>49963</c:v>
                </c:pt>
                <c:pt idx="1504">
                  <c:v>49970</c:v>
                </c:pt>
                <c:pt idx="1505">
                  <c:v>49977</c:v>
                </c:pt>
                <c:pt idx="1506">
                  <c:v>49984</c:v>
                </c:pt>
                <c:pt idx="1507">
                  <c:v>49991</c:v>
                </c:pt>
                <c:pt idx="1508">
                  <c:v>49998</c:v>
                </c:pt>
                <c:pt idx="1509">
                  <c:v>50005</c:v>
                </c:pt>
                <c:pt idx="1510">
                  <c:v>50012</c:v>
                </c:pt>
                <c:pt idx="1511">
                  <c:v>50019</c:v>
                </c:pt>
                <c:pt idx="1512">
                  <c:v>50026</c:v>
                </c:pt>
                <c:pt idx="1513">
                  <c:v>50038</c:v>
                </c:pt>
                <c:pt idx="1514">
                  <c:v>50042</c:v>
                </c:pt>
                <c:pt idx="1515">
                  <c:v>50048</c:v>
                </c:pt>
                <c:pt idx="1516">
                  <c:v>50054</c:v>
                </c:pt>
                <c:pt idx="1517">
                  <c:v>50061</c:v>
                </c:pt>
                <c:pt idx="1518">
                  <c:v>50068</c:v>
                </c:pt>
                <c:pt idx="1519">
                  <c:v>50075</c:v>
                </c:pt>
                <c:pt idx="1520">
                  <c:v>50082</c:v>
                </c:pt>
                <c:pt idx="1521">
                  <c:v>50089</c:v>
                </c:pt>
                <c:pt idx="1522">
                  <c:v>50096</c:v>
                </c:pt>
                <c:pt idx="1523">
                  <c:v>50103</c:v>
                </c:pt>
                <c:pt idx="1524">
                  <c:v>50110</c:v>
                </c:pt>
                <c:pt idx="1525">
                  <c:v>50117</c:v>
                </c:pt>
                <c:pt idx="1526">
                  <c:v>50124</c:v>
                </c:pt>
                <c:pt idx="1527">
                  <c:v>50131</c:v>
                </c:pt>
                <c:pt idx="1528">
                  <c:v>50139</c:v>
                </c:pt>
                <c:pt idx="1529">
                  <c:v>50146</c:v>
                </c:pt>
                <c:pt idx="1530">
                  <c:v>50153</c:v>
                </c:pt>
                <c:pt idx="1531">
                  <c:v>50160</c:v>
                </c:pt>
                <c:pt idx="1532">
                  <c:v>50167</c:v>
                </c:pt>
                <c:pt idx="1533">
                  <c:v>50175</c:v>
                </c:pt>
                <c:pt idx="1534">
                  <c:v>50181</c:v>
                </c:pt>
                <c:pt idx="1535">
                  <c:v>50188</c:v>
                </c:pt>
                <c:pt idx="1536">
                  <c:v>50195</c:v>
                </c:pt>
                <c:pt idx="1537">
                  <c:v>50202</c:v>
                </c:pt>
                <c:pt idx="1538">
                  <c:v>50209</c:v>
                </c:pt>
                <c:pt idx="1539">
                  <c:v>50216</c:v>
                </c:pt>
                <c:pt idx="1540">
                  <c:v>50223</c:v>
                </c:pt>
                <c:pt idx="1541">
                  <c:v>50230</c:v>
                </c:pt>
                <c:pt idx="1542">
                  <c:v>50237</c:v>
                </c:pt>
                <c:pt idx="1543">
                  <c:v>50244</c:v>
                </c:pt>
                <c:pt idx="1544">
                  <c:v>50251</c:v>
                </c:pt>
                <c:pt idx="1545">
                  <c:v>50258</c:v>
                </c:pt>
                <c:pt idx="1546">
                  <c:v>50265</c:v>
                </c:pt>
                <c:pt idx="1547">
                  <c:v>50272</c:v>
                </c:pt>
                <c:pt idx="1548">
                  <c:v>50279</c:v>
                </c:pt>
                <c:pt idx="1549">
                  <c:v>50286</c:v>
                </c:pt>
                <c:pt idx="1550">
                  <c:v>50293</c:v>
                </c:pt>
                <c:pt idx="1551">
                  <c:v>50300</c:v>
                </c:pt>
                <c:pt idx="1552">
                  <c:v>50307</c:v>
                </c:pt>
                <c:pt idx="1553">
                  <c:v>50314</c:v>
                </c:pt>
                <c:pt idx="1554">
                  <c:v>50321</c:v>
                </c:pt>
                <c:pt idx="1555">
                  <c:v>50328</c:v>
                </c:pt>
                <c:pt idx="1556">
                  <c:v>50335</c:v>
                </c:pt>
                <c:pt idx="1557">
                  <c:v>50342</c:v>
                </c:pt>
                <c:pt idx="1558">
                  <c:v>50349</c:v>
                </c:pt>
                <c:pt idx="1559">
                  <c:v>50356</c:v>
                </c:pt>
                <c:pt idx="1560">
                  <c:v>50363</c:v>
                </c:pt>
                <c:pt idx="1561">
                  <c:v>50370</c:v>
                </c:pt>
                <c:pt idx="1562">
                  <c:v>50377</c:v>
                </c:pt>
                <c:pt idx="1563">
                  <c:v>50384</c:v>
                </c:pt>
                <c:pt idx="1564">
                  <c:v>50391</c:v>
                </c:pt>
                <c:pt idx="1565">
                  <c:v>50402</c:v>
                </c:pt>
                <c:pt idx="1566">
                  <c:v>50409</c:v>
                </c:pt>
                <c:pt idx="1567">
                  <c:v>50413</c:v>
                </c:pt>
                <c:pt idx="1568">
                  <c:v>50419</c:v>
                </c:pt>
                <c:pt idx="1569">
                  <c:v>50426</c:v>
                </c:pt>
                <c:pt idx="1570">
                  <c:v>50433</c:v>
                </c:pt>
                <c:pt idx="1571">
                  <c:v>50440</c:v>
                </c:pt>
                <c:pt idx="1572">
                  <c:v>50447</c:v>
                </c:pt>
                <c:pt idx="1573">
                  <c:v>50454</c:v>
                </c:pt>
                <c:pt idx="1574">
                  <c:v>50461</c:v>
                </c:pt>
                <c:pt idx="1575">
                  <c:v>50468</c:v>
                </c:pt>
                <c:pt idx="1576">
                  <c:v>50475</c:v>
                </c:pt>
                <c:pt idx="1577">
                  <c:v>50482</c:v>
                </c:pt>
                <c:pt idx="1578">
                  <c:v>50489</c:v>
                </c:pt>
                <c:pt idx="1579">
                  <c:v>50496</c:v>
                </c:pt>
                <c:pt idx="1580">
                  <c:v>50503</c:v>
                </c:pt>
                <c:pt idx="1581">
                  <c:v>50510</c:v>
                </c:pt>
                <c:pt idx="1582">
                  <c:v>50517</c:v>
                </c:pt>
                <c:pt idx="1583">
                  <c:v>50524</c:v>
                </c:pt>
                <c:pt idx="1584">
                  <c:v>50531</c:v>
                </c:pt>
                <c:pt idx="1585">
                  <c:v>50538</c:v>
                </c:pt>
                <c:pt idx="1586">
                  <c:v>50545</c:v>
                </c:pt>
                <c:pt idx="1587">
                  <c:v>50552</c:v>
                </c:pt>
                <c:pt idx="1588">
                  <c:v>50560</c:v>
                </c:pt>
                <c:pt idx="1589">
                  <c:v>50566</c:v>
                </c:pt>
                <c:pt idx="1590">
                  <c:v>50573</c:v>
                </c:pt>
                <c:pt idx="1591">
                  <c:v>50580</c:v>
                </c:pt>
                <c:pt idx="1592">
                  <c:v>50587</c:v>
                </c:pt>
                <c:pt idx="1593">
                  <c:v>50594</c:v>
                </c:pt>
                <c:pt idx="1594">
                  <c:v>50601</c:v>
                </c:pt>
                <c:pt idx="1595">
                  <c:v>50608</c:v>
                </c:pt>
                <c:pt idx="1596">
                  <c:v>50615</c:v>
                </c:pt>
                <c:pt idx="1597">
                  <c:v>50622</c:v>
                </c:pt>
                <c:pt idx="1598">
                  <c:v>50629</c:v>
                </c:pt>
                <c:pt idx="1599">
                  <c:v>50636</c:v>
                </c:pt>
                <c:pt idx="1600">
                  <c:v>50643</c:v>
                </c:pt>
                <c:pt idx="1601">
                  <c:v>50650</c:v>
                </c:pt>
                <c:pt idx="1602">
                  <c:v>50657</c:v>
                </c:pt>
                <c:pt idx="1603">
                  <c:v>50664</c:v>
                </c:pt>
                <c:pt idx="1604">
                  <c:v>50671</c:v>
                </c:pt>
                <c:pt idx="1605">
                  <c:v>50678</c:v>
                </c:pt>
                <c:pt idx="1606">
                  <c:v>50685</c:v>
                </c:pt>
                <c:pt idx="1607">
                  <c:v>50692</c:v>
                </c:pt>
                <c:pt idx="1608">
                  <c:v>50699</c:v>
                </c:pt>
                <c:pt idx="1609">
                  <c:v>50706</c:v>
                </c:pt>
                <c:pt idx="1610">
                  <c:v>50713</c:v>
                </c:pt>
                <c:pt idx="1611">
                  <c:v>50720</c:v>
                </c:pt>
                <c:pt idx="1612">
                  <c:v>50727</c:v>
                </c:pt>
                <c:pt idx="1613">
                  <c:v>50734</c:v>
                </c:pt>
                <c:pt idx="1614">
                  <c:v>50741</c:v>
                </c:pt>
                <c:pt idx="1615">
                  <c:v>50748</c:v>
                </c:pt>
                <c:pt idx="1616">
                  <c:v>50755</c:v>
                </c:pt>
                <c:pt idx="1617">
                  <c:v>50762</c:v>
                </c:pt>
                <c:pt idx="1618">
                  <c:v>50769</c:v>
                </c:pt>
                <c:pt idx="1619">
                  <c:v>50777</c:v>
                </c:pt>
                <c:pt idx="1620">
                  <c:v>50783</c:v>
                </c:pt>
                <c:pt idx="1621">
                  <c:v>50790</c:v>
                </c:pt>
                <c:pt idx="1622">
                  <c:v>50797</c:v>
                </c:pt>
                <c:pt idx="1623">
                  <c:v>50804</c:v>
                </c:pt>
                <c:pt idx="1624">
                  <c:v>50811</c:v>
                </c:pt>
                <c:pt idx="1625">
                  <c:v>50818</c:v>
                </c:pt>
                <c:pt idx="1626">
                  <c:v>50825</c:v>
                </c:pt>
                <c:pt idx="1627">
                  <c:v>50832</c:v>
                </c:pt>
                <c:pt idx="1628">
                  <c:v>50839</c:v>
                </c:pt>
                <c:pt idx="1629">
                  <c:v>50846</c:v>
                </c:pt>
                <c:pt idx="1630">
                  <c:v>50853</c:v>
                </c:pt>
                <c:pt idx="1631">
                  <c:v>50860</c:v>
                </c:pt>
                <c:pt idx="1632">
                  <c:v>50867</c:v>
                </c:pt>
                <c:pt idx="1633">
                  <c:v>50874</c:v>
                </c:pt>
                <c:pt idx="1634">
                  <c:v>50881</c:v>
                </c:pt>
                <c:pt idx="1635">
                  <c:v>50888</c:v>
                </c:pt>
                <c:pt idx="1636">
                  <c:v>50895</c:v>
                </c:pt>
                <c:pt idx="1637">
                  <c:v>50902</c:v>
                </c:pt>
                <c:pt idx="1638">
                  <c:v>50910</c:v>
                </c:pt>
                <c:pt idx="1639">
                  <c:v>50916</c:v>
                </c:pt>
                <c:pt idx="1640">
                  <c:v>50923</c:v>
                </c:pt>
                <c:pt idx="1641">
                  <c:v>50930</c:v>
                </c:pt>
                <c:pt idx="1642">
                  <c:v>50937</c:v>
                </c:pt>
                <c:pt idx="1643">
                  <c:v>50944</c:v>
                </c:pt>
                <c:pt idx="1644">
                  <c:v>50951</c:v>
                </c:pt>
                <c:pt idx="1645">
                  <c:v>50958</c:v>
                </c:pt>
                <c:pt idx="1646">
                  <c:v>50965</c:v>
                </c:pt>
                <c:pt idx="1647">
                  <c:v>50972</c:v>
                </c:pt>
                <c:pt idx="1648">
                  <c:v>50979</c:v>
                </c:pt>
                <c:pt idx="1649">
                  <c:v>50986</c:v>
                </c:pt>
                <c:pt idx="1650">
                  <c:v>50993</c:v>
                </c:pt>
                <c:pt idx="1651">
                  <c:v>51000</c:v>
                </c:pt>
                <c:pt idx="1652">
                  <c:v>51007</c:v>
                </c:pt>
                <c:pt idx="1653">
                  <c:v>51014</c:v>
                </c:pt>
                <c:pt idx="1654">
                  <c:v>51021</c:v>
                </c:pt>
                <c:pt idx="1655">
                  <c:v>51028</c:v>
                </c:pt>
                <c:pt idx="1656">
                  <c:v>51035</c:v>
                </c:pt>
                <c:pt idx="1657">
                  <c:v>51042</c:v>
                </c:pt>
                <c:pt idx="1658">
                  <c:v>51049</c:v>
                </c:pt>
                <c:pt idx="1659">
                  <c:v>51056</c:v>
                </c:pt>
                <c:pt idx="1660">
                  <c:v>51063</c:v>
                </c:pt>
                <c:pt idx="1661">
                  <c:v>51070</c:v>
                </c:pt>
                <c:pt idx="1662">
                  <c:v>51077</c:v>
                </c:pt>
                <c:pt idx="1663">
                  <c:v>51084</c:v>
                </c:pt>
                <c:pt idx="1664">
                  <c:v>51091</c:v>
                </c:pt>
                <c:pt idx="1665">
                  <c:v>51098</c:v>
                </c:pt>
                <c:pt idx="1666">
                  <c:v>51105</c:v>
                </c:pt>
                <c:pt idx="1667">
                  <c:v>51112</c:v>
                </c:pt>
                <c:pt idx="1668">
                  <c:v>51119</c:v>
                </c:pt>
                <c:pt idx="1669">
                  <c:v>51126</c:v>
                </c:pt>
                <c:pt idx="1670">
                  <c:v>51133</c:v>
                </c:pt>
                <c:pt idx="1671">
                  <c:v>51140</c:v>
                </c:pt>
                <c:pt idx="1672">
                  <c:v>51147</c:v>
                </c:pt>
                <c:pt idx="1673">
                  <c:v>51154</c:v>
                </c:pt>
                <c:pt idx="1674">
                  <c:v>51161</c:v>
                </c:pt>
                <c:pt idx="1675">
                  <c:v>51168</c:v>
                </c:pt>
                <c:pt idx="1676">
                  <c:v>51175</c:v>
                </c:pt>
                <c:pt idx="1677">
                  <c:v>51182</c:v>
                </c:pt>
                <c:pt idx="1678">
                  <c:v>51189</c:v>
                </c:pt>
                <c:pt idx="1679">
                  <c:v>51196</c:v>
                </c:pt>
                <c:pt idx="1680">
                  <c:v>51203</c:v>
                </c:pt>
                <c:pt idx="1681">
                  <c:v>51210</c:v>
                </c:pt>
                <c:pt idx="1682">
                  <c:v>51217</c:v>
                </c:pt>
                <c:pt idx="1683">
                  <c:v>51224</c:v>
                </c:pt>
                <c:pt idx="1684">
                  <c:v>51231</c:v>
                </c:pt>
                <c:pt idx="1685">
                  <c:v>51238</c:v>
                </c:pt>
                <c:pt idx="1686">
                  <c:v>51245</c:v>
                </c:pt>
                <c:pt idx="1687">
                  <c:v>51252</c:v>
                </c:pt>
                <c:pt idx="1688">
                  <c:v>51260</c:v>
                </c:pt>
                <c:pt idx="1689">
                  <c:v>51270</c:v>
                </c:pt>
                <c:pt idx="1690">
                  <c:v>51274</c:v>
                </c:pt>
                <c:pt idx="1691">
                  <c:v>51281</c:v>
                </c:pt>
                <c:pt idx="1692">
                  <c:v>51288</c:v>
                </c:pt>
                <c:pt idx="1693">
                  <c:v>51295</c:v>
                </c:pt>
                <c:pt idx="1694">
                  <c:v>51302</c:v>
                </c:pt>
                <c:pt idx="1695">
                  <c:v>51312</c:v>
                </c:pt>
                <c:pt idx="1696">
                  <c:v>51316</c:v>
                </c:pt>
                <c:pt idx="1697">
                  <c:v>51323</c:v>
                </c:pt>
                <c:pt idx="1698">
                  <c:v>51330</c:v>
                </c:pt>
                <c:pt idx="1699">
                  <c:v>51337</c:v>
                </c:pt>
                <c:pt idx="1700">
                  <c:v>51344</c:v>
                </c:pt>
                <c:pt idx="1701">
                  <c:v>51351</c:v>
                </c:pt>
                <c:pt idx="1702">
                  <c:v>51358</c:v>
                </c:pt>
                <c:pt idx="1703">
                  <c:v>51365</c:v>
                </c:pt>
                <c:pt idx="1704">
                  <c:v>51372</c:v>
                </c:pt>
                <c:pt idx="1705">
                  <c:v>51379</c:v>
                </c:pt>
                <c:pt idx="1706">
                  <c:v>51386</c:v>
                </c:pt>
                <c:pt idx="1707">
                  <c:v>51393</c:v>
                </c:pt>
                <c:pt idx="1708">
                  <c:v>51400</c:v>
                </c:pt>
                <c:pt idx="1709">
                  <c:v>51407</c:v>
                </c:pt>
                <c:pt idx="1710">
                  <c:v>51414</c:v>
                </c:pt>
                <c:pt idx="1711">
                  <c:v>51421</c:v>
                </c:pt>
                <c:pt idx="1712">
                  <c:v>51428</c:v>
                </c:pt>
                <c:pt idx="1713">
                  <c:v>51435</c:v>
                </c:pt>
                <c:pt idx="1714">
                  <c:v>51442</c:v>
                </c:pt>
                <c:pt idx="1715">
                  <c:v>51449</c:v>
                </c:pt>
                <c:pt idx="1716">
                  <c:v>51456</c:v>
                </c:pt>
                <c:pt idx="1717">
                  <c:v>51463</c:v>
                </c:pt>
                <c:pt idx="1718">
                  <c:v>51470</c:v>
                </c:pt>
                <c:pt idx="1719">
                  <c:v>51477</c:v>
                </c:pt>
                <c:pt idx="1720">
                  <c:v>51484</c:v>
                </c:pt>
                <c:pt idx="1721">
                  <c:v>51491</c:v>
                </c:pt>
                <c:pt idx="1722">
                  <c:v>51503</c:v>
                </c:pt>
                <c:pt idx="1723">
                  <c:v>51508</c:v>
                </c:pt>
                <c:pt idx="1724">
                  <c:v>51515</c:v>
                </c:pt>
                <c:pt idx="1725">
                  <c:v>51522</c:v>
                </c:pt>
                <c:pt idx="1726">
                  <c:v>51529</c:v>
                </c:pt>
                <c:pt idx="1727">
                  <c:v>51536</c:v>
                </c:pt>
                <c:pt idx="1728">
                  <c:v>51543</c:v>
                </c:pt>
                <c:pt idx="1729">
                  <c:v>51550</c:v>
                </c:pt>
                <c:pt idx="1730">
                  <c:v>51557</c:v>
                </c:pt>
                <c:pt idx="1731">
                  <c:v>51564</c:v>
                </c:pt>
                <c:pt idx="1732">
                  <c:v>51571</c:v>
                </c:pt>
                <c:pt idx="1733">
                  <c:v>51578</c:v>
                </c:pt>
                <c:pt idx="1734">
                  <c:v>51585</c:v>
                </c:pt>
                <c:pt idx="1735">
                  <c:v>51592</c:v>
                </c:pt>
                <c:pt idx="1736">
                  <c:v>51599</c:v>
                </c:pt>
                <c:pt idx="1737">
                  <c:v>51606</c:v>
                </c:pt>
                <c:pt idx="1738">
                  <c:v>51615</c:v>
                </c:pt>
                <c:pt idx="1739">
                  <c:v>51620</c:v>
                </c:pt>
                <c:pt idx="1740">
                  <c:v>51627</c:v>
                </c:pt>
                <c:pt idx="1741">
                  <c:v>51634</c:v>
                </c:pt>
                <c:pt idx="1742">
                  <c:v>51641</c:v>
                </c:pt>
                <c:pt idx="1743">
                  <c:v>51648</c:v>
                </c:pt>
                <c:pt idx="1744">
                  <c:v>51656</c:v>
                </c:pt>
                <c:pt idx="1745">
                  <c:v>51664</c:v>
                </c:pt>
                <c:pt idx="1746">
                  <c:v>51670</c:v>
                </c:pt>
                <c:pt idx="1747">
                  <c:v>51678</c:v>
                </c:pt>
                <c:pt idx="1748">
                  <c:v>51685</c:v>
                </c:pt>
                <c:pt idx="1749">
                  <c:v>51692</c:v>
                </c:pt>
                <c:pt idx="1750">
                  <c:v>51699</c:v>
                </c:pt>
                <c:pt idx="1751">
                  <c:v>51706</c:v>
                </c:pt>
                <c:pt idx="1752">
                  <c:v>51713</c:v>
                </c:pt>
                <c:pt idx="1753">
                  <c:v>51720</c:v>
                </c:pt>
                <c:pt idx="1754">
                  <c:v>51727</c:v>
                </c:pt>
                <c:pt idx="1755">
                  <c:v>51734</c:v>
                </c:pt>
                <c:pt idx="1756">
                  <c:v>51741</c:v>
                </c:pt>
                <c:pt idx="1757">
                  <c:v>51748</c:v>
                </c:pt>
                <c:pt idx="1758">
                  <c:v>51755</c:v>
                </c:pt>
                <c:pt idx="1759">
                  <c:v>51762</c:v>
                </c:pt>
                <c:pt idx="1760">
                  <c:v>51769</c:v>
                </c:pt>
                <c:pt idx="1761">
                  <c:v>51776</c:v>
                </c:pt>
                <c:pt idx="1762">
                  <c:v>51783</c:v>
                </c:pt>
                <c:pt idx="1763">
                  <c:v>51790</c:v>
                </c:pt>
                <c:pt idx="1764">
                  <c:v>51797</c:v>
                </c:pt>
                <c:pt idx="1765">
                  <c:v>51804</c:v>
                </c:pt>
                <c:pt idx="1766">
                  <c:v>51811</c:v>
                </c:pt>
                <c:pt idx="1767">
                  <c:v>51818</c:v>
                </c:pt>
                <c:pt idx="1768">
                  <c:v>51825</c:v>
                </c:pt>
                <c:pt idx="1769">
                  <c:v>51832</c:v>
                </c:pt>
                <c:pt idx="1770">
                  <c:v>51839</c:v>
                </c:pt>
                <c:pt idx="1771">
                  <c:v>51846</c:v>
                </c:pt>
                <c:pt idx="1772">
                  <c:v>51853</c:v>
                </c:pt>
                <c:pt idx="1773">
                  <c:v>51865</c:v>
                </c:pt>
                <c:pt idx="1774">
                  <c:v>51869</c:v>
                </c:pt>
                <c:pt idx="1775">
                  <c:v>51875</c:v>
                </c:pt>
                <c:pt idx="1776">
                  <c:v>51882</c:v>
                </c:pt>
                <c:pt idx="1777">
                  <c:v>51889</c:v>
                </c:pt>
                <c:pt idx="1778">
                  <c:v>51896</c:v>
                </c:pt>
                <c:pt idx="1779">
                  <c:v>51903</c:v>
                </c:pt>
                <c:pt idx="1780">
                  <c:v>51910</c:v>
                </c:pt>
                <c:pt idx="1781">
                  <c:v>51917</c:v>
                </c:pt>
                <c:pt idx="1782">
                  <c:v>51924</c:v>
                </c:pt>
                <c:pt idx="1783">
                  <c:v>51931</c:v>
                </c:pt>
                <c:pt idx="1784">
                  <c:v>51938</c:v>
                </c:pt>
                <c:pt idx="1785">
                  <c:v>51945</c:v>
                </c:pt>
                <c:pt idx="1786">
                  <c:v>51952</c:v>
                </c:pt>
                <c:pt idx="1787">
                  <c:v>51959</c:v>
                </c:pt>
                <c:pt idx="1788">
                  <c:v>51966</c:v>
                </c:pt>
                <c:pt idx="1789">
                  <c:v>51973</c:v>
                </c:pt>
                <c:pt idx="1790">
                  <c:v>51980</c:v>
                </c:pt>
                <c:pt idx="1791">
                  <c:v>51988</c:v>
                </c:pt>
                <c:pt idx="1792">
                  <c:v>51994</c:v>
                </c:pt>
                <c:pt idx="1793">
                  <c:v>52002</c:v>
                </c:pt>
                <c:pt idx="1794">
                  <c:v>52008</c:v>
                </c:pt>
                <c:pt idx="1795">
                  <c:v>52015</c:v>
                </c:pt>
                <c:pt idx="1796">
                  <c:v>52022</c:v>
                </c:pt>
                <c:pt idx="1797">
                  <c:v>52029</c:v>
                </c:pt>
                <c:pt idx="1798">
                  <c:v>52036</c:v>
                </c:pt>
                <c:pt idx="1799">
                  <c:v>52043</c:v>
                </c:pt>
                <c:pt idx="1800">
                  <c:v>52050</c:v>
                </c:pt>
                <c:pt idx="1801">
                  <c:v>52057</c:v>
                </c:pt>
                <c:pt idx="1802">
                  <c:v>52064</c:v>
                </c:pt>
                <c:pt idx="1803">
                  <c:v>52071</c:v>
                </c:pt>
                <c:pt idx="1804">
                  <c:v>52078</c:v>
                </c:pt>
                <c:pt idx="1805">
                  <c:v>52085</c:v>
                </c:pt>
                <c:pt idx="1806">
                  <c:v>52092</c:v>
                </c:pt>
                <c:pt idx="1807">
                  <c:v>52099</c:v>
                </c:pt>
                <c:pt idx="1808">
                  <c:v>52106</c:v>
                </c:pt>
                <c:pt idx="1809">
                  <c:v>52113</c:v>
                </c:pt>
                <c:pt idx="1810">
                  <c:v>52120</c:v>
                </c:pt>
                <c:pt idx="1811">
                  <c:v>52127</c:v>
                </c:pt>
                <c:pt idx="1812">
                  <c:v>52134</c:v>
                </c:pt>
                <c:pt idx="1813">
                  <c:v>52141</c:v>
                </c:pt>
                <c:pt idx="1814">
                  <c:v>52148</c:v>
                </c:pt>
                <c:pt idx="1815">
                  <c:v>52155</c:v>
                </c:pt>
                <c:pt idx="1816">
                  <c:v>52162</c:v>
                </c:pt>
                <c:pt idx="1817">
                  <c:v>52169</c:v>
                </c:pt>
                <c:pt idx="1818">
                  <c:v>52176</c:v>
                </c:pt>
                <c:pt idx="1819">
                  <c:v>52183</c:v>
                </c:pt>
                <c:pt idx="1820">
                  <c:v>52190</c:v>
                </c:pt>
                <c:pt idx="1821">
                  <c:v>52197</c:v>
                </c:pt>
                <c:pt idx="1822">
                  <c:v>52204</c:v>
                </c:pt>
                <c:pt idx="1823">
                  <c:v>52211</c:v>
                </c:pt>
                <c:pt idx="1824">
                  <c:v>52218</c:v>
                </c:pt>
                <c:pt idx="1825">
                  <c:v>52230</c:v>
                </c:pt>
                <c:pt idx="1826">
                  <c:v>52236</c:v>
                </c:pt>
                <c:pt idx="1827">
                  <c:v>52240</c:v>
                </c:pt>
                <c:pt idx="1828">
                  <c:v>52247</c:v>
                </c:pt>
                <c:pt idx="1829">
                  <c:v>52254</c:v>
                </c:pt>
                <c:pt idx="1830">
                  <c:v>52261</c:v>
                </c:pt>
                <c:pt idx="1831">
                  <c:v>52268</c:v>
                </c:pt>
                <c:pt idx="1832">
                  <c:v>52275</c:v>
                </c:pt>
                <c:pt idx="1833">
                  <c:v>52282</c:v>
                </c:pt>
                <c:pt idx="1834">
                  <c:v>52289</c:v>
                </c:pt>
                <c:pt idx="1835">
                  <c:v>52296</c:v>
                </c:pt>
                <c:pt idx="1836">
                  <c:v>52303</c:v>
                </c:pt>
                <c:pt idx="1837">
                  <c:v>52310</c:v>
                </c:pt>
                <c:pt idx="1838">
                  <c:v>52321</c:v>
                </c:pt>
                <c:pt idx="1839">
                  <c:v>52324</c:v>
                </c:pt>
                <c:pt idx="1840">
                  <c:v>52331</c:v>
                </c:pt>
                <c:pt idx="1841">
                  <c:v>52338</c:v>
                </c:pt>
                <c:pt idx="1842">
                  <c:v>52345</c:v>
                </c:pt>
                <c:pt idx="1843">
                  <c:v>52355</c:v>
                </c:pt>
                <c:pt idx="1844">
                  <c:v>52362</c:v>
                </c:pt>
                <c:pt idx="1845">
                  <c:v>52366</c:v>
                </c:pt>
                <c:pt idx="1846">
                  <c:v>52373</c:v>
                </c:pt>
                <c:pt idx="1847">
                  <c:v>52380</c:v>
                </c:pt>
                <c:pt idx="1848">
                  <c:v>52387</c:v>
                </c:pt>
                <c:pt idx="1849">
                  <c:v>52394</c:v>
                </c:pt>
                <c:pt idx="1850">
                  <c:v>52404</c:v>
                </c:pt>
                <c:pt idx="1851">
                  <c:v>52408</c:v>
                </c:pt>
                <c:pt idx="1852">
                  <c:v>52415</c:v>
                </c:pt>
                <c:pt idx="1853">
                  <c:v>52422</c:v>
                </c:pt>
                <c:pt idx="1854">
                  <c:v>52429</c:v>
                </c:pt>
                <c:pt idx="1855">
                  <c:v>52436</c:v>
                </c:pt>
                <c:pt idx="1856">
                  <c:v>52443</c:v>
                </c:pt>
                <c:pt idx="1857">
                  <c:v>52450</c:v>
                </c:pt>
                <c:pt idx="1858">
                  <c:v>52457</c:v>
                </c:pt>
                <c:pt idx="1859">
                  <c:v>52464</c:v>
                </c:pt>
                <c:pt idx="1860">
                  <c:v>52471</c:v>
                </c:pt>
                <c:pt idx="1861">
                  <c:v>52478</c:v>
                </c:pt>
                <c:pt idx="1862">
                  <c:v>52485</c:v>
                </c:pt>
                <c:pt idx="1863">
                  <c:v>52492</c:v>
                </c:pt>
                <c:pt idx="1864">
                  <c:v>52499</c:v>
                </c:pt>
                <c:pt idx="1865">
                  <c:v>52506</c:v>
                </c:pt>
                <c:pt idx="1866">
                  <c:v>52513</c:v>
                </c:pt>
                <c:pt idx="1867">
                  <c:v>52520</c:v>
                </c:pt>
                <c:pt idx="1868">
                  <c:v>52527</c:v>
                </c:pt>
                <c:pt idx="1869">
                  <c:v>52534</c:v>
                </c:pt>
                <c:pt idx="1870">
                  <c:v>52541</c:v>
                </c:pt>
                <c:pt idx="1871">
                  <c:v>52548</c:v>
                </c:pt>
                <c:pt idx="1872">
                  <c:v>52555</c:v>
                </c:pt>
                <c:pt idx="1873">
                  <c:v>52562</c:v>
                </c:pt>
                <c:pt idx="1874">
                  <c:v>52569</c:v>
                </c:pt>
                <c:pt idx="1875">
                  <c:v>52576</c:v>
                </c:pt>
                <c:pt idx="1876">
                  <c:v>52583</c:v>
                </c:pt>
                <c:pt idx="1877">
                  <c:v>52594</c:v>
                </c:pt>
                <c:pt idx="1878">
                  <c:v>52601</c:v>
                </c:pt>
                <c:pt idx="1879">
                  <c:v>52607</c:v>
                </c:pt>
                <c:pt idx="1880">
                  <c:v>52614</c:v>
                </c:pt>
                <c:pt idx="1881">
                  <c:v>52621</c:v>
                </c:pt>
                <c:pt idx="1882">
                  <c:v>52628</c:v>
                </c:pt>
                <c:pt idx="1883">
                  <c:v>52635</c:v>
                </c:pt>
                <c:pt idx="1884">
                  <c:v>52642</c:v>
                </c:pt>
                <c:pt idx="1885">
                  <c:v>52649</c:v>
                </c:pt>
                <c:pt idx="1886">
                  <c:v>52656</c:v>
                </c:pt>
                <c:pt idx="1887">
                  <c:v>52663</c:v>
                </c:pt>
                <c:pt idx="1888">
                  <c:v>52670</c:v>
                </c:pt>
                <c:pt idx="1889">
                  <c:v>52677</c:v>
                </c:pt>
                <c:pt idx="1890">
                  <c:v>52684</c:v>
                </c:pt>
                <c:pt idx="1891">
                  <c:v>52691</c:v>
                </c:pt>
                <c:pt idx="1892">
                  <c:v>52698</c:v>
                </c:pt>
                <c:pt idx="1893">
                  <c:v>52707</c:v>
                </c:pt>
                <c:pt idx="1894">
                  <c:v>52712</c:v>
                </c:pt>
                <c:pt idx="1895">
                  <c:v>52719</c:v>
                </c:pt>
                <c:pt idx="1896">
                  <c:v>52726</c:v>
                </c:pt>
                <c:pt idx="1897">
                  <c:v>52733</c:v>
                </c:pt>
                <c:pt idx="1898">
                  <c:v>52740</c:v>
                </c:pt>
                <c:pt idx="1899">
                  <c:v>52748</c:v>
                </c:pt>
                <c:pt idx="1900">
                  <c:v>52756</c:v>
                </c:pt>
                <c:pt idx="1901">
                  <c:v>52762</c:v>
                </c:pt>
                <c:pt idx="1902">
                  <c:v>52769</c:v>
                </c:pt>
                <c:pt idx="1903">
                  <c:v>52777</c:v>
                </c:pt>
                <c:pt idx="1904">
                  <c:v>52784</c:v>
                </c:pt>
                <c:pt idx="1905">
                  <c:v>52791</c:v>
                </c:pt>
                <c:pt idx="1906">
                  <c:v>52798</c:v>
                </c:pt>
                <c:pt idx="1907">
                  <c:v>52805</c:v>
                </c:pt>
                <c:pt idx="1908">
                  <c:v>52812</c:v>
                </c:pt>
                <c:pt idx="1909">
                  <c:v>52819</c:v>
                </c:pt>
                <c:pt idx="1910">
                  <c:v>52826</c:v>
                </c:pt>
                <c:pt idx="1911">
                  <c:v>52833</c:v>
                </c:pt>
                <c:pt idx="1912">
                  <c:v>52840</c:v>
                </c:pt>
                <c:pt idx="1913">
                  <c:v>52847</c:v>
                </c:pt>
                <c:pt idx="1914">
                  <c:v>52854</c:v>
                </c:pt>
                <c:pt idx="1915">
                  <c:v>52861</c:v>
                </c:pt>
                <c:pt idx="1916">
                  <c:v>52868</c:v>
                </c:pt>
                <c:pt idx="1917">
                  <c:v>52875</c:v>
                </c:pt>
                <c:pt idx="1918">
                  <c:v>52882</c:v>
                </c:pt>
                <c:pt idx="1919">
                  <c:v>52889</c:v>
                </c:pt>
                <c:pt idx="1920">
                  <c:v>52896</c:v>
                </c:pt>
                <c:pt idx="1921">
                  <c:v>52903</c:v>
                </c:pt>
                <c:pt idx="1922">
                  <c:v>52910</c:v>
                </c:pt>
                <c:pt idx="1923">
                  <c:v>52917</c:v>
                </c:pt>
                <c:pt idx="1924">
                  <c:v>52924</c:v>
                </c:pt>
                <c:pt idx="1925">
                  <c:v>52931</c:v>
                </c:pt>
                <c:pt idx="1926">
                  <c:v>52938</c:v>
                </c:pt>
                <c:pt idx="1927">
                  <c:v>52945</c:v>
                </c:pt>
                <c:pt idx="1928">
                  <c:v>52952</c:v>
                </c:pt>
                <c:pt idx="1929">
                  <c:v>52960</c:v>
                </c:pt>
                <c:pt idx="1930">
                  <c:v>52967</c:v>
                </c:pt>
                <c:pt idx="1931">
                  <c:v>52974</c:v>
                </c:pt>
                <c:pt idx="1932">
                  <c:v>52981</c:v>
                </c:pt>
                <c:pt idx="1933">
                  <c:v>52988</c:v>
                </c:pt>
                <c:pt idx="1934">
                  <c:v>52995</c:v>
                </c:pt>
                <c:pt idx="1935">
                  <c:v>53002</c:v>
                </c:pt>
                <c:pt idx="1936">
                  <c:v>53009</c:v>
                </c:pt>
                <c:pt idx="1937">
                  <c:v>53016</c:v>
                </c:pt>
                <c:pt idx="1938">
                  <c:v>53023</c:v>
                </c:pt>
                <c:pt idx="1939">
                  <c:v>53030</c:v>
                </c:pt>
                <c:pt idx="1940">
                  <c:v>53037</c:v>
                </c:pt>
                <c:pt idx="1941">
                  <c:v>53044</c:v>
                </c:pt>
                <c:pt idx="1942">
                  <c:v>53051</c:v>
                </c:pt>
                <c:pt idx="1943">
                  <c:v>53058</c:v>
                </c:pt>
                <c:pt idx="1944">
                  <c:v>53065</c:v>
                </c:pt>
                <c:pt idx="1945">
                  <c:v>53072</c:v>
                </c:pt>
                <c:pt idx="1946">
                  <c:v>53079</c:v>
                </c:pt>
                <c:pt idx="1947">
                  <c:v>53086</c:v>
                </c:pt>
                <c:pt idx="1948">
                  <c:v>53093</c:v>
                </c:pt>
                <c:pt idx="1949">
                  <c:v>53101</c:v>
                </c:pt>
                <c:pt idx="1950">
                  <c:v>53107</c:v>
                </c:pt>
                <c:pt idx="1951">
                  <c:v>53114</c:v>
                </c:pt>
                <c:pt idx="1952">
                  <c:v>53121</c:v>
                </c:pt>
                <c:pt idx="1953">
                  <c:v>53128</c:v>
                </c:pt>
                <c:pt idx="1954">
                  <c:v>53135</c:v>
                </c:pt>
                <c:pt idx="1955">
                  <c:v>53142</c:v>
                </c:pt>
                <c:pt idx="1956">
                  <c:v>53149</c:v>
                </c:pt>
                <c:pt idx="1957">
                  <c:v>53156</c:v>
                </c:pt>
                <c:pt idx="1958">
                  <c:v>53163</c:v>
                </c:pt>
                <c:pt idx="1959">
                  <c:v>53170</c:v>
                </c:pt>
                <c:pt idx="1960">
                  <c:v>53177</c:v>
                </c:pt>
                <c:pt idx="1961">
                  <c:v>53184</c:v>
                </c:pt>
                <c:pt idx="1962">
                  <c:v>53191</c:v>
                </c:pt>
                <c:pt idx="1963">
                  <c:v>53198</c:v>
                </c:pt>
                <c:pt idx="1964">
                  <c:v>53205</c:v>
                </c:pt>
                <c:pt idx="1965">
                  <c:v>53212</c:v>
                </c:pt>
                <c:pt idx="1966">
                  <c:v>53219</c:v>
                </c:pt>
                <c:pt idx="1967">
                  <c:v>53226</c:v>
                </c:pt>
                <c:pt idx="1968">
                  <c:v>53233</c:v>
                </c:pt>
                <c:pt idx="1969">
                  <c:v>53240</c:v>
                </c:pt>
                <c:pt idx="1970">
                  <c:v>53247</c:v>
                </c:pt>
                <c:pt idx="1971">
                  <c:v>53254</c:v>
                </c:pt>
                <c:pt idx="1972">
                  <c:v>53261</c:v>
                </c:pt>
                <c:pt idx="1973">
                  <c:v>53268</c:v>
                </c:pt>
                <c:pt idx="1974">
                  <c:v>53275</c:v>
                </c:pt>
                <c:pt idx="1975">
                  <c:v>53282</c:v>
                </c:pt>
                <c:pt idx="1976">
                  <c:v>53289</c:v>
                </c:pt>
                <c:pt idx="1977">
                  <c:v>53296</c:v>
                </c:pt>
                <c:pt idx="1978">
                  <c:v>53303</c:v>
                </c:pt>
                <c:pt idx="1979">
                  <c:v>53310</c:v>
                </c:pt>
                <c:pt idx="1980">
                  <c:v>53317</c:v>
                </c:pt>
                <c:pt idx="1981">
                  <c:v>53325</c:v>
                </c:pt>
                <c:pt idx="1982">
                  <c:v>53332</c:v>
                </c:pt>
                <c:pt idx="1983">
                  <c:v>53339</c:v>
                </c:pt>
                <c:pt idx="1984">
                  <c:v>53346</c:v>
                </c:pt>
                <c:pt idx="1985">
                  <c:v>53353</c:v>
                </c:pt>
                <c:pt idx="1986">
                  <c:v>53360</c:v>
                </c:pt>
                <c:pt idx="1987">
                  <c:v>53367</c:v>
                </c:pt>
                <c:pt idx="1988">
                  <c:v>53374</c:v>
                </c:pt>
                <c:pt idx="1989">
                  <c:v>53381</c:v>
                </c:pt>
                <c:pt idx="1990">
                  <c:v>53388</c:v>
                </c:pt>
                <c:pt idx="1991">
                  <c:v>53395</c:v>
                </c:pt>
                <c:pt idx="1992">
                  <c:v>53402</c:v>
                </c:pt>
                <c:pt idx="1993">
                  <c:v>53413</c:v>
                </c:pt>
                <c:pt idx="1994">
                  <c:v>53416</c:v>
                </c:pt>
                <c:pt idx="1995">
                  <c:v>53423</c:v>
                </c:pt>
                <c:pt idx="1996">
                  <c:v>53430</c:v>
                </c:pt>
                <c:pt idx="1997">
                  <c:v>53437</c:v>
                </c:pt>
                <c:pt idx="1998">
                  <c:v>53444</c:v>
                </c:pt>
                <c:pt idx="1999">
                  <c:v>53454</c:v>
                </c:pt>
                <c:pt idx="2000">
                  <c:v>53458</c:v>
                </c:pt>
                <c:pt idx="2001">
                  <c:v>53465</c:v>
                </c:pt>
                <c:pt idx="2002">
                  <c:v>53472</c:v>
                </c:pt>
                <c:pt idx="2003">
                  <c:v>53479</c:v>
                </c:pt>
                <c:pt idx="2004">
                  <c:v>53486</c:v>
                </c:pt>
                <c:pt idx="2005">
                  <c:v>53493</c:v>
                </c:pt>
                <c:pt idx="2006">
                  <c:v>53503</c:v>
                </c:pt>
                <c:pt idx="2007">
                  <c:v>53507</c:v>
                </c:pt>
                <c:pt idx="2008">
                  <c:v>53514</c:v>
                </c:pt>
                <c:pt idx="2009">
                  <c:v>53521</c:v>
                </c:pt>
                <c:pt idx="2010">
                  <c:v>53528</c:v>
                </c:pt>
                <c:pt idx="2011">
                  <c:v>53535</c:v>
                </c:pt>
                <c:pt idx="2012">
                  <c:v>53542</c:v>
                </c:pt>
                <c:pt idx="2013">
                  <c:v>53549</c:v>
                </c:pt>
                <c:pt idx="2014">
                  <c:v>53556</c:v>
                </c:pt>
                <c:pt idx="2015">
                  <c:v>53563</c:v>
                </c:pt>
                <c:pt idx="2016">
                  <c:v>53570</c:v>
                </c:pt>
                <c:pt idx="2017">
                  <c:v>53577</c:v>
                </c:pt>
                <c:pt idx="2018">
                  <c:v>53584</c:v>
                </c:pt>
                <c:pt idx="2019">
                  <c:v>53591</c:v>
                </c:pt>
                <c:pt idx="2020">
                  <c:v>53598</c:v>
                </c:pt>
                <c:pt idx="2021">
                  <c:v>53605</c:v>
                </c:pt>
                <c:pt idx="2022">
                  <c:v>53612</c:v>
                </c:pt>
                <c:pt idx="2023">
                  <c:v>53619</c:v>
                </c:pt>
                <c:pt idx="2024">
                  <c:v>53626</c:v>
                </c:pt>
                <c:pt idx="2025">
                  <c:v>53633</c:v>
                </c:pt>
                <c:pt idx="2026">
                  <c:v>53640</c:v>
                </c:pt>
                <c:pt idx="2027">
                  <c:v>53647</c:v>
                </c:pt>
                <c:pt idx="2028">
                  <c:v>53654</c:v>
                </c:pt>
                <c:pt idx="2029">
                  <c:v>53661</c:v>
                </c:pt>
                <c:pt idx="2030">
                  <c:v>53668</c:v>
                </c:pt>
                <c:pt idx="2031">
                  <c:v>53675</c:v>
                </c:pt>
                <c:pt idx="2032">
                  <c:v>53682</c:v>
                </c:pt>
                <c:pt idx="2033">
                  <c:v>53694</c:v>
                </c:pt>
                <c:pt idx="2034">
                  <c:v>53699</c:v>
                </c:pt>
                <c:pt idx="2035">
                  <c:v>53706</c:v>
                </c:pt>
                <c:pt idx="2036">
                  <c:v>53713</c:v>
                </c:pt>
                <c:pt idx="2037">
                  <c:v>53720</c:v>
                </c:pt>
                <c:pt idx="2038">
                  <c:v>53727</c:v>
                </c:pt>
                <c:pt idx="2039">
                  <c:v>53734</c:v>
                </c:pt>
                <c:pt idx="2040">
                  <c:v>53741</c:v>
                </c:pt>
                <c:pt idx="2041">
                  <c:v>53748</c:v>
                </c:pt>
                <c:pt idx="2042">
                  <c:v>53755</c:v>
                </c:pt>
                <c:pt idx="2043">
                  <c:v>53762</c:v>
                </c:pt>
                <c:pt idx="2044">
                  <c:v>53769</c:v>
                </c:pt>
                <c:pt idx="2045">
                  <c:v>53776</c:v>
                </c:pt>
                <c:pt idx="2046">
                  <c:v>53783</c:v>
                </c:pt>
                <c:pt idx="2047">
                  <c:v>53790</c:v>
                </c:pt>
                <c:pt idx="2048">
                  <c:v>53799</c:v>
                </c:pt>
                <c:pt idx="2049">
                  <c:v>53804</c:v>
                </c:pt>
                <c:pt idx="2050">
                  <c:v>53811</c:v>
                </c:pt>
                <c:pt idx="2051">
                  <c:v>53818</c:v>
                </c:pt>
                <c:pt idx="2052">
                  <c:v>53825</c:v>
                </c:pt>
                <c:pt idx="2053">
                  <c:v>53832</c:v>
                </c:pt>
                <c:pt idx="2054">
                  <c:v>53840</c:v>
                </c:pt>
                <c:pt idx="2055">
                  <c:v>53848</c:v>
                </c:pt>
                <c:pt idx="2056">
                  <c:v>53854</c:v>
                </c:pt>
                <c:pt idx="2057">
                  <c:v>53861</c:v>
                </c:pt>
                <c:pt idx="2058">
                  <c:v>53869</c:v>
                </c:pt>
                <c:pt idx="2059">
                  <c:v>53876</c:v>
                </c:pt>
                <c:pt idx="2060">
                  <c:v>53883</c:v>
                </c:pt>
                <c:pt idx="2061">
                  <c:v>53890</c:v>
                </c:pt>
                <c:pt idx="2062">
                  <c:v>53897</c:v>
                </c:pt>
                <c:pt idx="2063">
                  <c:v>53904</c:v>
                </c:pt>
                <c:pt idx="2064">
                  <c:v>53911</c:v>
                </c:pt>
                <c:pt idx="2065">
                  <c:v>53918</c:v>
                </c:pt>
                <c:pt idx="2066">
                  <c:v>53925</c:v>
                </c:pt>
                <c:pt idx="2067">
                  <c:v>53932</c:v>
                </c:pt>
                <c:pt idx="2068">
                  <c:v>53939</c:v>
                </c:pt>
                <c:pt idx="2069">
                  <c:v>53946</c:v>
                </c:pt>
                <c:pt idx="2070">
                  <c:v>53953</c:v>
                </c:pt>
                <c:pt idx="2071">
                  <c:v>53960</c:v>
                </c:pt>
                <c:pt idx="2072">
                  <c:v>53967</c:v>
                </c:pt>
                <c:pt idx="2073">
                  <c:v>53974</c:v>
                </c:pt>
                <c:pt idx="2074">
                  <c:v>53981</c:v>
                </c:pt>
                <c:pt idx="2075">
                  <c:v>53988</c:v>
                </c:pt>
                <c:pt idx="2076">
                  <c:v>53995</c:v>
                </c:pt>
                <c:pt idx="2077">
                  <c:v>54002</c:v>
                </c:pt>
                <c:pt idx="2078">
                  <c:v>54009</c:v>
                </c:pt>
                <c:pt idx="2079">
                  <c:v>54016</c:v>
                </c:pt>
                <c:pt idx="2080">
                  <c:v>54023</c:v>
                </c:pt>
                <c:pt idx="2081">
                  <c:v>54030</c:v>
                </c:pt>
                <c:pt idx="2082">
                  <c:v>54037</c:v>
                </c:pt>
                <c:pt idx="2083">
                  <c:v>54044</c:v>
                </c:pt>
                <c:pt idx="2084">
                  <c:v>54056</c:v>
                </c:pt>
                <c:pt idx="2085">
                  <c:v>54060</c:v>
                </c:pt>
                <c:pt idx="2086">
                  <c:v>54066</c:v>
                </c:pt>
                <c:pt idx="2087">
                  <c:v>54073</c:v>
                </c:pt>
                <c:pt idx="2088">
                  <c:v>54080</c:v>
                </c:pt>
                <c:pt idx="2089">
                  <c:v>54087</c:v>
                </c:pt>
                <c:pt idx="2090">
                  <c:v>54094</c:v>
                </c:pt>
                <c:pt idx="2091">
                  <c:v>54101</c:v>
                </c:pt>
                <c:pt idx="2092">
                  <c:v>54108</c:v>
                </c:pt>
                <c:pt idx="2093">
                  <c:v>54115</c:v>
                </c:pt>
                <c:pt idx="2094">
                  <c:v>54122</c:v>
                </c:pt>
                <c:pt idx="2095">
                  <c:v>54129</c:v>
                </c:pt>
                <c:pt idx="2096">
                  <c:v>54136</c:v>
                </c:pt>
                <c:pt idx="2097">
                  <c:v>54143</c:v>
                </c:pt>
                <c:pt idx="2098">
                  <c:v>54150</c:v>
                </c:pt>
                <c:pt idx="2099">
                  <c:v>54157</c:v>
                </c:pt>
                <c:pt idx="2100">
                  <c:v>54164</c:v>
                </c:pt>
                <c:pt idx="2101">
                  <c:v>54171</c:v>
                </c:pt>
                <c:pt idx="2102">
                  <c:v>54178</c:v>
                </c:pt>
                <c:pt idx="2103">
                  <c:v>54185</c:v>
                </c:pt>
                <c:pt idx="2104">
                  <c:v>54193</c:v>
                </c:pt>
                <c:pt idx="2105">
                  <c:v>54199</c:v>
                </c:pt>
                <c:pt idx="2106">
                  <c:v>54206</c:v>
                </c:pt>
                <c:pt idx="2107">
                  <c:v>54213</c:v>
                </c:pt>
                <c:pt idx="2108">
                  <c:v>54220</c:v>
                </c:pt>
                <c:pt idx="2109">
                  <c:v>54227</c:v>
                </c:pt>
                <c:pt idx="2110">
                  <c:v>54234</c:v>
                </c:pt>
                <c:pt idx="2111">
                  <c:v>54241</c:v>
                </c:pt>
                <c:pt idx="2112">
                  <c:v>54248</c:v>
                </c:pt>
                <c:pt idx="2113">
                  <c:v>54255</c:v>
                </c:pt>
                <c:pt idx="2114">
                  <c:v>54262</c:v>
                </c:pt>
                <c:pt idx="2115">
                  <c:v>54269</c:v>
                </c:pt>
                <c:pt idx="2116">
                  <c:v>54276</c:v>
                </c:pt>
                <c:pt idx="2117">
                  <c:v>54283</c:v>
                </c:pt>
                <c:pt idx="2118">
                  <c:v>54290</c:v>
                </c:pt>
                <c:pt idx="2119">
                  <c:v>54297</c:v>
                </c:pt>
                <c:pt idx="2120">
                  <c:v>54304</c:v>
                </c:pt>
                <c:pt idx="2121">
                  <c:v>54311</c:v>
                </c:pt>
                <c:pt idx="2122">
                  <c:v>54318</c:v>
                </c:pt>
                <c:pt idx="2123">
                  <c:v>54325</c:v>
                </c:pt>
                <c:pt idx="2124">
                  <c:v>54332</c:v>
                </c:pt>
                <c:pt idx="2125">
                  <c:v>54339</c:v>
                </c:pt>
                <c:pt idx="2126">
                  <c:v>54346</c:v>
                </c:pt>
                <c:pt idx="2127">
                  <c:v>54353</c:v>
                </c:pt>
                <c:pt idx="2128">
                  <c:v>54360</c:v>
                </c:pt>
                <c:pt idx="2129">
                  <c:v>54367</c:v>
                </c:pt>
                <c:pt idx="2130">
                  <c:v>54374</c:v>
                </c:pt>
                <c:pt idx="2131">
                  <c:v>54381</c:v>
                </c:pt>
                <c:pt idx="2132">
                  <c:v>54388</c:v>
                </c:pt>
                <c:pt idx="2133">
                  <c:v>54395</c:v>
                </c:pt>
                <c:pt idx="2134">
                  <c:v>54402</c:v>
                </c:pt>
                <c:pt idx="2135">
                  <c:v>54409</c:v>
                </c:pt>
                <c:pt idx="2136">
                  <c:v>54420</c:v>
                </c:pt>
                <c:pt idx="2137">
                  <c:v>54427</c:v>
                </c:pt>
                <c:pt idx="2138">
                  <c:v>54431</c:v>
                </c:pt>
                <c:pt idx="2139">
                  <c:v>54437</c:v>
                </c:pt>
                <c:pt idx="2140">
                  <c:v>54444</c:v>
                </c:pt>
                <c:pt idx="2141">
                  <c:v>54451</c:v>
                </c:pt>
                <c:pt idx="2142">
                  <c:v>54458</c:v>
                </c:pt>
                <c:pt idx="2143">
                  <c:v>54465</c:v>
                </c:pt>
                <c:pt idx="2144">
                  <c:v>54472</c:v>
                </c:pt>
                <c:pt idx="2145">
                  <c:v>54479</c:v>
                </c:pt>
                <c:pt idx="2146">
                  <c:v>54486</c:v>
                </c:pt>
                <c:pt idx="2147">
                  <c:v>54493</c:v>
                </c:pt>
                <c:pt idx="2148">
                  <c:v>54500</c:v>
                </c:pt>
                <c:pt idx="2149">
                  <c:v>54507</c:v>
                </c:pt>
                <c:pt idx="2150">
                  <c:v>54514</c:v>
                </c:pt>
                <c:pt idx="2151">
                  <c:v>54521</c:v>
                </c:pt>
                <c:pt idx="2152">
                  <c:v>54528</c:v>
                </c:pt>
                <c:pt idx="2153">
                  <c:v>54535</c:v>
                </c:pt>
                <c:pt idx="2154">
                  <c:v>54542</c:v>
                </c:pt>
                <c:pt idx="2155">
                  <c:v>54549</c:v>
                </c:pt>
                <c:pt idx="2156">
                  <c:v>54556</c:v>
                </c:pt>
                <c:pt idx="2157">
                  <c:v>54563</c:v>
                </c:pt>
                <c:pt idx="2158">
                  <c:v>54571</c:v>
                </c:pt>
                <c:pt idx="2159">
                  <c:v>54577</c:v>
                </c:pt>
                <c:pt idx="2160">
                  <c:v>54584</c:v>
                </c:pt>
                <c:pt idx="2161">
                  <c:v>54591</c:v>
                </c:pt>
                <c:pt idx="2162">
                  <c:v>54598</c:v>
                </c:pt>
                <c:pt idx="2163">
                  <c:v>54605</c:v>
                </c:pt>
                <c:pt idx="2164">
                  <c:v>54612</c:v>
                </c:pt>
                <c:pt idx="2165">
                  <c:v>54619</c:v>
                </c:pt>
                <c:pt idx="2166">
                  <c:v>54626</c:v>
                </c:pt>
                <c:pt idx="2167">
                  <c:v>54633</c:v>
                </c:pt>
                <c:pt idx="2168">
                  <c:v>54640</c:v>
                </c:pt>
                <c:pt idx="2169">
                  <c:v>54647</c:v>
                </c:pt>
                <c:pt idx="2170">
                  <c:v>54654</c:v>
                </c:pt>
                <c:pt idx="2171">
                  <c:v>54661</c:v>
                </c:pt>
                <c:pt idx="2172">
                  <c:v>54668</c:v>
                </c:pt>
                <c:pt idx="2173">
                  <c:v>54675</c:v>
                </c:pt>
                <c:pt idx="2174">
                  <c:v>54682</c:v>
                </c:pt>
                <c:pt idx="2175">
                  <c:v>54689</c:v>
                </c:pt>
                <c:pt idx="2176">
                  <c:v>54696</c:v>
                </c:pt>
                <c:pt idx="2177">
                  <c:v>54703</c:v>
                </c:pt>
                <c:pt idx="2178">
                  <c:v>54710</c:v>
                </c:pt>
                <c:pt idx="2179">
                  <c:v>54717</c:v>
                </c:pt>
                <c:pt idx="2180">
                  <c:v>54724</c:v>
                </c:pt>
                <c:pt idx="2181">
                  <c:v>54731</c:v>
                </c:pt>
                <c:pt idx="2182">
                  <c:v>54738</c:v>
                </c:pt>
                <c:pt idx="2183">
                  <c:v>54745</c:v>
                </c:pt>
                <c:pt idx="2184">
                  <c:v>54752</c:v>
                </c:pt>
                <c:pt idx="2185">
                  <c:v>54759</c:v>
                </c:pt>
                <c:pt idx="2186">
                  <c:v>54766</c:v>
                </c:pt>
                <c:pt idx="2187">
                  <c:v>54773</c:v>
                </c:pt>
                <c:pt idx="2188">
                  <c:v>54780</c:v>
                </c:pt>
                <c:pt idx="2189">
                  <c:v>54787</c:v>
                </c:pt>
                <c:pt idx="2190">
                  <c:v>54795</c:v>
                </c:pt>
                <c:pt idx="2191">
                  <c:v>54801</c:v>
                </c:pt>
                <c:pt idx="2192">
                  <c:v>54808</c:v>
                </c:pt>
                <c:pt idx="2193">
                  <c:v>54815</c:v>
                </c:pt>
                <c:pt idx="2194">
                  <c:v>54822</c:v>
                </c:pt>
                <c:pt idx="2195">
                  <c:v>54829</c:v>
                </c:pt>
                <c:pt idx="2196">
                  <c:v>54836</c:v>
                </c:pt>
                <c:pt idx="2197">
                  <c:v>54843</c:v>
                </c:pt>
                <c:pt idx="2198">
                  <c:v>54850</c:v>
                </c:pt>
                <c:pt idx="2199">
                  <c:v>54857</c:v>
                </c:pt>
                <c:pt idx="2200">
                  <c:v>54864</c:v>
                </c:pt>
                <c:pt idx="2201">
                  <c:v>54871</c:v>
                </c:pt>
                <c:pt idx="2202">
                  <c:v>54878</c:v>
                </c:pt>
                <c:pt idx="2203">
                  <c:v>54885</c:v>
                </c:pt>
                <c:pt idx="2204">
                  <c:v>54892</c:v>
                </c:pt>
                <c:pt idx="2205">
                  <c:v>54899</c:v>
                </c:pt>
                <c:pt idx="2206">
                  <c:v>54906</c:v>
                </c:pt>
                <c:pt idx="2207">
                  <c:v>54913</c:v>
                </c:pt>
                <c:pt idx="2208">
                  <c:v>54920</c:v>
                </c:pt>
                <c:pt idx="2209">
                  <c:v>54928</c:v>
                </c:pt>
                <c:pt idx="2210">
                  <c:v>54934</c:v>
                </c:pt>
                <c:pt idx="2211">
                  <c:v>54941</c:v>
                </c:pt>
                <c:pt idx="2212">
                  <c:v>54948</c:v>
                </c:pt>
                <c:pt idx="2213">
                  <c:v>54955</c:v>
                </c:pt>
                <c:pt idx="2214">
                  <c:v>54962</c:v>
                </c:pt>
                <c:pt idx="2215">
                  <c:v>54969</c:v>
                </c:pt>
                <c:pt idx="2216">
                  <c:v>54976</c:v>
                </c:pt>
                <c:pt idx="2217">
                  <c:v>54983</c:v>
                </c:pt>
                <c:pt idx="2218">
                  <c:v>54990</c:v>
                </c:pt>
                <c:pt idx="2219">
                  <c:v>54997</c:v>
                </c:pt>
                <c:pt idx="2220">
                  <c:v>55004</c:v>
                </c:pt>
                <c:pt idx="2221">
                  <c:v>55011</c:v>
                </c:pt>
                <c:pt idx="2222">
                  <c:v>55018</c:v>
                </c:pt>
                <c:pt idx="2223">
                  <c:v>55025</c:v>
                </c:pt>
                <c:pt idx="2224">
                  <c:v>55032</c:v>
                </c:pt>
                <c:pt idx="2225">
                  <c:v>55039</c:v>
                </c:pt>
                <c:pt idx="2226">
                  <c:v>55046</c:v>
                </c:pt>
                <c:pt idx="2227">
                  <c:v>55053</c:v>
                </c:pt>
                <c:pt idx="2228">
                  <c:v>55060</c:v>
                </c:pt>
                <c:pt idx="2229">
                  <c:v>55067</c:v>
                </c:pt>
                <c:pt idx="2230">
                  <c:v>55074</c:v>
                </c:pt>
                <c:pt idx="2231">
                  <c:v>55081</c:v>
                </c:pt>
                <c:pt idx="2232">
                  <c:v>55088</c:v>
                </c:pt>
                <c:pt idx="2233">
                  <c:v>55095</c:v>
                </c:pt>
                <c:pt idx="2234">
                  <c:v>55102</c:v>
                </c:pt>
                <c:pt idx="2235">
                  <c:v>55109</c:v>
                </c:pt>
                <c:pt idx="2236">
                  <c:v>55116</c:v>
                </c:pt>
                <c:pt idx="2237">
                  <c:v>55123</c:v>
                </c:pt>
                <c:pt idx="2238">
                  <c:v>55130</c:v>
                </c:pt>
                <c:pt idx="2239">
                  <c:v>55137</c:v>
                </c:pt>
                <c:pt idx="2240">
                  <c:v>55144</c:v>
                </c:pt>
                <c:pt idx="2241">
                  <c:v>55151</c:v>
                </c:pt>
                <c:pt idx="2242">
                  <c:v>55158</c:v>
                </c:pt>
                <c:pt idx="2243">
                  <c:v>55165</c:v>
                </c:pt>
                <c:pt idx="2244">
                  <c:v>55172</c:v>
                </c:pt>
                <c:pt idx="2245">
                  <c:v>55179</c:v>
                </c:pt>
                <c:pt idx="2246">
                  <c:v>55186</c:v>
                </c:pt>
                <c:pt idx="2247">
                  <c:v>55193</c:v>
                </c:pt>
                <c:pt idx="2248">
                  <c:v>55200</c:v>
                </c:pt>
                <c:pt idx="2249">
                  <c:v>55207</c:v>
                </c:pt>
                <c:pt idx="2250">
                  <c:v>55214</c:v>
                </c:pt>
                <c:pt idx="2251">
                  <c:v>55221</c:v>
                </c:pt>
                <c:pt idx="2252">
                  <c:v>55228</c:v>
                </c:pt>
                <c:pt idx="2253">
                  <c:v>55235</c:v>
                </c:pt>
                <c:pt idx="2254">
                  <c:v>55242</c:v>
                </c:pt>
                <c:pt idx="2255">
                  <c:v>55249</c:v>
                </c:pt>
                <c:pt idx="2256">
                  <c:v>55256</c:v>
                </c:pt>
                <c:pt idx="2257">
                  <c:v>55263</c:v>
                </c:pt>
                <c:pt idx="2258">
                  <c:v>55270</c:v>
                </c:pt>
                <c:pt idx="2259">
                  <c:v>55277</c:v>
                </c:pt>
                <c:pt idx="2260">
                  <c:v>55285</c:v>
                </c:pt>
                <c:pt idx="2261">
                  <c:v>55291</c:v>
                </c:pt>
                <c:pt idx="2262">
                  <c:v>55298</c:v>
                </c:pt>
                <c:pt idx="2263">
                  <c:v>55305</c:v>
                </c:pt>
                <c:pt idx="2264">
                  <c:v>55312</c:v>
                </c:pt>
                <c:pt idx="2265">
                  <c:v>55319</c:v>
                </c:pt>
                <c:pt idx="2266">
                  <c:v>55326</c:v>
                </c:pt>
                <c:pt idx="2267">
                  <c:v>55333</c:v>
                </c:pt>
                <c:pt idx="2268">
                  <c:v>55340</c:v>
                </c:pt>
                <c:pt idx="2269">
                  <c:v>55347</c:v>
                </c:pt>
                <c:pt idx="2270">
                  <c:v>55354</c:v>
                </c:pt>
                <c:pt idx="2271">
                  <c:v>55361</c:v>
                </c:pt>
                <c:pt idx="2272">
                  <c:v>55368</c:v>
                </c:pt>
                <c:pt idx="2273">
                  <c:v>55375</c:v>
                </c:pt>
                <c:pt idx="2274">
                  <c:v>55382</c:v>
                </c:pt>
                <c:pt idx="2275">
                  <c:v>55389</c:v>
                </c:pt>
                <c:pt idx="2276">
                  <c:v>55396</c:v>
                </c:pt>
                <c:pt idx="2277">
                  <c:v>55403</c:v>
                </c:pt>
                <c:pt idx="2278">
                  <c:v>55410</c:v>
                </c:pt>
                <c:pt idx="2279">
                  <c:v>55417</c:v>
                </c:pt>
                <c:pt idx="2280">
                  <c:v>55424</c:v>
                </c:pt>
                <c:pt idx="2281">
                  <c:v>55431</c:v>
                </c:pt>
                <c:pt idx="2282">
                  <c:v>55438</c:v>
                </c:pt>
                <c:pt idx="2283">
                  <c:v>55445</c:v>
                </c:pt>
                <c:pt idx="2284">
                  <c:v>55452</c:v>
                </c:pt>
                <c:pt idx="2285">
                  <c:v>55459</c:v>
                </c:pt>
                <c:pt idx="2286">
                  <c:v>55466</c:v>
                </c:pt>
                <c:pt idx="2287">
                  <c:v>55473</c:v>
                </c:pt>
                <c:pt idx="2288">
                  <c:v>55480</c:v>
                </c:pt>
                <c:pt idx="2289">
                  <c:v>55487</c:v>
                </c:pt>
                <c:pt idx="2290">
                  <c:v>55494</c:v>
                </c:pt>
                <c:pt idx="2291">
                  <c:v>55501</c:v>
                </c:pt>
                <c:pt idx="2292">
                  <c:v>55508</c:v>
                </c:pt>
                <c:pt idx="2293">
                  <c:v>55516</c:v>
                </c:pt>
                <c:pt idx="2294">
                  <c:v>55523</c:v>
                </c:pt>
                <c:pt idx="2295">
                  <c:v>55530</c:v>
                </c:pt>
                <c:pt idx="2296">
                  <c:v>55537</c:v>
                </c:pt>
                <c:pt idx="2297">
                  <c:v>55544</c:v>
                </c:pt>
                <c:pt idx="2298">
                  <c:v>55551</c:v>
                </c:pt>
                <c:pt idx="2299">
                  <c:v>55558</c:v>
                </c:pt>
                <c:pt idx="2300">
                  <c:v>55565</c:v>
                </c:pt>
                <c:pt idx="2301">
                  <c:v>55572</c:v>
                </c:pt>
                <c:pt idx="2302">
                  <c:v>55579</c:v>
                </c:pt>
                <c:pt idx="2303">
                  <c:v>55586</c:v>
                </c:pt>
                <c:pt idx="2304">
                  <c:v>55593</c:v>
                </c:pt>
                <c:pt idx="2305">
                  <c:v>55600</c:v>
                </c:pt>
                <c:pt idx="2306">
                  <c:v>55607</c:v>
                </c:pt>
                <c:pt idx="2307">
                  <c:v>55614</c:v>
                </c:pt>
                <c:pt idx="2308">
                  <c:v>55621</c:v>
                </c:pt>
                <c:pt idx="2309">
                  <c:v>55632</c:v>
                </c:pt>
                <c:pt idx="2310">
                  <c:v>55635</c:v>
                </c:pt>
                <c:pt idx="2311">
                  <c:v>55645</c:v>
                </c:pt>
                <c:pt idx="2312">
                  <c:v>55652</c:v>
                </c:pt>
                <c:pt idx="2313">
                  <c:v>55659</c:v>
                </c:pt>
                <c:pt idx="2314">
                  <c:v>55666</c:v>
                </c:pt>
                <c:pt idx="2315">
                  <c:v>55674</c:v>
                </c:pt>
                <c:pt idx="2316">
                  <c:v>55682</c:v>
                </c:pt>
                <c:pt idx="2317">
                  <c:v>55688</c:v>
                </c:pt>
                <c:pt idx="2318">
                  <c:v>55696</c:v>
                </c:pt>
                <c:pt idx="2319">
                  <c:v>55703</c:v>
                </c:pt>
                <c:pt idx="2320">
                  <c:v>55710</c:v>
                </c:pt>
                <c:pt idx="2321">
                  <c:v>55717</c:v>
                </c:pt>
                <c:pt idx="2322">
                  <c:v>55724</c:v>
                </c:pt>
                <c:pt idx="2323">
                  <c:v>55731</c:v>
                </c:pt>
                <c:pt idx="2324">
                  <c:v>55738</c:v>
                </c:pt>
                <c:pt idx="2325">
                  <c:v>55745</c:v>
                </c:pt>
                <c:pt idx="2326">
                  <c:v>55752</c:v>
                </c:pt>
                <c:pt idx="2327">
                  <c:v>55759</c:v>
                </c:pt>
                <c:pt idx="2328">
                  <c:v>55766</c:v>
                </c:pt>
                <c:pt idx="2329">
                  <c:v>55773</c:v>
                </c:pt>
                <c:pt idx="2330">
                  <c:v>55780</c:v>
                </c:pt>
                <c:pt idx="2331">
                  <c:v>55787</c:v>
                </c:pt>
                <c:pt idx="2332">
                  <c:v>55794</c:v>
                </c:pt>
                <c:pt idx="2333">
                  <c:v>55801</c:v>
                </c:pt>
                <c:pt idx="2334">
                  <c:v>55808</c:v>
                </c:pt>
                <c:pt idx="2335">
                  <c:v>55815</c:v>
                </c:pt>
                <c:pt idx="2336">
                  <c:v>55822</c:v>
                </c:pt>
                <c:pt idx="2337">
                  <c:v>55829</c:v>
                </c:pt>
                <c:pt idx="2338">
                  <c:v>55836</c:v>
                </c:pt>
                <c:pt idx="2339">
                  <c:v>55843</c:v>
                </c:pt>
                <c:pt idx="2340">
                  <c:v>55850</c:v>
                </c:pt>
                <c:pt idx="2341">
                  <c:v>55857</c:v>
                </c:pt>
                <c:pt idx="2342">
                  <c:v>55864</c:v>
                </c:pt>
                <c:pt idx="2343">
                  <c:v>55871</c:v>
                </c:pt>
                <c:pt idx="2344">
                  <c:v>55883</c:v>
                </c:pt>
                <c:pt idx="2345">
                  <c:v>55887</c:v>
                </c:pt>
                <c:pt idx="2346">
                  <c:v>55893</c:v>
                </c:pt>
                <c:pt idx="2347">
                  <c:v>55900</c:v>
                </c:pt>
                <c:pt idx="2348">
                  <c:v>55907</c:v>
                </c:pt>
                <c:pt idx="2349">
                  <c:v>55914</c:v>
                </c:pt>
                <c:pt idx="2350">
                  <c:v>55921</c:v>
                </c:pt>
                <c:pt idx="2351">
                  <c:v>55928</c:v>
                </c:pt>
                <c:pt idx="2352">
                  <c:v>55935</c:v>
                </c:pt>
                <c:pt idx="2353">
                  <c:v>55942</c:v>
                </c:pt>
                <c:pt idx="2354">
                  <c:v>55949</c:v>
                </c:pt>
                <c:pt idx="2355">
                  <c:v>55956</c:v>
                </c:pt>
                <c:pt idx="2356">
                  <c:v>55963</c:v>
                </c:pt>
                <c:pt idx="2357">
                  <c:v>55970</c:v>
                </c:pt>
                <c:pt idx="2358">
                  <c:v>55977</c:v>
                </c:pt>
                <c:pt idx="2359">
                  <c:v>55984</c:v>
                </c:pt>
                <c:pt idx="2360">
                  <c:v>55991</c:v>
                </c:pt>
                <c:pt idx="2361">
                  <c:v>55998</c:v>
                </c:pt>
                <c:pt idx="2362">
                  <c:v>56006</c:v>
                </c:pt>
                <c:pt idx="2363">
                  <c:v>56012</c:v>
                </c:pt>
                <c:pt idx="2364">
                  <c:v>56020</c:v>
                </c:pt>
                <c:pt idx="2365">
                  <c:v>56026</c:v>
                </c:pt>
                <c:pt idx="2366">
                  <c:v>56033</c:v>
                </c:pt>
                <c:pt idx="2367">
                  <c:v>56040</c:v>
                </c:pt>
                <c:pt idx="2368">
                  <c:v>56047</c:v>
                </c:pt>
                <c:pt idx="2369">
                  <c:v>56054</c:v>
                </c:pt>
                <c:pt idx="2370">
                  <c:v>56061</c:v>
                </c:pt>
                <c:pt idx="2371">
                  <c:v>56068</c:v>
                </c:pt>
                <c:pt idx="2372">
                  <c:v>56075</c:v>
                </c:pt>
                <c:pt idx="2373">
                  <c:v>56082</c:v>
                </c:pt>
                <c:pt idx="2374">
                  <c:v>56089</c:v>
                </c:pt>
                <c:pt idx="2375">
                  <c:v>56096</c:v>
                </c:pt>
                <c:pt idx="2376">
                  <c:v>56103</c:v>
                </c:pt>
                <c:pt idx="2377">
                  <c:v>56110</c:v>
                </c:pt>
                <c:pt idx="2378">
                  <c:v>56117</c:v>
                </c:pt>
                <c:pt idx="2379">
                  <c:v>56124</c:v>
                </c:pt>
                <c:pt idx="2380">
                  <c:v>56131</c:v>
                </c:pt>
                <c:pt idx="2381">
                  <c:v>56138</c:v>
                </c:pt>
                <c:pt idx="2382">
                  <c:v>56145</c:v>
                </c:pt>
                <c:pt idx="2383">
                  <c:v>56152</c:v>
                </c:pt>
                <c:pt idx="2384">
                  <c:v>56159</c:v>
                </c:pt>
                <c:pt idx="2385">
                  <c:v>56166</c:v>
                </c:pt>
                <c:pt idx="2386">
                  <c:v>56173</c:v>
                </c:pt>
                <c:pt idx="2387">
                  <c:v>56180</c:v>
                </c:pt>
                <c:pt idx="2388">
                  <c:v>56187</c:v>
                </c:pt>
                <c:pt idx="2389">
                  <c:v>56194</c:v>
                </c:pt>
                <c:pt idx="2390">
                  <c:v>56201</c:v>
                </c:pt>
                <c:pt idx="2391">
                  <c:v>56208</c:v>
                </c:pt>
                <c:pt idx="2392">
                  <c:v>56215</c:v>
                </c:pt>
                <c:pt idx="2393">
                  <c:v>56222</c:v>
                </c:pt>
                <c:pt idx="2394">
                  <c:v>56229</c:v>
                </c:pt>
                <c:pt idx="2395">
                  <c:v>56236</c:v>
                </c:pt>
                <c:pt idx="2396">
                  <c:v>56248</c:v>
                </c:pt>
                <c:pt idx="2397">
                  <c:v>56254</c:v>
                </c:pt>
                <c:pt idx="2398">
                  <c:v>56258</c:v>
                </c:pt>
                <c:pt idx="2399">
                  <c:v>56265</c:v>
                </c:pt>
                <c:pt idx="2400">
                  <c:v>56272</c:v>
                </c:pt>
                <c:pt idx="2401">
                  <c:v>56279</c:v>
                </c:pt>
                <c:pt idx="2402">
                  <c:v>56286</c:v>
                </c:pt>
                <c:pt idx="2403">
                  <c:v>56293</c:v>
                </c:pt>
                <c:pt idx="2404">
                  <c:v>56300</c:v>
                </c:pt>
                <c:pt idx="2405">
                  <c:v>56307</c:v>
                </c:pt>
                <c:pt idx="2406">
                  <c:v>56314</c:v>
                </c:pt>
                <c:pt idx="2407">
                  <c:v>56321</c:v>
                </c:pt>
                <c:pt idx="2408">
                  <c:v>56328</c:v>
                </c:pt>
                <c:pt idx="2409">
                  <c:v>56339</c:v>
                </c:pt>
                <c:pt idx="2410">
                  <c:v>56342</c:v>
                </c:pt>
                <c:pt idx="2411">
                  <c:v>56349</c:v>
                </c:pt>
                <c:pt idx="2412">
                  <c:v>56356</c:v>
                </c:pt>
                <c:pt idx="2413">
                  <c:v>56363</c:v>
                </c:pt>
                <c:pt idx="2414">
                  <c:v>56373</c:v>
                </c:pt>
                <c:pt idx="2415">
                  <c:v>56380</c:v>
                </c:pt>
                <c:pt idx="2416">
                  <c:v>56384</c:v>
                </c:pt>
                <c:pt idx="2417">
                  <c:v>56391</c:v>
                </c:pt>
                <c:pt idx="2418">
                  <c:v>56398</c:v>
                </c:pt>
                <c:pt idx="2419">
                  <c:v>56405</c:v>
                </c:pt>
                <c:pt idx="2420">
                  <c:v>56412</c:v>
                </c:pt>
                <c:pt idx="2421">
                  <c:v>56422</c:v>
                </c:pt>
                <c:pt idx="2422">
                  <c:v>56426</c:v>
                </c:pt>
                <c:pt idx="2423">
                  <c:v>56433</c:v>
                </c:pt>
                <c:pt idx="2424">
                  <c:v>56440</c:v>
                </c:pt>
                <c:pt idx="2425">
                  <c:v>56447</c:v>
                </c:pt>
                <c:pt idx="2426">
                  <c:v>56454</c:v>
                </c:pt>
                <c:pt idx="2427">
                  <c:v>56461</c:v>
                </c:pt>
                <c:pt idx="2428">
                  <c:v>56468</c:v>
                </c:pt>
                <c:pt idx="2429">
                  <c:v>56475</c:v>
                </c:pt>
                <c:pt idx="2430">
                  <c:v>56482</c:v>
                </c:pt>
                <c:pt idx="2431">
                  <c:v>56489</c:v>
                </c:pt>
                <c:pt idx="2432">
                  <c:v>56496</c:v>
                </c:pt>
                <c:pt idx="2433">
                  <c:v>56503</c:v>
                </c:pt>
                <c:pt idx="2434">
                  <c:v>56510</c:v>
                </c:pt>
                <c:pt idx="2435">
                  <c:v>56517</c:v>
                </c:pt>
                <c:pt idx="2436">
                  <c:v>56524</c:v>
                </c:pt>
                <c:pt idx="2437">
                  <c:v>56531</c:v>
                </c:pt>
                <c:pt idx="2438">
                  <c:v>56538</c:v>
                </c:pt>
                <c:pt idx="2439">
                  <c:v>56545</c:v>
                </c:pt>
                <c:pt idx="2440">
                  <c:v>56552</c:v>
                </c:pt>
                <c:pt idx="2441">
                  <c:v>56559</c:v>
                </c:pt>
                <c:pt idx="2442">
                  <c:v>56566</c:v>
                </c:pt>
                <c:pt idx="2443">
                  <c:v>56573</c:v>
                </c:pt>
                <c:pt idx="2444">
                  <c:v>56580</c:v>
                </c:pt>
                <c:pt idx="2445">
                  <c:v>56587</c:v>
                </c:pt>
                <c:pt idx="2446">
                  <c:v>56594</c:v>
                </c:pt>
                <c:pt idx="2447">
                  <c:v>56601</c:v>
                </c:pt>
                <c:pt idx="2448">
                  <c:v>56612</c:v>
                </c:pt>
                <c:pt idx="2449">
                  <c:v>56619</c:v>
                </c:pt>
                <c:pt idx="2450">
                  <c:v>56625</c:v>
                </c:pt>
                <c:pt idx="2451">
                  <c:v>56632</c:v>
                </c:pt>
                <c:pt idx="2452">
                  <c:v>56639</c:v>
                </c:pt>
                <c:pt idx="2453">
                  <c:v>56646</c:v>
                </c:pt>
                <c:pt idx="2454">
                  <c:v>56653</c:v>
                </c:pt>
                <c:pt idx="2455">
                  <c:v>56660</c:v>
                </c:pt>
                <c:pt idx="2456">
                  <c:v>56667</c:v>
                </c:pt>
                <c:pt idx="2457">
                  <c:v>56674</c:v>
                </c:pt>
                <c:pt idx="2458">
                  <c:v>56681</c:v>
                </c:pt>
                <c:pt idx="2459">
                  <c:v>56688</c:v>
                </c:pt>
                <c:pt idx="2460">
                  <c:v>56695</c:v>
                </c:pt>
                <c:pt idx="2461">
                  <c:v>56702</c:v>
                </c:pt>
                <c:pt idx="2462">
                  <c:v>56709</c:v>
                </c:pt>
                <c:pt idx="2463">
                  <c:v>56716</c:v>
                </c:pt>
                <c:pt idx="2464">
                  <c:v>56725</c:v>
                </c:pt>
                <c:pt idx="2465">
                  <c:v>56730</c:v>
                </c:pt>
                <c:pt idx="2466">
                  <c:v>56737</c:v>
                </c:pt>
                <c:pt idx="2467">
                  <c:v>56744</c:v>
                </c:pt>
                <c:pt idx="2468">
                  <c:v>56751</c:v>
                </c:pt>
                <c:pt idx="2469">
                  <c:v>56758</c:v>
                </c:pt>
                <c:pt idx="2470">
                  <c:v>56766</c:v>
                </c:pt>
                <c:pt idx="2471">
                  <c:v>56774</c:v>
                </c:pt>
                <c:pt idx="2472">
                  <c:v>56780</c:v>
                </c:pt>
                <c:pt idx="2473">
                  <c:v>56787</c:v>
                </c:pt>
                <c:pt idx="2474">
                  <c:v>56795</c:v>
                </c:pt>
                <c:pt idx="2475">
                  <c:v>56802</c:v>
                </c:pt>
                <c:pt idx="2476">
                  <c:v>56809</c:v>
                </c:pt>
                <c:pt idx="2477">
                  <c:v>56816</c:v>
                </c:pt>
                <c:pt idx="2478">
                  <c:v>56823</c:v>
                </c:pt>
                <c:pt idx="2479">
                  <c:v>56830</c:v>
                </c:pt>
                <c:pt idx="2480">
                  <c:v>56837</c:v>
                </c:pt>
                <c:pt idx="2481">
                  <c:v>56844</c:v>
                </c:pt>
                <c:pt idx="2482">
                  <c:v>56851</c:v>
                </c:pt>
                <c:pt idx="2483">
                  <c:v>56858</c:v>
                </c:pt>
                <c:pt idx="2484">
                  <c:v>56865</c:v>
                </c:pt>
                <c:pt idx="2485">
                  <c:v>56872</c:v>
                </c:pt>
                <c:pt idx="2486">
                  <c:v>56879</c:v>
                </c:pt>
                <c:pt idx="2487">
                  <c:v>56886</c:v>
                </c:pt>
                <c:pt idx="2488">
                  <c:v>56893</c:v>
                </c:pt>
                <c:pt idx="2489">
                  <c:v>56900</c:v>
                </c:pt>
                <c:pt idx="2490">
                  <c:v>56907</c:v>
                </c:pt>
                <c:pt idx="2491">
                  <c:v>56914</c:v>
                </c:pt>
                <c:pt idx="2492">
                  <c:v>56921</c:v>
                </c:pt>
                <c:pt idx="2493">
                  <c:v>56928</c:v>
                </c:pt>
                <c:pt idx="2494">
                  <c:v>56935</c:v>
                </c:pt>
                <c:pt idx="2495">
                  <c:v>56942</c:v>
                </c:pt>
                <c:pt idx="2496">
                  <c:v>56949</c:v>
                </c:pt>
                <c:pt idx="2497">
                  <c:v>56956</c:v>
                </c:pt>
                <c:pt idx="2498">
                  <c:v>56963</c:v>
                </c:pt>
                <c:pt idx="2499">
                  <c:v>56970</c:v>
                </c:pt>
                <c:pt idx="2500">
                  <c:v>56977</c:v>
                </c:pt>
                <c:pt idx="2501">
                  <c:v>56984</c:v>
                </c:pt>
                <c:pt idx="2502">
                  <c:v>56991</c:v>
                </c:pt>
                <c:pt idx="2503">
                  <c:v>56998</c:v>
                </c:pt>
                <c:pt idx="2504">
                  <c:v>57005</c:v>
                </c:pt>
                <c:pt idx="2505">
                  <c:v>57012</c:v>
                </c:pt>
                <c:pt idx="2506">
                  <c:v>57019</c:v>
                </c:pt>
                <c:pt idx="2507">
                  <c:v>57026</c:v>
                </c:pt>
                <c:pt idx="2508">
                  <c:v>57033</c:v>
                </c:pt>
                <c:pt idx="2509">
                  <c:v>57040</c:v>
                </c:pt>
                <c:pt idx="2510">
                  <c:v>57047</c:v>
                </c:pt>
                <c:pt idx="2511">
                  <c:v>57054</c:v>
                </c:pt>
                <c:pt idx="2512">
                  <c:v>57061</c:v>
                </c:pt>
                <c:pt idx="2513">
                  <c:v>57068</c:v>
                </c:pt>
                <c:pt idx="2514">
                  <c:v>57076</c:v>
                </c:pt>
                <c:pt idx="2515">
                  <c:v>57083</c:v>
                </c:pt>
                <c:pt idx="2516">
                  <c:v>57090</c:v>
                </c:pt>
                <c:pt idx="2517">
                  <c:v>57097</c:v>
                </c:pt>
                <c:pt idx="2518">
                  <c:v>57104</c:v>
                </c:pt>
                <c:pt idx="2519">
                  <c:v>57112</c:v>
                </c:pt>
                <c:pt idx="2520">
                  <c:v>57118</c:v>
                </c:pt>
                <c:pt idx="2521">
                  <c:v>57125</c:v>
                </c:pt>
                <c:pt idx="2522">
                  <c:v>57132</c:v>
                </c:pt>
                <c:pt idx="2523">
                  <c:v>57139</c:v>
                </c:pt>
                <c:pt idx="2524">
                  <c:v>57146</c:v>
                </c:pt>
                <c:pt idx="2525">
                  <c:v>57153</c:v>
                </c:pt>
                <c:pt idx="2526">
                  <c:v>57160</c:v>
                </c:pt>
                <c:pt idx="2527">
                  <c:v>57167</c:v>
                </c:pt>
                <c:pt idx="2528">
                  <c:v>57174</c:v>
                </c:pt>
                <c:pt idx="2529">
                  <c:v>57181</c:v>
                </c:pt>
                <c:pt idx="2530">
                  <c:v>57188</c:v>
                </c:pt>
                <c:pt idx="2531">
                  <c:v>57195</c:v>
                </c:pt>
                <c:pt idx="2532">
                  <c:v>57202</c:v>
                </c:pt>
                <c:pt idx="2533">
                  <c:v>57209</c:v>
                </c:pt>
                <c:pt idx="2534">
                  <c:v>57216</c:v>
                </c:pt>
                <c:pt idx="2535">
                  <c:v>57223</c:v>
                </c:pt>
                <c:pt idx="2536">
                  <c:v>57230</c:v>
                </c:pt>
                <c:pt idx="2537">
                  <c:v>57237</c:v>
                </c:pt>
                <c:pt idx="2538">
                  <c:v>57244</c:v>
                </c:pt>
                <c:pt idx="2539">
                  <c:v>57251</c:v>
                </c:pt>
                <c:pt idx="2540">
                  <c:v>57258</c:v>
                </c:pt>
                <c:pt idx="2541">
                  <c:v>57265</c:v>
                </c:pt>
                <c:pt idx="2542">
                  <c:v>57272</c:v>
                </c:pt>
                <c:pt idx="2543">
                  <c:v>57279</c:v>
                </c:pt>
                <c:pt idx="2544">
                  <c:v>57286</c:v>
                </c:pt>
                <c:pt idx="2545">
                  <c:v>57293</c:v>
                </c:pt>
                <c:pt idx="2546">
                  <c:v>57300</c:v>
                </c:pt>
                <c:pt idx="2547">
                  <c:v>57307</c:v>
                </c:pt>
                <c:pt idx="2548">
                  <c:v>57314</c:v>
                </c:pt>
                <c:pt idx="2549">
                  <c:v>57321</c:v>
                </c:pt>
                <c:pt idx="2550">
                  <c:v>57328</c:v>
                </c:pt>
                <c:pt idx="2551">
                  <c:v>57335</c:v>
                </c:pt>
                <c:pt idx="2552">
                  <c:v>57343</c:v>
                </c:pt>
                <c:pt idx="2553">
                  <c:v>57350</c:v>
                </c:pt>
                <c:pt idx="2554">
                  <c:v>57357</c:v>
                </c:pt>
                <c:pt idx="2555">
                  <c:v>57364</c:v>
                </c:pt>
                <c:pt idx="2556">
                  <c:v>57371</c:v>
                </c:pt>
                <c:pt idx="2557">
                  <c:v>57378</c:v>
                </c:pt>
                <c:pt idx="2558">
                  <c:v>57385</c:v>
                </c:pt>
                <c:pt idx="2559">
                  <c:v>57392</c:v>
                </c:pt>
                <c:pt idx="2560">
                  <c:v>57399</c:v>
                </c:pt>
                <c:pt idx="2561">
                  <c:v>57406</c:v>
                </c:pt>
                <c:pt idx="2562">
                  <c:v>57413</c:v>
                </c:pt>
                <c:pt idx="2563">
                  <c:v>57420</c:v>
                </c:pt>
                <c:pt idx="2564">
                  <c:v>57427</c:v>
                </c:pt>
                <c:pt idx="2565">
                  <c:v>57434</c:v>
                </c:pt>
                <c:pt idx="2566">
                  <c:v>57441</c:v>
                </c:pt>
                <c:pt idx="2567">
                  <c:v>57448</c:v>
                </c:pt>
                <c:pt idx="2568">
                  <c:v>57459</c:v>
                </c:pt>
                <c:pt idx="2569">
                  <c:v>57462</c:v>
                </c:pt>
                <c:pt idx="2570">
                  <c:v>57469</c:v>
                </c:pt>
                <c:pt idx="2571">
                  <c:v>57476</c:v>
                </c:pt>
                <c:pt idx="2572">
                  <c:v>57483</c:v>
                </c:pt>
                <c:pt idx="2573">
                  <c:v>57490</c:v>
                </c:pt>
                <c:pt idx="2574">
                  <c:v>57500</c:v>
                </c:pt>
                <c:pt idx="2575">
                  <c:v>57504</c:v>
                </c:pt>
                <c:pt idx="2576">
                  <c:v>57511</c:v>
                </c:pt>
                <c:pt idx="2577">
                  <c:v>57521</c:v>
                </c:pt>
                <c:pt idx="2578">
                  <c:v>57525</c:v>
                </c:pt>
                <c:pt idx="2579">
                  <c:v>57532</c:v>
                </c:pt>
                <c:pt idx="2580">
                  <c:v>57539</c:v>
                </c:pt>
                <c:pt idx="2581">
                  <c:v>57546</c:v>
                </c:pt>
                <c:pt idx="2582">
                  <c:v>57553</c:v>
                </c:pt>
                <c:pt idx="2583">
                  <c:v>57560</c:v>
                </c:pt>
                <c:pt idx="2584">
                  <c:v>57567</c:v>
                </c:pt>
                <c:pt idx="2585">
                  <c:v>57574</c:v>
                </c:pt>
                <c:pt idx="2586">
                  <c:v>57581</c:v>
                </c:pt>
                <c:pt idx="2587">
                  <c:v>57588</c:v>
                </c:pt>
                <c:pt idx="2588">
                  <c:v>57595</c:v>
                </c:pt>
                <c:pt idx="2589">
                  <c:v>57602</c:v>
                </c:pt>
                <c:pt idx="2590">
                  <c:v>57609</c:v>
                </c:pt>
                <c:pt idx="2591">
                  <c:v>57616</c:v>
                </c:pt>
                <c:pt idx="2592">
                  <c:v>57623</c:v>
                </c:pt>
                <c:pt idx="2593">
                  <c:v>57630</c:v>
                </c:pt>
                <c:pt idx="2594">
                  <c:v>57637</c:v>
                </c:pt>
                <c:pt idx="2595">
                  <c:v>57644</c:v>
                </c:pt>
                <c:pt idx="2596">
                  <c:v>57651</c:v>
                </c:pt>
                <c:pt idx="2597">
                  <c:v>57658</c:v>
                </c:pt>
                <c:pt idx="2598">
                  <c:v>57665</c:v>
                </c:pt>
                <c:pt idx="2599">
                  <c:v>57672</c:v>
                </c:pt>
                <c:pt idx="2600">
                  <c:v>57679</c:v>
                </c:pt>
                <c:pt idx="2601">
                  <c:v>57686</c:v>
                </c:pt>
                <c:pt idx="2602">
                  <c:v>57693</c:v>
                </c:pt>
                <c:pt idx="2603">
                  <c:v>57700</c:v>
                </c:pt>
                <c:pt idx="2604">
                  <c:v>57712</c:v>
                </c:pt>
                <c:pt idx="2605">
                  <c:v>57717</c:v>
                </c:pt>
                <c:pt idx="2606">
                  <c:v>57724</c:v>
                </c:pt>
                <c:pt idx="2607">
                  <c:v>57731</c:v>
                </c:pt>
                <c:pt idx="2608">
                  <c:v>57738</c:v>
                </c:pt>
                <c:pt idx="2609">
                  <c:v>57745</c:v>
                </c:pt>
                <c:pt idx="2610">
                  <c:v>57752</c:v>
                </c:pt>
                <c:pt idx="2611">
                  <c:v>57759</c:v>
                </c:pt>
                <c:pt idx="2612">
                  <c:v>57766</c:v>
                </c:pt>
                <c:pt idx="2613">
                  <c:v>57773</c:v>
                </c:pt>
                <c:pt idx="2614">
                  <c:v>57780</c:v>
                </c:pt>
                <c:pt idx="2615">
                  <c:v>57787</c:v>
                </c:pt>
                <c:pt idx="2616">
                  <c:v>57794</c:v>
                </c:pt>
                <c:pt idx="2617">
                  <c:v>57801</c:v>
                </c:pt>
                <c:pt idx="2618">
                  <c:v>57808</c:v>
                </c:pt>
                <c:pt idx="2619">
                  <c:v>57817</c:v>
                </c:pt>
                <c:pt idx="2620">
                  <c:v>57822</c:v>
                </c:pt>
                <c:pt idx="2621">
                  <c:v>57829</c:v>
                </c:pt>
                <c:pt idx="2622">
                  <c:v>57836</c:v>
                </c:pt>
                <c:pt idx="2623">
                  <c:v>57843</c:v>
                </c:pt>
                <c:pt idx="2624">
                  <c:v>57850</c:v>
                </c:pt>
                <c:pt idx="2625">
                  <c:v>57858</c:v>
                </c:pt>
                <c:pt idx="2626">
                  <c:v>57866</c:v>
                </c:pt>
                <c:pt idx="2627">
                  <c:v>57872</c:v>
                </c:pt>
                <c:pt idx="2628">
                  <c:v>57879</c:v>
                </c:pt>
                <c:pt idx="2629">
                  <c:v>57887</c:v>
                </c:pt>
                <c:pt idx="2630">
                  <c:v>57894</c:v>
                </c:pt>
                <c:pt idx="2631">
                  <c:v>57901</c:v>
                </c:pt>
                <c:pt idx="2632">
                  <c:v>57908</c:v>
                </c:pt>
                <c:pt idx="2633">
                  <c:v>57915</c:v>
                </c:pt>
                <c:pt idx="2634">
                  <c:v>57922</c:v>
                </c:pt>
                <c:pt idx="2635">
                  <c:v>57929</c:v>
                </c:pt>
                <c:pt idx="2636">
                  <c:v>57936</c:v>
                </c:pt>
                <c:pt idx="2637">
                  <c:v>57943</c:v>
                </c:pt>
                <c:pt idx="2638">
                  <c:v>57950</c:v>
                </c:pt>
                <c:pt idx="2639">
                  <c:v>57957</c:v>
                </c:pt>
                <c:pt idx="2640">
                  <c:v>57964</c:v>
                </c:pt>
                <c:pt idx="2641">
                  <c:v>57971</c:v>
                </c:pt>
                <c:pt idx="2642">
                  <c:v>57978</c:v>
                </c:pt>
                <c:pt idx="2643">
                  <c:v>57985</c:v>
                </c:pt>
                <c:pt idx="2644">
                  <c:v>57992</c:v>
                </c:pt>
                <c:pt idx="2645">
                  <c:v>57999</c:v>
                </c:pt>
                <c:pt idx="2646">
                  <c:v>58006</c:v>
                </c:pt>
                <c:pt idx="2647">
                  <c:v>58013</c:v>
                </c:pt>
                <c:pt idx="2648">
                  <c:v>58020</c:v>
                </c:pt>
                <c:pt idx="2649">
                  <c:v>58027</c:v>
                </c:pt>
                <c:pt idx="2650">
                  <c:v>58034</c:v>
                </c:pt>
                <c:pt idx="2651">
                  <c:v>58041</c:v>
                </c:pt>
                <c:pt idx="2652">
                  <c:v>58048</c:v>
                </c:pt>
                <c:pt idx="2653">
                  <c:v>58055</c:v>
                </c:pt>
                <c:pt idx="2654">
                  <c:v>58062</c:v>
                </c:pt>
                <c:pt idx="2655">
                  <c:v>58074</c:v>
                </c:pt>
                <c:pt idx="2656">
                  <c:v>58078</c:v>
                </c:pt>
                <c:pt idx="2657">
                  <c:v>58084</c:v>
                </c:pt>
                <c:pt idx="2658">
                  <c:v>58091</c:v>
                </c:pt>
                <c:pt idx="2659">
                  <c:v>58098</c:v>
                </c:pt>
                <c:pt idx="2660">
                  <c:v>58105</c:v>
                </c:pt>
                <c:pt idx="2661">
                  <c:v>58112</c:v>
                </c:pt>
                <c:pt idx="2662">
                  <c:v>58119</c:v>
                </c:pt>
                <c:pt idx="2663">
                  <c:v>58126</c:v>
                </c:pt>
                <c:pt idx="2664">
                  <c:v>58133</c:v>
                </c:pt>
                <c:pt idx="2665">
                  <c:v>58140</c:v>
                </c:pt>
                <c:pt idx="2666">
                  <c:v>58147</c:v>
                </c:pt>
                <c:pt idx="2667">
                  <c:v>58154</c:v>
                </c:pt>
                <c:pt idx="2668">
                  <c:v>58161</c:v>
                </c:pt>
                <c:pt idx="2669">
                  <c:v>58168</c:v>
                </c:pt>
                <c:pt idx="2670">
                  <c:v>58175</c:v>
                </c:pt>
                <c:pt idx="2671">
                  <c:v>58182</c:v>
                </c:pt>
                <c:pt idx="2672">
                  <c:v>58189</c:v>
                </c:pt>
                <c:pt idx="2673">
                  <c:v>58197</c:v>
                </c:pt>
                <c:pt idx="2674">
                  <c:v>58204</c:v>
                </c:pt>
                <c:pt idx="2675">
                  <c:v>58210</c:v>
                </c:pt>
                <c:pt idx="2676">
                  <c:v>58217</c:v>
                </c:pt>
                <c:pt idx="2677">
                  <c:v>58224</c:v>
                </c:pt>
                <c:pt idx="2678">
                  <c:v>58231</c:v>
                </c:pt>
                <c:pt idx="2679">
                  <c:v>58238</c:v>
                </c:pt>
                <c:pt idx="2680">
                  <c:v>58245</c:v>
                </c:pt>
                <c:pt idx="2681">
                  <c:v>58252</c:v>
                </c:pt>
                <c:pt idx="2682">
                  <c:v>58259</c:v>
                </c:pt>
                <c:pt idx="2683">
                  <c:v>58266</c:v>
                </c:pt>
                <c:pt idx="2684">
                  <c:v>58273</c:v>
                </c:pt>
                <c:pt idx="2685">
                  <c:v>58280</c:v>
                </c:pt>
                <c:pt idx="2686">
                  <c:v>58287</c:v>
                </c:pt>
                <c:pt idx="2687">
                  <c:v>58294</c:v>
                </c:pt>
                <c:pt idx="2688">
                  <c:v>58301</c:v>
                </c:pt>
                <c:pt idx="2689">
                  <c:v>58308</c:v>
                </c:pt>
                <c:pt idx="2690">
                  <c:v>58315</c:v>
                </c:pt>
                <c:pt idx="2691">
                  <c:v>58322</c:v>
                </c:pt>
                <c:pt idx="2692">
                  <c:v>58329</c:v>
                </c:pt>
                <c:pt idx="2693">
                  <c:v>58336</c:v>
                </c:pt>
                <c:pt idx="2694">
                  <c:v>58343</c:v>
                </c:pt>
                <c:pt idx="2695">
                  <c:v>58350</c:v>
                </c:pt>
                <c:pt idx="2696">
                  <c:v>58357</c:v>
                </c:pt>
                <c:pt idx="2697">
                  <c:v>58364</c:v>
                </c:pt>
                <c:pt idx="2698">
                  <c:v>58371</c:v>
                </c:pt>
                <c:pt idx="2699">
                  <c:v>58378</c:v>
                </c:pt>
                <c:pt idx="2700">
                  <c:v>58385</c:v>
                </c:pt>
                <c:pt idx="2701">
                  <c:v>58392</c:v>
                </c:pt>
                <c:pt idx="2702">
                  <c:v>58399</c:v>
                </c:pt>
                <c:pt idx="2703">
                  <c:v>58406</c:v>
                </c:pt>
                <c:pt idx="2704">
                  <c:v>58413</c:v>
                </c:pt>
                <c:pt idx="2705">
                  <c:v>58420</c:v>
                </c:pt>
                <c:pt idx="2706">
                  <c:v>58427</c:v>
                </c:pt>
                <c:pt idx="2707">
                  <c:v>58439</c:v>
                </c:pt>
                <c:pt idx="2708">
                  <c:v>58445</c:v>
                </c:pt>
                <c:pt idx="2709">
                  <c:v>58449</c:v>
                </c:pt>
                <c:pt idx="2710">
                  <c:v>58456</c:v>
                </c:pt>
                <c:pt idx="2711">
                  <c:v>58463</c:v>
                </c:pt>
                <c:pt idx="2712">
                  <c:v>58470</c:v>
                </c:pt>
                <c:pt idx="2713">
                  <c:v>58477</c:v>
                </c:pt>
                <c:pt idx="2714">
                  <c:v>58484</c:v>
                </c:pt>
                <c:pt idx="2715">
                  <c:v>58491</c:v>
                </c:pt>
                <c:pt idx="2716">
                  <c:v>58498</c:v>
                </c:pt>
                <c:pt idx="2717">
                  <c:v>58505</c:v>
                </c:pt>
                <c:pt idx="2718">
                  <c:v>58512</c:v>
                </c:pt>
                <c:pt idx="2719">
                  <c:v>58519</c:v>
                </c:pt>
                <c:pt idx="2720">
                  <c:v>58526</c:v>
                </c:pt>
                <c:pt idx="2721">
                  <c:v>58533</c:v>
                </c:pt>
                <c:pt idx="2722">
                  <c:v>58540</c:v>
                </c:pt>
                <c:pt idx="2723">
                  <c:v>58551</c:v>
                </c:pt>
                <c:pt idx="2724">
                  <c:v>58554</c:v>
                </c:pt>
                <c:pt idx="2725">
                  <c:v>58561</c:v>
                </c:pt>
                <c:pt idx="2726">
                  <c:v>58568</c:v>
                </c:pt>
                <c:pt idx="2727">
                  <c:v>58575</c:v>
                </c:pt>
                <c:pt idx="2728">
                  <c:v>58582</c:v>
                </c:pt>
                <c:pt idx="2729">
                  <c:v>58592</c:v>
                </c:pt>
                <c:pt idx="2730">
                  <c:v>58596</c:v>
                </c:pt>
                <c:pt idx="2731">
                  <c:v>58603</c:v>
                </c:pt>
                <c:pt idx="2732">
                  <c:v>58610</c:v>
                </c:pt>
                <c:pt idx="2733">
                  <c:v>58620</c:v>
                </c:pt>
                <c:pt idx="2734">
                  <c:v>58624</c:v>
                </c:pt>
                <c:pt idx="2735">
                  <c:v>58631</c:v>
                </c:pt>
                <c:pt idx="2736">
                  <c:v>58638</c:v>
                </c:pt>
                <c:pt idx="2737">
                  <c:v>58645</c:v>
                </c:pt>
                <c:pt idx="2738">
                  <c:v>58652</c:v>
                </c:pt>
                <c:pt idx="2739">
                  <c:v>58659</c:v>
                </c:pt>
                <c:pt idx="2740">
                  <c:v>58666</c:v>
                </c:pt>
                <c:pt idx="2741">
                  <c:v>58673</c:v>
                </c:pt>
                <c:pt idx="2742">
                  <c:v>58680</c:v>
                </c:pt>
                <c:pt idx="2743">
                  <c:v>58687</c:v>
                </c:pt>
                <c:pt idx="2744">
                  <c:v>58694</c:v>
                </c:pt>
                <c:pt idx="2745">
                  <c:v>58701</c:v>
                </c:pt>
                <c:pt idx="2746">
                  <c:v>58708</c:v>
                </c:pt>
                <c:pt idx="2747">
                  <c:v>58715</c:v>
                </c:pt>
                <c:pt idx="2748">
                  <c:v>58722</c:v>
                </c:pt>
                <c:pt idx="2749">
                  <c:v>58729</c:v>
                </c:pt>
                <c:pt idx="2750">
                  <c:v>58736</c:v>
                </c:pt>
                <c:pt idx="2751">
                  <c:v>58743</c:v>
                </c:pt>
                <c:pt idx="2752">
                  <c:v>58750</c:v>
                </c:pt>
                <c:pt idx="2753">
                  <c:v>58757</c:v>
                </c:pt>
                <c:pt idx="2754">
                  <c:v>58764</c:v>
                </c:pt>
                <c:pt idx="2755">
                  <c:v>58771</c:v>
                </c:pt>
                <c:pt idx="2756">
                  <c:v>58778</c:v>
                </c:pt>
                <c:pt idx="2757">
                  <c:v>58785</c:v>
                </c:pt>
                <c:pt idx="2758">
                  <c:v>58792</c:v>
                </c:pt>
                <c:pt idx="2759">
                  <c:v>58802</c:v>
                </c:pt>
                <c:pt idx="2760">
                  <c:v>58809</c:v>
                </c:pt>
                <c:pt idx="2761">
                  <c:v>58816</c:v>
                </c:pt>
                <c:pt idx="2762">
                  <c:v>58820</c:v>
                </c:pt>
                <c:pt idx="2763">
                  <c:v>58827</c:v>
                </c:pt>
                <c:pt idx="2764">
                  <c:v>58834</c:v>
                </c:pt>
                <c:pt idx="2765">
                  <c:v>58841</c:v>
                </c:pt>
                <c:pt idx="2766">
                  <c:v>58848</c:v>
                </c:pt>
                <c:pt idx="2767">
                  <c:v>58855</c:v>
                </c:pt>
                <c:pt idx="2768">
                  <c:v>58862</c:v>
                </c:pt>
                <c:pt idx="2769">
                  <c:v>58869</c:v>
                </c:pt>
                <c:pt idx="2770">
                  <c:v>58876</c:v>
                </c:pt>
                <c:pt idx="2771">
                  <c:v>58883</c:v>
                </c:pt>
                <c:pt idx="2772">
                  <c:v>58890</c:v>
                </c:pt>
                <c:pt idx="2773">
                  <c:v>58897</c:v>
                </c:pt>
                <c:pt idx="2774">
                  <c:v>58908</c:v>
                </c:pt>
                <c:pt idx="2775">
                  <c:v>58911</c:v>
                </c:pt>
                <c:pt idx="2776">
                  <c:v>58918</c:v>
                </c:pt>
                <c:pt idx="2777">
                  <c:v>58925</c:v>
                </c:pt>
                <c:pt idx="2778">
                  <c:v>58932</c:v>
                </c:pt>
                <c:pt idx="2779">
                  <c:v>58939</c:v>
                </c:pt>
                <c:pt idx="2780">
                  <c:v>58949</c:v>
                </c:pt>
                <c:pt idx="2781">
                  <c:v>58953</c:v>
                </c:pt>
                <c:pt idx="2782">
                  <c:v>58960</c:v>
                </c:pt>
                <c:pt idx="2783">
                  <c:v>58967</c:v>
                </c:pt>
                <c:pt idx="2784">
                  <c:v>58974</c:v>
                </c:pt>
                <c:pt idx="2785">
                  <c:v>58984</c:v>
                </c:pt>
                <c:pt idx="2786">
                  <c:v>58988</c:v>
                </c:pt>
                <c:pt idx="2787">
                  <c:v>58995</c:v>
                </c:pt>
                <c:pt idx="2788">
                  <c:v>59002</c:v>
                </c:pt>
                <c:pt idx="2789">
                  <c:v>59009</c:v>
                </c:pt>
                <c:pt idx="2790">
                  <c:v>59016</c:v>
                </c:pt>
                <c:pt idx="2791">
                  <c:v>59023</c:v>
                </c:pt>
                <c:pt idx="2792">
                  <c:v>59030</c:v>
                </c:pt>
                <c:pt idx="2793">
                  <c:v>59037</c:v>
                </c:pt>
                <c:pt idx="2794">
                  <c:v>59044</c:v>
                </c:pt>
                <c:pt idx="2795">
                  <c:v>59051</c:v>
                </c:pt>
                <c:pt idx="2796">
                  <c:v>59058</c:v>
                </c:pt>
                <c:pt idx="2797">
                  <c:v>59065</c:v>
                </c:pt>
                <c:pt idx="2798">
                  <c:v>59072</c:v>
                </c:pt>
                <c:pt idx="2799">
                  <c:v>59079</c:v>
                </c:pt>
                <c:pt idx="2800">
                  <c:v>59086</c:v>
                </c:pt>
                <c:pt idx="2801">
                  <c:v>59093</c:v>
                </c:pt>
                <c:pt idx="2802">
                  <c:v>59100</c:v>
                </c:pt>
                <c:pt idx="2803">
                  <c:v>59107</c:v>
                </c:pt>
                <c:pt idx="2804">
                  <c:v>59114</c:v>
                </c:pt>
                <c:pt idx="2805">
                  <c:v>59121</c:v>
                </c:pt>
                <c:pt idx="2806">
                  <c:v>59128</c:v>
                </c:pt>
                <c:pt idx="2807">
                  <c:v>59135</c:v>
                </c:pt>
                <c:pt idx="2808">
                  <c:v>59142</c:v>
                </c:pt>
                <c:pt idx="2809">
                  <c:v>59149</c:v>
                </c:pt>
                <c:pt idx="2810">
                  <c:v>59156</c:v>
                </c:pt>
                <c:pt idx="2811">
                  <c:v>59163</c:v>
                </c:pt>
                <c:pt idx="2812">
                  <c:v>59170</c:v>
                </c:pt>
                <c:pt idx="2813">
                  <c:v>59180</c:v>
                </c:pt>
                <c:pt idx="2814">
                  <c:v>59184</c:v>
                </c:pt>
                <c:pt idx="2815">
                  <c:v>59191</c:v>
                </c:pt>
                <c:pt idx="2816">
                  <c:v>59198</c:v>
                </c:pt>
                <c:pt idx="2817">
                  <c:v>59205</c:v>
                </c:pt>
                <c:pt idx="2818">
                  <c:v>59212</c:v>
                </c:pt>
                <c:pt idx="2819">
                  <c:v>59219</c:v>
                </c:pt>
                <c:pt idx="2820">
                  <c:v>59226</c:v>
                </c:pt>
                <c:pt idx="2821">
                  <c:v>59233</c:v>
                </c:pt>
                <c:pt idx="2822">
                  <c:v>59240</c:v>
                </c:pt>
                <c:pt idx="2823">
                  <c:v>59247</c:v>
                </c:pt>
                <c:pt idx="2824">
                  <c:v>59258</c:v>
                </c:pt>
                <c:pt idx="2825">
                  <c:v>59261</c:v>
                </c:pt>
                <c:pt idx="2826">
                  <c:v>59268</c:v>
                </c:pt>
                <c:pt idx="2827">
                  <c:v>59275</c:v>
                </c:pt>
                <c:pt idx="2828">
                  <c:v>59282</c:v>
                </c:pt>
                <c:pt idx="2829">
                  <c:v>59289</c:v>
                </c:pt>
                <c:pt idx="2830">
                  <c:v>59299</c:v>
                </c:pt>
                <c:pt idx="2831">
                  <c:v>59303</c:v>
                </c:pt>
                <c:pt idx="2832">
                  <c:v>59310</c:v>
                </c:pt>
                <c:pt idx="2833">
                  <c:v>59317</c:v>
                </c:pt>
                <c:pt idx="2834">
                  <c:v>59324</c:v>
                </c:pt>
                <c:pt idx="2835">
                  <c:v>59331</c:v>
                </c:pt>
                <c:pt idx="2836">
                  <c:v>59338</c:v>
                </c:pt>
                <c:pt idx="2837">
                  <c:v>59348</c:v>
                </c:pt>
                <c:pt idx="2838">
                  <c:v>59352</c:v>
                </c:pt>
                <c:pt idx="2839">
                  <c:v>59359</c:v>
                </c:pt>
                <c:pt idx="2840">
                  <c:v>59366</c:v>
                </c:pt>
                <c:pt idx="2841">
                  <c:v>59373</c:v>
                </c:pt>
                <c:pt idx="2842">
                  <c:v>59380</c:v>
                </c:pt>
                <c:pt idx="2843">
                  <c:v>59387</c:v>
                </c:pt>
                <c:pt idx="2844">
                  <c:v>59394</c:v>
                </c:pt>
                <c:pt idx="2845">
                  <c:v>59401</c:v>
                </c:pt>
                <c:pt idx="2846">
                  <c:v>59408</c:v>
                </c:pt>
                <c:pt idx="2847">
                  <c:v>59415</c:v>
                </c:pt>
                <c:pt idx="2848">
                  <c:v>59422</c:v>
                </c:pt>
                <c:pt idx="2849">
                  <c:v>59429</c:v>
                </c:pt>
                <c:pt idx="2850">
                  <c:v>59436</c:v>
                </c:pt>
                <c:pt idx="2851">
                  <c:v>59443</c:v>
                </c:pt>
                <c:pt idx="2852">
                  <c:v>59450</c:v>
                </c:pt>
                <c:pt idx="2853">
                  <c:v>59457</c:v>
                </c:pt>
                <c:pt idx="2854">
                  <c:v>59464</c:v>
                </c:pt>
                <c:pt idx="2855">
                  <c:v>59471</c:v>
                </c:pt>
                <c:pt idx="2856">
                  <c:v>59478</c:v>
                </c:pt>
                <c:pt idx="2857">
                  <c:v>59485</c:v>
                </c:pt>
                <c:pt idx="2858">
                  <c:v>59492</c:v>
                </c:pt>
                <c:pt idx="2859">
                  <c:v>59499</c:v>
                </c:pt>
                <c:pt idx="2860">
                  <c:v>59506</c:v>
                </c:pt>
                <c:pt idx="2861">
                  <c:v>59513</c:v>
                </c:pt>
                <c:pt idx="2862">
                  <c:v>59520</c:v>
                </c:pt>
                <c:pt idx="2863">
                  <c:v>59527</c:v>
                </c:pt>
                <c:pt idx="2864">
                  <c:v>59534</c:v>
                </c:pt>
                <c:pt idx="2865">
                  <c:v>59541</c:v>
                </c:pt>
                <c:pt idx="2866">
                  <c:v>59548</c:v>
                </c:pt>
                <c:pt idx="2867">
                  <c:v>59555</c:v>
                </c:pt>
                <c:pt idx="2868">
                  <c:v>59562</c:v>
                </c:pt>
                <c:pt idx="2869">
                  <c:v>59569</c:v>
                </c:pt>
                <c:pt idx="2870">
                  <c:v>59576</c:v>
                </c:pt>
                <c:pt idx="2871">
                  <c:v>59583</c:v>
                </c:pt>
                <c:pt idx="2872">
                  <c:v>59590</c:v>
                </c:pt>
                <c:pt idx="2873">
                  <c:v>59597</c:v>
                </c:pt>
                <c:pt idx="2874">
                  <c:v>59604</c:v>
                </c:pt>
                <c:pt idx="2875">
                  <c:v>59611</c:v>
                </c:pt>
                <c:pt idx="2876">
                  <c:v>59618</c:v>
                </c:pt>
                <c:pt idx="2877">
                  <c:v>59625</c:v>
                </c:pt>
                <c:pt idx="2878">
                  <c:v>59632</c:v>
                </c:pt>
                <c:pt idx="2879">
                  <c:v>59643</c:v>
                </c:pt>
                <c:pt idx="2880">
                  <c:v>59646</c:v>
                </c:pt>
                <c:pt idx="2881">
                  <c:v>59653</c:v>
                </c:pt>
                <c:pt idx="2882">
                  <c:v>59660</c:v>
                </c:pt>
                <c:pt idx="2883">
                  <c:v>59667</c:v>
                </c:pt>
                <c:pt idx="2884">
                  <c:v>59674</c:v>
                </c:pt>
                <c:pt idx="2885">
                  <c:v>59684</c:v>
                </c:pt>
                <c:pt idx="2886">
                  <c:v>59688</c:v>
                </c:pt>
                <c:pt idx="2887">
                  <c:v>59695</c:v>
                </c:pt>
                <c:pt idx="2888">
                  <c:v>59702</c:v>
                </c:pt>
                <c:pt idx="2889">
                  <c:v>59712</c:v>
                </c:pt>
                <c:pt idx="2890">
                  <c:v>59716</c:v>
                </c:pt>
                <c:pt idx="2891">
                  <c:v>59723</c:v>
                </c:pt>
                <c:pt idx="2892">
                  <c:v>59730</c:v>
                </c:pt>
                <c:pt idx="2893">
                  <c:v>59737</c:v>
                </c:pt>
                <c:pt idx="2894">
                  <c:v>59744</c:v>
                </c:pt>
                <c:pt idx="2895">
                  <c:v>59751</c:v>
                </c:pt>
                <c:pt idx="2896">
                  <c:v>59758</c:v>
                </c:pt>
                <c:pt idx="2897">
                  <c:v>59765</c:v>
                </c:pt>
                <c:pt idx="2898">
                  <c:v>59772</c:v>
                </c:pt>
                <c:pt idx="2899">
                  <c:v>59779</c:v>
                </c:pt>
                <c:pt idx="2900">
                  <c:v>59786</c:v>
                </c:pt>
                <c:pt idx="2901">
                  <c:v>59793</c:v>
                </c:pt>
                <c:pt idx="2902">
                  <c:v>59800</c:v>
                </c:pt>
                <c:pt idx="2903">
                  <c:v>59807</c:v>
                </c:pt>
                <c:pt idx="2904">
                  <c:v>59814</c:v>
                </c:pt>
                <c:pt idx="2905">
                  <c:v>59821</c:v>
                </c:pt>
                <c:pt idx="2906">
                  <c:v>59828</c:v>
                </c:pt>
                <c:pt idx="2907">
                  <c:v>59835</c:v>
                </c:pt>
                <c:pt idx="2908">
                  <c:v>59842</c:v>
                </c:pt>
                <c:pt idx="2909">
                  <c:v>59849</c:v>
                </c:pt>
                <c:pt idx="2910">
                  <c:v>59856</c:v>
                </c:pt>
                <c:pt idx="2911">
                  <c:v>59863</c:v>
                </c:pt>
                <c:pt idx="2912">
                  <c:v>59870</c:v>
                </c:pt>
                <c:pt idx="2913">
                  <c:v>59877</c:v>
                </c:pt>
                <c:pt idx="2914">
                  <c:v>59884</c:v>
                </c:pt>
                <c:pt idx="2915">
                  <c:v>59891</c:v>
                </c:pt>
                <c:pt idx="2916">
                  <c:v>59903</c:v>
                </c:pt>
                <c:pt idx="2917">
                  <c:v>59908</c:v>
                </c:pt>
                <c:pt idx="2918">
                  <c:v>59915</c:v>
                </c:pt>
                <c:pt idx="2919">
                  <c:v>59922</c:v>
                </c:pt>
                <c:pt idx="2920">
                  <c:v>59929</c:v>
                </c:pt>
                <c:pt idx="2921">
                  <c:v>59936</c:v>
                </c:pt>
                <c:pt idx="2922">
                  <c:v>59943</c:v>
                </c:pt>
                <c:pt idx="2923">
                  <c:v>59950</c:v>
                </c:pt>
                <c:pt idx="2924">
                  <c:v>59957</c:v>
                </c:pt>
                <c:pt idx="2925">
                  <c:v>59964</c:v>
                </c:pt>
                <c:pt idx="2926">
                  <c:v>59971</c:v>
                </c:pt>
                <c:pt idx="2927">
                  <c:v>59978</c:v>
                </c:pt>
                <c:pt idx="2928">
                  <c:v>59985</c:v>
                </c:pt>
                <c:pt idx="2929">
                  <c:v>59992</c:v>
                </c:pt>
                <c:pt idx="2930">
                  <c:v>60001</c:v>
                </c:pt>
                <c:pt idx="2931">
                  <c:v>60006</c:v>
                </c:pt>
                <c:pt idx="2932">
                  <c:v>60013</c:v>
                </c:pt>
                <c:pt idx="2933">
                  <c:v>60020</c:v>
                </c:pt>
                <c:pt idx="2934">
                  <c:v>60028</c:v>
                </c:pt>
                <c:pt idx="2935">
                  <c:v>60035</c:v>
                </c:pt>
                <c:pt idx="2936">
                  <c:v>60042</c:v>
                </c:pt>
                <c:pt idx="2937">
                  <c:v>60050</c:v>
                </c:pt>
                <c:pt idx="2938">
                  <c:v>60056</c:v>
                </c:pt>
                <c:pt idx="2939">
                  <c:v>60063</c:v>
                </c:pt>
                <c:pt idx="2940">
                  <c:v>60070</c:v>
                </c:pt>
                <c:pt idx="2941">
                  <c:v>60078</c:v>
                </c:pt>
                <c:pt idx="2942">
                  <c:v>60085</c:v>
                </c:pt>
                <c:pt idx="2943">
                  <c:v>60092</c:v>
                </c:pt>
                <c:pt idx="2944">
                  <c:v>60099</c:v>
                </c:pt>
                <c:pt idx="2945">
                  <c:v>60106</c:v>
                </c:pt>
                <c:pt idx="2946">
                  <c:v>60113</c:v>
                </c:pt>
                <c:pt idx="2947">
                  <c:v>60120</c:v>
                </c:pt>
                <c:pt idx="2948">
                  <c:v>60127</c:v>
                </c:pt>
                <c:pt idx="2949">
                  <c:v>60134</c:v>
                </c:pt>
                <c:pt idx="2950">
                  <c:v>60141</c:v>
                </c:pt>
                <c:pt idx="2951">
                  <c:v>60148</c:v>
                </c:pt>
                <c:pt idx="2952">
                  <c:v>60155</c:v>
                </c:pt>
                <c:pt idx="2953">
                  <c:v>60162</c:v>
                </c:pt>
                <c:pt idx="2954">
                  <c:v>60169</c:v>
                </c:pt>
                <c:pt idx="2955">
                  <c:v>60176</c:v>
                </c:pt>
                <c:pt idx="2956">
                  <c:v>60183</c:v>
                </c:pt>
                <c:pt idx="2957">
                  <c:v>60190</c:v>
                </c:pt>
                <c:pt idx="2958">
                  <c:v>60197</c:v>
                </c:pt>
                <c:pt idx="2959">
                  <c:v>60204</c:v>
                </c:pt>
                <c:pt idx="2960">
                  <c:v>60211</c:v>
                </c:pt>
                <c:pt idx="2961">
                  <c:v>60218</c:v>
                </c:pt>
                <c:pt idx="2962">
                  <c:v>60225</c:v>
                </c:pt>
                <c:pt idx="2963">
                  <c:v>60232</c:v>
                </c:pt>
                <c:pt idx="2964">
                  <c:v>60239</c:v>
                </c:pt>
                <c:pt idx="2965">
                  <c:v>60246</c:v>
                </c:pt>
                <c:pt idx="2966">
                  <c:v>60253</c:v>
                </c:pt>
                <c:pt idx="2967">
                  <c:v>60265</c:v>
                </c:pt>
                <c:pt idx="2968">
                  <c:v>60269</c:v>
                </c:pt>
                <c:pt idx="2969">
                  <c:v>60275</c:v>
                </c:pt>
                <c:pt idx="2970">
                  <c:v>60281</c:v>
                </c:pt>
                <c:pt idx="2971">
                  <c:v>60288</c:v>
                </c:pt>
                <c:pt idx="2972">
                  <c:v>60295</c:v>
                </c:pt>
                <c:pt idx="2973">
                  <c:v>60302</c:v>
                </c:pt>
                <c:pt idx="2974">
                  <c:v>60309</c:v>
                </c:pt>
                <c:pt idx="2975">
                  <c:v>60316</c:v>
                </c:pt>
                <c:pt idx="2976">
                  <c:v>60323</c:v>
                </c:pt>
                <c:pt idx="2977">
                  <c:v>60330</c:v>
                </c:pt>
                <c:pt idx="2978">
                  <c:v>60337</c:v>
                </c:pt>
                <c:pt idx="2979">
                  <c:v>60344</c:v>
                </c:pt>
                <c:pt idx="2980">
                  <c:v>60351</c:v>
                </c:pt>
                <c:pt idx="2981">
                  <c:v>60359</c:v>
                </c:pt>
                <c:pt idx="2982">
                  <c:v>60366</c:v>
                </c:pt>
                <c:pt idx="2983">
                  <c:v>60373</c:v>
                </c:pt>
                <c:pt idx="2984">
                  <c:v>60380</c:v>
                </c:pt>
                <c:pt idx="2985">
                  <c:v>60387</c:v>
                </c:pt>
                <c:pt idx="2986">
                  <c:v>60395</c:v>
                </c:pt>
                <c:pt idx="2987">
                  <c:v>60401</c:v>
                </c:pt>
                <c:pt idx="2988">
                  <c:v>60408</c:v>
                </c:pt>
                <c:pt idx="2989">
                  <c:v>60415</c:v>
                </c:pt>
                <c:pt idx="2990">
                  <c:v>60422</c:v>
                </c:pt>
                <c:pt idx="2991">
                  <c:v>60429</c:v>
                </c:pt>
                <c:pt idx="2992">
                  <c:v>60436</c:v>
                </c:pt>
                <c:pt idx="2993">
                  <c:v>60443</c:v>
                </c:pt>
                <c:pt idx="2994">
                  <c:v>60450</c:v>
                </c:pt>
                <c:pt idx="2995">
                  <c:v>60457</c:v>
                </c:pt>
                <c:pt idx="2996">
                  <c:v>60464</c:v>
                </c:pt>
                <c:pt idx="2997">
                  <c:v>60471</c:v>
                </c:pt>
                <c:pt idx="2998">
                  <c:v>60478</c:v>
                </c:pt>
                <c:pt idx="2999">
                  <c:v>60485</c:v>
                </c:pt>
                <c:pt idx="3000">
                  <c:v>60492</c:v>
                </c:pt>
                <c:pt idx="3001">
                  <c:v>60499</c:v>
                </c:pt>
                <c:pt idx="3002">
                  <c:v>60506</c:v>
                </c:pt>
                <c:pt idx="3003">
                  <c:v>60513</c:v>
                </c:pt>
                <c:pt idx="3004">
                  <c:v>60520</c:v>
                </c:pt>
                <c:pt idx="3005">
                  <c:v>60527</c:v>
                </c:pt>
                <c:pt idx="3006">
                  <c:v>60534</c:v>
                </c:pt>
                <c:pt idx="3007">
                  <c:v>60541</c:v>
                </c:pt>
                <c:pt idx="3008">
                  <c:v>60548</c:v>
                </c:pt>
                <c:pt idx="3009">
                  <c:v>60555</c:v>
                </c:pt>
                <c:pt idx="3010">
                  <c:v>60562</c:v>
                </c:pt>
                <c:pt idx="3011">
                  <c:v>60569</c:v>
                </c:pt>
                <c:pt idx="3012">
                  <c:v>60576</c:v>
                </c:pt>
                <c:pt idx="3013">
                  <c:v>60583</c:v>
                </c:pt>
                <c:pt idx="3014">
                  <c:v>60590</c:v>
                </c:pt>
                <c:pt idx="3015">
                  <c:v>60597</c:v>
                </c:pt>
                <c:pt idx="3016">
                  <c:v>60604</c:v>
                </c:pt>
                <c:pt idx="3017">
                  <c:v>60611</c:v>
                </c:pt>
                <c:pt idx="3018">
                  <c:v>60618</c:v>
                </c:pt>
                <c:pt idx="3019">
                  <c:v>60629</c:v>
                </c:pt>
                <c:pt idx="3020">
                  <c:v>60636</c:v>
                </c:pt>
                <c:pt idx="3021">
                  <c:v>60640</c:v>
                </c:pt>
                <c:pt idx="3022">
                  <c:v>60646</c:v>
                </c:pt>
                <c:pt idx="3023">
                  <c:v>60653</c:v>
                </c:pt>
                <c:pt idx="3024">
                  <c:v>60660</c:v>
                </c:pt>
                <c:pt idx="3025">
                  <c:v>60667</c:v>
                </c:pt>
                <c:pt idx="3026">
                  <c:v>60674</c:v>
                </c:pt>
                <c:pt idx="3027">
                  <c:v>60681</c:v>
                </c:pt>
                <c:pt idx="3028">
                  <c:v>60688</c:v>
                </c:pt>
                <c:pt idx="3029">
                  <c:v>60695</c:v>
                </c:pt>
                <c:pt idx="3030">
                  <c:v>60702</c:v>
                </c:pt>
                <c:pt idx="3031">
                  <c:v>60709</c:v>
                </c:pt>
                <c:pt idx="3032">
                  <c:v>60716</c:v>
                </c:pt>
                <c:pt idx="3033">
                  <c:v>60723</c:v>
                </c:pt>
                <c:pt idx="3034">
                  <c:v>60730</c:v>
                </c:pt>
                <c:pt idx="3035">
                  <c:v>60737</c:v>
                </c:pt>
                <c:pt idx="3036">
                  <c:v>60744</c:v>
                </c:pt>
                <c:pt idx="3037">
                  <c:v>60751</c:v>
                </c:pt>
                <c:pt idx="3038">
                  <c:v>60758</c:v>
                </c:pt>
                <c:pt idx="3039">
                  <c:v>60765</c:v>
                </c:pt>
                <c:pt idx="3040">
                  <c:v>60773</c:v>
                </c:pt>
                <c:pt idx="3041">
                  <c:v>60779</c:v>
                </c:pt>
                <c:pt idx="3042">
                  <c:v>60786</c:v>
                </c:pt>
                <c:pt idx="3043">
                  <c:v>60793</c:v>
                </c:pt>
                <c:pt idx="3044">
                  <c:v>60800</c:v>
                </c:pt>
                <c:pt idx="3045">
                  <c:v>60807</c:v>
                </c:pt>
                <c:pt idx="3046">
                  <c:v>60814</c:v>
                </c:pt>
                <c:pt idx="3047">
                  <c:v>60821</c:v>
                </c:pt>
                <c:pt idx="3048">
                  <c:v>60828</c:v>
                </c:pt>
                <c:pt idx="3049">
                  <c:v>60835</c:v>
                </c:pt>
                <c:pt idx="3050">
                  <c:v>60842</c:v>
                </c:pt>
                <c:pt idx="3051">
                  <c:v>60849</c:v>
                </c:pt>
                <c:pt idx="3052">
                  <c:v>60856</c:v>
                </c:pt>
                <c:pt idx="3053">
                  <c:v>60863</c:v>
                </c:pt>
                <c:pt idx="3054">
                  <c:v>60870</c:v>
                </c:pt>
                <c:pt idx="3055">
                  <c:v>60877</c:v>
                </c:pt>
                <c:pt idx="3056">
                  <c:v>60884</c:v>
                </c:pt>
                <c:pt idx="3057">
                  <c:v>60891</c:v>
                </c:pt>
                <c:pt idx="3058">
                  <c:v>60898</c:v>
                </c:pt>
                <c:pt idx="3059">
                  <c:v>60905</c:v>
                </c:pt>
                <c:pt idx="3060">
                  <c:v>60912</c:v>
                </c:pt>
                <c:pt idx="3061">
                  <c:v>60919</c:v>
                </c:pt>
                <c:pt idx="3062">
                  <c:v>60926</c:v>
                </c:pt>
                <c:pt idx="3063">
                  <c:v>60933</c:v>
                </c:pt>
                <c:pt idx="3064">
                  <c:v>60940</c:v>
                </c:pt>
                <c:pt idx="3065">
                  <c:v>60947</c:v>
                </c:pt>
                <c:pt idx="3066">
                  <c:v>60954</c:v>
                </c:pt>
                <c:pt idx="3067">
                  <c:v>60961</c:v>
                </c:pt>
                <c:pt idx="3068">
                  <c:v>60968</c:v>
                </c:pt>
                <c:pt idx="3069">
                  <c:v>60975</c:v>
                </c:pt>
                <c:pt idx="3070">
                  <c:v>60982</c:v>
                </c:pt>
                <c:pt idx="3071">
                  <c:v>60989</c:v>
                </c:pt>
                <c:pt idx="3072">
                  <c:v>60996</c:v>
                </c:pt>
                <c:pt idx="3073">
                  <c:v>61004</c:v>
                </c:pt>
                <c:pt idx="3074">
                  <c:v>61010</c:v>
                </c:pt>
                <c:pt idx="3075">
                  <c:v>61017</c:v>
                </c:pt>
                <c:pt idx="3076">
                  <c:v>61024</c:v>
                </c:pt>
                <c:pt idx="3077">
                  <c:v>61031</c:v>
                </c:pt>
                <c:pt idx="3078">
                  <c:v>61038</c:v>
                </c:pt>
                <c:pt idx="3079">
                  <c:v>61045</c:v>
                </c:pt>
                <c:pt idx="3080">
                  <c:v>61052</c:v>
                </c:pt>
                <c:pt idx="3081">
                  <c:v>61059</c:v>
                </c:pt>
                <c:pt idx="3082">
                  <c:v>61066</c:v>
                </c:pt>
                <c:pt idx="3083">
                  <c:v>61073</c:v>
                </c:pt>
                <c:pt idx="3084">
                  <c:v>61080</c:v>
                </c:pt>
                <c:pt idx="3085">
                  <c:v>61087</c:v>
                </c:pt>
                <c:pt idx="3086">
                  <c:v>61094</c:v>
                </c:pt>
                <c:pt idx="3087">
                  <c:v>61101</c:v>
                </c:pt>
                <c:pt idx="3088">
                  <c:v>61108</c:v>
                </c:pt>
                <c:pt idx="3089">
                  <c:v>61115</c:v>
                </c:pt>
                <c:pt idx="3090">
                  <c:v>61122</c:v>
                </c:pt>
                <c:pt idx="3091">
                  <c:v>61130</c:v>
                </c:pt>
                <c:pt idx="3092">
                  <c:v>61136</c:v>
                </c:pt>
                <c:pt idx="3093">
                  <c:v>61143</c:v>
                </c:pt>
                <c:pt idx="3094">
                  <c:v>61150</c:v>
                </c:pt>
                <c:pt idx="3095">
                  <c:v>61157</c:v>
                </c:pt>
                <c:pt idx="3096">
                  <c:v>61164</c:v>
                </c:pt>
                <c:pt idx="3097">
                  <c:v>61171</c:v>
                </c:pt>
                <c:pt idx="3098">
                  <c:v>61178</c:v>
                </c:pt>
                <c:pt idx="3099">
                  <c:v>61185</c:v>
                </c:pt>
                <c:pt idx="3100">
                  <c:v>61192</c:v>
                </c:pt>
                <c:pt idx="3101">
                  <c:v>61199</c:v>
                </c:pt>
                <c:pt idx="3102">
                  <c:v>61206</c:v>
                </c:pt>
                <c:pt idx="3103">
                  <c:v>61213</c:v>
                </c:pt>
                <c:pt idx="3104">
                  <c:v>61220</c:v>
                </c:pt>
                <c:pt idx="3105">
                  <c:v>61227</c:v>
                </c:pt>
                <c:pt idx="3106">
                  <c:v>61234</c:v>
                </c:pt>
                <c:pt idx="3107">
                  <c:v>61241</c:v>
                </c:pt>
                <c:pt idx="3108">
                  <c:v>61248</c:v>
                </c:pt>
                <c:pt idx="3109">
                  <c:v>61255</c:v>
                </c:pt>
                <c:pt idx="3110">
                  <c:v>61262</c:v>
                </c:pt>
                <c:pt idx="3111">
                  <c:v>61269</c:v>
                </c:pt>
                <c:pt idx="3112">
                  <c:v>61276</c:v>
                </c:pt>
                <c:pt idx="3113">
                  <c:v>61283</c:v>
                </c:pt>
                <c:pt idx="3114">
                  <c:v>61290</c:v>
                </c:pt>
                <c:pt idx="3115">
                  <c:v>61297</c:v>
                </c:pt>
                <c:pt idx="3116">
                  <c:v>61304</c:v>
                </c:pt>
                <c:pt idx="3117">
                  <c:v>61311</c:v>
                </c:pt>
                <c:pt idx="3118">
                  <c:v>61318</c:v>
                </c:pt>
                <c:pt idx="3119">
                  <c:v>61325</c:v>
                </c:pt>
                <c:pt idx="3120">
                  <c:v>61332</c:v>
                </c:pt>
                <c:pt idx="3121">
                  <c:v>61339</c:v>
                </c:pt>
                <c:pt idx="3122">
                  <c:v>61346</c:v>
                </c:pt>
                <c:pt idx="3123">
                  <c:v>61353</c:v>
                </c:pt>
                <c:pt idx="3124">
                  <c:v>61360</c:v>
                </c:pt>
                <c:pt idx="3125">
                  <c:v>61367</c:v>
                </c:pt>
                <c:pt idx="3126">
                  <c:v>61374</c:v>
                </c:pt>
                <c:pt idx="3127">
                  <c:v>61381</c:v>
                </c:pt>
                <c:pt idx="3128">
                  <c:v>61388</c:v>
                </c:pt>
                <c:pt idx="3129">
                  <c:v>61395</c:v>
                </c:pt>
                <c:pt idx="3130">
                  <c:v>61402</c:v>
                </c:pt>
                <c:pt idx="3131">
                  <c:v>61409</c:v>
                </c:pt>
                <c:pt idx="3132">
                  <c:v>61416</c:v>
                </c:pt>
                <c:pt idx="3133">
                  <c:v>61423</c:v>
                </c:pt>
                <c:pt idx="3134">
                  <c:v>61430</c:v>
                </c:pt>
                <c:pt idx="3135">
                  <c:v>61437</c:v>
                </c:pt>
                <c:pt idx="3136">
                  <c:v>61444</c:v>
                </c:pt>
                <c:pt idx="3137">
                  <c:v>61451</c:v>
                </c:pt>
                <c:pt idx="3138">
                  <c:v>61458</c:v>
                </c:pt>
                <c:pt idx="3139">
                  <c:v>61465</c:v>
                </c:pt>
                <c:pt idx="3140">
                  <c:v>61472</c:v>
                </c:pt>
                <c:pt idx="3141">
                  <c:v>61479</c:v>
                </c:pt>
                <c:pt idx="3142">
                  <c:v>61487</c:v>
                </c:pt>
                <c:pt idx="3143">
                  <c:v>61494</c:v>
                </c:pt>
                <c:pt idx="3144">
                  <c:v>61501</c:v>
                </c:pt>
                <c:pt idx="3145">
                  <c:v>61508</c:v>
                </c:pt>
                <c:pt idx="3146">
                  <c:v>61518</c:v>
                </c:pt>
                <c:pt idx="3147">
                  <c:v>61522</c:v>
                </c:pt>
                <c:pt idx="3148">
                  <c:v>61529</c:v>
                </c:pt>
                <c:pt idx="3149">
                  <c:v>61539</c:v>
                </c:pt>
                <c:pt idx="3150">
                  <c:v>61543</c:v>
                </c:pt>
                <c:pt idx="3151">
                  <c:v>61550</c:v>
                </c:pt>
                <c:pt idx="3152">
                  <c:v>61557</c:v>
                </c:pt>
                <c:pt idx="3153">
                  <c:v>61564</c:v>
                </c:pt>
                <c:pt idx="3154">
                  <c:v>61571</c:v>
                </c:pt>
                <c:pt idx="3155">
                  <c:v>61578</c:v>
                </c:pt>
                <c:pt idx="3156">
                  <c:v>61585</c:v>
                </c:pt>
                <c:pt idx="3157">
                  <c:v>61592</c:v>
                </c:pt>
                <c:pt idx="3158">
                  <c:v>61599</c:v>
                </c:pt>
                <c:pt idx="3159">
                  <c:v>61606</c:v>
                </c:pt>
                <c:pt idx="3160">
                  <c:v>61613</c:v>
                </c:pt>
                <c:pt idx="3161">
                  <c:v>61620</c:v>
                </c:pt>
                <c:pt idx="3162">
                  <c:v>61627</c:v>
                </c:pt>
                <c:pt idx="3163">
                  <c:v>61634</c:v>
                </c:pt>
                <c:pt idx="3164">
                  <c:v>61641</c:v>
                </c:pt>
                <c:pt idx="3165">
                  <c:v>61648</c:v>
                </c:pt>
                <c:pt idx="3166">
                  <c:v>61655</c:v>
                </c:pt>
                <c:pt idx="3167">
                  <c:v>61662</c:v>
                </c:pt>
                <c:pt idx="3168">
                  <c:v>61669</c:v>
                </c:pt>
                <c:pt idx="3169">
                  <c:v>61676</c:v>
                </c:pt>
                <c:pt idx="3170">
                  <c:v>61683</c:v>
                </c:pt>
                <c:pt idx="3171">
                  <c:v>61690</c:v>
                </c:pt>
                <c:pt idx="3172">
                  <c:v>61697</c:v>
                </c:pt>
                <c:pt idx="3173">
                  <c:v>61704</c:v>
                </c:pt>
                <c:pt idx="3174">
                  <c:v>61711</c:v>
                </c:pt>
                <c:pt idx="3175">
                  <c:v>61718</c:v>
                </c:pt>
                <c:pt idx="3176">
                  <c:v>61730</c:v>
                </c:pt>
                <c:pt idx="3177">
                  <c:v>61735</c:v>
                </c:pt>
                <c:pt idx="3178">
                  <c:v>61742</c:v>
                </c:pt>
                <c:pt idx="3179">
                  <c:v>61749</c:v>
                </c:pt>
                <c:pt idx="3180">
                  <c:v>61756</c:v>
                </c:pt>
                <c:pt idx="3181">
                  <c:v>61763</c:v>
                </c:pt>
                <c:pt idx="3182">
                  <c:v>61770</c:v>
                </c:pt>
                <c:pt idx="3183">
                  <c:v>61777</c:v>
                </c:pt>
                <c:pt idx="3184">
                  <c:v>61784</c:v>
                </c:pt>
                <c:pt idx="3185">
                  <c:v>61791</c:v>
                </c:pt>
                <c:pt idx="3186">
                  <c:v>61798</c:v>
                </c:pt>
                <c:pt idx="3187">
                  <c:v>61805</c:v>
                </c:pt>
                <c:pt idx="3188">
                  <c:v>61812</c:v>
                </c:pt>
                <c:pt idx="3189">
                  <c:v>61819</c:v>
                </c:pt>
                <c:pt idx="3190">
                  <c:v>61826</c:v>
                </c:pt>
                <c:pt idx="3191">
                  <c:v>61835</c:v>
                </c:pt>
                <c:pt idx="3192">
                  <c:v>61840</c:v>
                </c:pt>
                <c:pt idx="3193">
                  <c:v>61847</c:v>
                </c:pt>
                <c:pt idx="3194">
                  <c:v>61854</c:v>
                </c:pt>
                <c:pt idx="3195">
                  <c:v>61861</c:v>
                </c:pt>
                <c:pt idx="3196">
                  <c:v>61868</c:v>
                </c:pt>
                <c:pt idx="3197">
                  <c:v>61876</c:v>
                </c:pt>
                <c:pt idx="3198">
                  <c:v>61884</c:v>
                </c:pt>
                <c:pt idx="3199">
                  <c:v>61890</c:v>
                </c:pt>
                <c:pt idx="3200">
                  <c:v>61897</c:v>
                </c:pt>
                <c:pt idx="3201">
                  <c:v>61905</c:v>
                </c:pt>
                <c:pt idx="3202">
                  <c:v>61912</c:v>
                </c:pt>
                <c:pt idx="3203">
                  <c:v>61919</c:v>
                </c:pt>
                <c:pt idx="3204">
                  <c:v>61926</c:v>
                </c:pt>
                <c:pt idx="3205">
                  <c:v>61933</c:v>
                </c:pt>
                <c:pt idx="3206">
                  <c:v>61940</c:v>
                </c:pt>
                <c:pt idx="3207">
                  <c:v>61947</c:v>
                </c:pt>
                <c:pt idx="3208">
                  <c:v>61954</c:v>
                </c:pt>
                <c:pt idx="3209">
                  <c:v>61961</c:v>
                </c:pt>
                <c:pt idx="3210">
                  <c:v>61968</c:v>
                </c:pt>
                <c:pt idx="3211">
                  <c:v>61975</c:v>
                </c:pt>
                <c:pt idx="3212">
                  <c:v>61982</c:v>
                </c:pt>
                <c:pt idx="3213">
                  <c:v>61989</c:v>
                </c:pt>
                <c:pt idx="3214">
                  <c:v>61996</c:v>
                </c:pt>
                <c:pt idx="3215">
                  <c:v>62003</c:v>
                </c:pt>
                <c:pt idx="3216">
                  <c:v>62010</c:v>
                </c:pt>
                <c:pt idx="3217">
                  <c:v>62017</c:v>
                </c:pt>
                <c:pt idx="3218">
                  <c:v>62024</c:v>
                </c:pt>
                <c:pt idx="3219">
                  <c:v>62031</c:v>
                </c:pt>
                <c:pt idx="3220">
                  <c:v>62038</c:v>
                </c:pt>
                <c:pt idx="3221">
                  <c:v>62045</c:v>
                </c:pt>
                <c:pt idx="3222">
                  <c:v>62052</c:v>
                </c:pt>
                <c:pt idx="3223">
                  <c:v>62059</c:v>
                </c:pt>
                <c:pt idx="3224">
                  <c:v>62066</c:v>
                </c:pt>
                <c:pt idx="3225">
                  <c:v>62073</c:v>
                </c:pt>
                <c:pt idx="3226">
                  <c:v>62080</c:v>
                </c:pt>
                <c:pt idx="3227">
                  <c:v>62092</c:v>
                </c:pt>
                <c:pt idx="3228">
                  <c:v>62096</c:v>
                </c:pt>
                <c:pt idx="3229">
                  <c:v>62102</c:v>
                </c:pt>
                <c:pt idx="3230">
                  <c:v>62109</c:v>
                </c:pt>
                <c:pt idx="3231">
                  <c:v>62116</c:v>
                </c:pt>
                <c:pt idx="3232">
                  <c:v>62123</c:v>
                </c:pt>
                <c:pt idx="3233">
                  <c:v>62130</c:v>
                </c:pt>
                <c:pt idx="3234">
                  <c:v>62137</c:v>
                </c:pt>
                <c:pt idx="3235">
                  <c:v>62144</c:v>
                </c:pt>
                <c:pt idx="3236">
                  <c:v>62151</c:v>
                </c:pt>
                <c:pt idx="3237">
                  <c:v>62158</c:v>
                </c:pt>
                <c:pt idx="3238">
                  <c:v>62165</c:v>
                </c:pt>
                <c:pt idx="3239">
                  <c:v>62172</c:v>
                </c:pt>
                <c:pt idx="3240">
                  <c:v>62179</c:v>
                </c:pt>
                <c:pt idx="3241">
                  <c:v>62186</c:v>
                </c:pt>
                <c:pt idx="3242">
                  <c:v>62193</c:v>
                </c:pt>
                <c:pt idx="3243">
                  <c:v>62200</c:v>
                </c:pt>
                <c:pt idx="3244">
                  <c:v>62207</c:v>
                </c:pt>
                <c:pt idx="3245">
                  <c:v>62215</c:v>
                </c:pt>
                <c:pt idx="3246">
                  <c:v>62222</c:v>
                </c:pt>
                <c:pt idx="3247">
                  <c:v>62228</c:v>
                </c:pt>
                <c:pt idx="3248">
                  <c:v>62235</c:v>
                </c:pt>
                <c:pt idx="3249">
                  <c:v>62242</c:v>
                </c:pt>
                <c:pt idx="3250">
                  <c:v>62249</c:v>
                </c:pt>
                <c:pt idx="3251">
                  <c:v>62256</c:v>
                </c:pt>
                <c:pt idx="3252">
                  <c:v>62263</c:v>
                </c:pt>
                <c:pt idx="3253">
                  <c:v>62270</c:v>
                </c:pt>
                <c:pt idx="3254">
                  <c:v>62277</c:v>
                </c:pt>
                <c:pt idx="3255">
                  <c:v>62284</c:v>
                </c:pt>
                <c:pt idx="3256">
                  <c:v>62291</c:v>
                </c:pt>
                <c:pt idx="3257">
                  <c:v>62298</c:v>
                </c:pt>
                <c:pt idx="3258">
                  <c:v>62305</c:v>
                </c:pt>
                <c:pt idx="3259">
                  <c:v>62312</c:v>
                </c:pt>
                <c:pt idx="3260">
                  <c:v>62319</c:v>
                </c:pt>
                <c:pt idx="3261">
                  <c:v>62326</c:v>
                </c:pt>
                <c:pt idx="3262">
                  <c:v>62333</c:v>
                </c:pt>
                <c:pt idx="3263">
                  <c:v>62340</c:v>
                </c:pt>
                <c:pt idx="3264">
                  <c:v>62347</c:v>
                </c:pt>
                <c:pt idx="3265">
                  <c:v>62354</c:v>
                </c:pt>
                <c:pt idx="3266">
                  <c:v>62361</c:v>
                </c:pt>
                <c:pt idx="3267">
                  <c:v>62368</c:v>
                </c:pt>
                <c:pt idx="3268">
                  <c:v>62375</c:v>
                </c:pt>
                <c:pt idx="3269">
                  <c:v>62382</c:v>
                </c:pt>
                <c:pt idx="3270">
                  <c:v>62389</c:v>
                </c:pt>
                <c:pt idx="3271">
                  <c:v>62396</c:v>
                </c:pt>
                <c:pt idx="3272">
                  <c:v>62403</c:v>
                </c:pt>
                <c:pt idx="3273">
                  <c:v>62410</c:v>
                </c:pt>
                <c:pt idx="3274">
                  <c:v>62417</c:v>
                </c:pt>
                <c:pt idx="3275">
                  <c:v>62424</c:v>
                </c:pt>
                <c:pt idx="3276">
                  <c:v>62431</c:v>
                </c:pt>
                <c:pt idx="3277">
                  <c:v>62438</c:v>
                </c:pt>
                <c:pt idx="3278">
                  <c:v>62445</c:v>
                </c:pt>
                <c:pt idx="3279">
                  <c:v>62457</c:v>
                </c:pt>
                <c:pt idx="3280">
                  <c:v>62463</c:v>
                </c:pt>
                <c:pt idx="3281">
                  <c:v>62467</c:v>
                </c:pt>
                <c:pt idx="3282">
                  <c:v>62474</c:v>
                </c:pt>
                <c:pt idx="3283">
                  <c:v>62481</c:v>
                </c:pt>
                <c:pt idx="3284">
                  <c:v>62488</c:v>
                </c:pt>
                <c:pt idx="3285">
                  <c:v>62495</c:v>
                </c:pt>
                <c:pt idx="3286">
                  <c:v>62502</c:v>
                </c:pt>
                <c:pt idx="3287">
                  <c:v>62509</c:v>
                </c:pt>
                <c:pt idx="3288">
                  <c:v>62516</c:v>
                </c:pt>
                <c:pt idx="3289">
                  <c:v>62523</c:v>
                </c:pt>
                <c:pt idx="3290">
                  <c:v>62530</c:v>
                </c:pt>
                <c:pt idx="3291">
                  <c:v>62537</c:v>
                </c:pt>
                <c:pt idx="3292">
                  <c:v>62544</c:v>
                </c:pt>
                <c:pt idx="3293">
                  <c:v>62551</c:v>
                </c:pt>
                <c:pt idx="3294">
                  <c:v>62558</c:v>
                </c:pt>
                <c:pt idx="3295">
                  <c:v>62569</c:v>
                </c:pt>
                <c:pt idx="3296">
                  <c:v>62572</c:v>
                </c:pt>
                <c:pt idx="3297">
                  <c:v>62582</c:v>
                </c:pt>
                <c:pt idx="3298">
                  <c:v>62586</c:v>
                </c:pt>
                <c:pt idx="3299">
                  <c:v>62593</c:v>
                </c:pt>
                <c:pt idx="3300">
                  <c:v>62600</c:v>
                </c:pt>
                <c:pt idx="3301">
                  <c:v>62610</c:v>
                </c:pt>
                <c:pt idx="3302">
                  <c:v>62614</c:v>
                </c:pt>
                <c:pt idx="3303">
                  <c:v>62621</c:v>
                </c:pt>
                <c:pt idx="3304">
                  <c:v>62631</c:v>
                </c:pt>
                <c:pt idx="3305">
                  <c:v>62635</c:v>
                </c:pt>
                <c:pt idx="3306">
                  <c:v>62642</c:v>
                </c:pt>
                <c:pt idx="3307">
                  <c:v>62649</c:v>
                </c:pt>
                <c:pt idx="3308">
                  <c:v>62656</c:v>
                </c:pt>
                <c:pt idx="3309">
                  <c:v>62663</c:v>
                </c:pt>
                <c:pt idx="3310">
                  <c:v>62670</c:v>
                </c:pt>
                <c:pt idx="3311">
                  <c:v>62677</c:v>
                </c:pt>
                <c:pt idx="3312">
                  <c:v>62684</c:v>
                </c:pt>
                <c:pt idx="3313">
                  <c:v>62691</c:v>
                </c:pt>
                <c:pt idx="3314">
                  <c:v>62698</c:v>
                </c:pt>
                <c:pt idx="3315">
                  <c:v>62705</c:v>
                </c:pt>
                <c:pt idx="3316">
                  <c:v>62712</c:v>
                </c:pt>
                <c:pt idx="3317">
                  <c:v>62719</c:v>
                </c:pt>
                <c:pt idx="3318">
                  <c:v>62726</c:v>
                </c:pt>
                <c:pt idx="3319">
                  <c:v>62733</c:v>
                </c:pt>
                <c:pt idx="3320">
                  <c:v>62740</c:v>
                </c:pt>
                <c:pt idx="3321">
                  <c:v>62747</c:v>
                </c:pt>
                <c:pt idx="3322">
                  <c:v>62754</c:v>
                </c:pt>
                <c:pt idx="3323">
                  <c:v>62761</c:v>
                </c:pt>
                <c:pt idx="3324">
                  <c:v>62768</c:v>
                </c:pt>
                <c:pt idx="3325">
                  <c:v>62775</c:v>
                </c:pt>
                <c:pt idx="3326">
                  <c:v>62782</c:v>
                </c:pt>
                <c:pt idx="3327">
                  <c:v>62789</c:v>
                </c:pt>
                <c:pt idx="3328">
                  <c:v>62796</c:v>
                </c:pt>
                <c:pt idx="3329">
                  <c:v>62803</c:v>
                </c:pt>
                <c:pt idx="3330">
                  <c:v>62810</c:v>
                </c:pt>
                <c:pt idx="3331">
                  <c:v>62821</c:v>
                </c:pt>
                <c:pt idx="3332">
                  <c:v>62828</c:v>
                </c:pt>
                <c:pt idx="3333">
                  <c:v>62834</c:v>
                </c:pt>
                <c:pt idx="3334">
                  <c:v>62841</c:v>
                </c:pt>
                <c:pt idx="3335">
                  <c:v>62848</c:v>
                </c:pt>
                <c:pt idx="3336">
                  <c:v>62855</c:v>
                </c:pt>
                <c:pt idx="3337">
                  <c:v>62862</c:v>
                </c:pt>
                <c:pt idx="3338">
                  <c:v>62869</c:v>
                </c:pt>
                <c:pt idx="3339">
                  <c:v>62876</c:v>
                </c:pt>
                <c:pt idx="3340">
                  <c:v>62883</c:v>
                </c:pt>
                <c:pt idx="3341">
                  <c:v>62890</c:v>
                </c:pt>
                <c:pt idx="3342">
                  <c:v>62897</c:v>
                </c:pt>
                <c:pt idx="3343">
                  <c:v>62904</c:v>
                </c:pt>
                <c:pt idx="3344">
                  <c:v>62911</c:v>
                </c:pt>
                <c:pt idx="3345">
                  <c:v>62918</c:v>
                </c:pt>
                <c:pt idx="3346">
                  <c:v>62927</c:v>
                </c:pt>
                <c:pt idx="3347">
                  <c:v>62932</c:v>
                </c:pt>
                <c:pt idx="3348">
                  <c:v>62939</c:v>
                </c:pt>
                <c:pt idx="3349">
                  <c:v>62946</c:v>
                </c:pt>
                <c:pt idx="3350">
                  <c:v>62953</c:v>
                </c:pt>
                <c:pt idx="3351">
                  <c:v>62960</c:v>
                </c:pt>
                <c:pt idx="3352">
                  <c:v>62968</c:v>
                </c:pt>
                <c:pt idx="3353">
                  <c:v>62976</c:v>
                </c:pt>
                <c:pt idx="3354">
                  <c:v>62982</c:v>
                </c:pt>
                <c:pt idx="3355">
                  <c:v>62989</c:v>
                </c:pt>
                <c:pt idx="3356">
                  <c:v>62996</c:v>
                </c:pt>
                <c:pt idx="3357">
                  <c:v>63004</c:v>
                </c:pt>
                <c:pt idx="3358">
                  <c:v>63011</c:v>
                </c:pt>
                <c:pt idx="3359">
                  <c:v>63018</c:v>
                </c:pt>
                <c:pt idx="3360">
                  <c:v>63025</c:v>
                </c:pt>
                <c:pt idx="3361">
                  <c:v>63032</c:v>
                </c:pt>
                <c:pt idx="3362">
                  <c:v>63039</c:v>
                </c:pt>
                <c:pt idx="3363">
                  <c:v>63046</c:v>
                </c:pt>
                <c:pt idx="3364">
                  <c:v>63053</c:v>
                </c:pt>
                <c:pt idx="3365">
                  <c:v>63060</c:v>
                </c:pt>
                <c:pt idx="3366">
                  <c:v>63067</c:v>
                </c:pt>
                <c:pt idx="3367">
                  <c:v>63074</c:v>
                </c:pt>
                <c:pt idx="3368">
                  <c:v>63081</c:v>
                </c:pt>
                <c:pt idx="3369">
                  <c:v>63088</c:v>
                </c:pt>
                <c:pt idx="3370">
                  <c:v>63095</c:v>
                </c:pt>
                <c:pt idx="3371">
                  <c:v>63102</c:v>
                </c:pt>
                <c:pt idx="3372">
                  <c:v>63109</c:v>
                </c:pt>
                <c:pt idx="3373">
                  <c:v>63116</c:v>
                </c:pt>
                <c:pt idx="3374">
                  <c:v>63123</c:v>
                </c:pt>
                <c:pt idx="3375">
                  <c:v>63130</c:v>
                </c:pt>
                <c:pt idx="3376">
                  <c:v>63137</c:v>
                </c:pt>
                <c:pt idx="3377">
                  <c:v>63144</c:v>
                </c:pt>
                <c:pt idx="3378">
                  <c:v>63151</c:v>
                </c:pt>
                <c:pt idx="3379">
                  <c:v>63158</c:v>
                </c:pt>
                <c:pt idx="3380">
                  <c:v>63165</c:v>
                </c:pt>
                <c:pt idx="3381">
                  <c:v>63172</c:v>
                </c:pt>
                <c:pt idx="3382">
                  <c:v>63179</c:v>
                </c:pt>
                <c:pt idx="3383">
                  <c:v>63187</c:v>
                </c:pt>
                <c:pt idx="3384">
                  <c:v>63194</c:v>
                </c:pt>
                <c:pt idx="3385">
                  <c:v>63201</c:v>
                </c:pt>
                <c:pt idx="3386">
                  <c:v>63208</c:v>
                </c:pt>
                <c:pt idx="3387">
                  <c:v>63215</c:v>
                </c:pt>
                <c:pt idx="3388">
                  <c:v>63222</c:v>
                </c:pt>
                <c:pt idx="3389">
                  <c:v>63229</c:v>
                </c:pt>
                <c:pt idx="3390">
                  <c:v>63236</c:v>
                </c:pt>
                <c:pt idx="3391">
                  <c:v>63243</c:v>
                </c:pt>
                <c:pt idx="3392">
                  <c:v>63250</c:v>
                </c:pt>
                <c:pt idx="3393">
                  <c:v>63257</c:v>
                </c:pt>
                <c:pt idx="3394">
                  <c:v>63264</c:v>
                </c:pt>
                <c:pt idx="3395">
                  <c:v>63271</c:v>
                </c:pt>
                <c:pt idx="3396">
                  <c:v>63278</c:v>
                </c:pt>
                <c:pt idx="3397">
                  <c:v>63285</c:v>
                </c:pt>
                <c:pt idx="3398">
                  <c:v>63292</c:v>
                </c:pt>
                <c:pt idx="3399">
                  <c:v>63299</c:v>
                </c:pt>
                <c:pt idx="3400">
                  <c:v>63306</c:v>
                </c:pt>
                <c:pt idx="3401">
                  <c:v>63314</c:v>
                </c:pt>
                <c:pt idx="3402">
                  <c:v>63320</c:v>
                </c:pt>
                <c:pt idx="3403">
                  <c:v>63327</c:v>
                </c:pt>
                <c:pt idx="3404">
                  <c:v>63334</c:v>
                </c:pt>
                <c:pt idx="3405">
                  <c:v>63341</c:v>
                </c:pt>
                <c:pt idx="3406">
                  <c:v>63348</c:v>
                </c:pt>
                <c:pt idx="3407">
                  <c:v>63355</c:v>
                </c:pt>
                <c:pt idx="3408">
                  <c:v>63362</c:v>
                </c:pt>
                <c:pt idx="3409">
                  <c:v>63369</c:v>
                </c:pt>
                <c:pt idx="3410">
                  <c:v>63376</c:v>
                </c:pt>
                <c:pt idx="3411">
                  <c:v>63383</c:v>
                </c:pt>
                <c:pt idx="3412">
                  <c:v>63390</c:v>
                </c:pt>
                <c:pt idx="3413">
                  <c:v>63397</c:v>
                </c:pt>
                <c:pt idx="3414">
                  <c:v>63404</c:v>
                </c:pt>
                <c:pt idx="3415">
                  <c:v>63411</c:v>
                </c:pt>
                <c:pt idx="3416">
                  <c:v>63418</c:v>
                </c:pt>
                <c:pt idx="3417">
                  <c:v>63425</c:v>
                </c:pt>
                <c:pt idx="3418">
                  <c:v>63432</c:v>
                </c:pt>
                <c:pt idx="3419">
                  <c:v>63439</c:v>
                </c:pt>
                <c:pt idx="3420">
                  <c:v>63446</c:v>
                </c:pt>
                <c:pt idx="3421">
                  <c:v>63453</c:v>
                </c:pt>
                <c:pt idx="3422">
                  <c:v>63460</c:v>
                </c:pt>
                <c:pt idx="3423">
                  <c:v>63467</c:v>
                </c:pt>
                <c:pt idx="3424">
                  <c:v>63474</c:v>
                </c:pt>
                <c:pt idx="3425">
                  <c:v>63481</c:v>
                </c:pt>
                <c:pt idx="3426">
                  <c:v>63488</c:v>
                </c:pt>
                <c:pt idx="3427">
                  <c:v>63495</c:v>
                </c:pt>
                <c:pt idx="3428">
                  <c:v>63502</c:v>
                </c:pt>
                <c:pt idx="3429">
                  <c:v>63509</c:v>
                </c:pt>
                <c:pt idx="3430">
                  <c:v>63516</c:v>
                </c:pt>
                <c:pt idx="3431">
                  <c:v>63523</c:v>
                </c:pt>
                <c:pt idx="3432">
                  <c:v>63530</c:v>
                </c:pt>
                <c:pt idx="3433">
                  <c:v>63537</c:v>
                </c:pt>
                <c:pt idx="3434">
                  <c:v>63544</c:v>
                </c:pt>
                <c:pt idx="3435">
                  <c:v>63552</c:v>
                </c:pt>
                <c:pt idx="3436">
                  <c:v>63559</c:v>
                </c:pt>
                <c:pt idx="3437">
                  <c:v>63566</c:v>
                </c:pt>
                <c:pt idx="3438">
                  <c:v>63573</c:v>
                </c:pt>
                <c:pt idx="3439">
                  <c:v>63580</c:v>
                </c:pt>
                <c:pt idx="3440">
                  <c:v>63587</c:v>
                </c:pt>
                <c:pt idx="3441">
                  <c:v>63594</c:v>
                </c:pt>
                <c:pt idx="3442">
                  <c:v>63601</c:v>
                </c:pt>
                <c:pt idx="3443">
                  <c:v>63608</c:v>
                </c:pt>
                <c:pt idx="3444">
                  <c:v>63615</c:v>
                </c:pt>
                <c:pt idx="3445">
                  <c:v>63622</c:v>
                </c:pt>
                <c:pt idx="3446">
                  <c:v>63629</c:v>
                </c:pt>
                <c:pt idx="3447">
                  <c:v>63636</c:v>
                </c:pt>
                <c:pt idx="3448">
                  <c:v>63643</c:v>
                </c:pt>
                <c:pt idx="3449">
                  <c:v>63650</c:v>
                </c:pt>
                <c:pt idx="3450">
                  <c:v>63661</c:v>
                </c:pt>
                <c:pt idx="3451">
                  <c:v>63664</c:v>
                </c:pt>
                <c:pt idx="3452">
                  <c:v>63671</c:v>
                </c:pt>
                <c:pt idx="3453">
                  <c:v>63678</c:v>
                </c:pt>
                <c:pt idx="3454">
                  <c:v>63685</c:v>
                </c:pt>
                <c:pt idx="3455">
                  <c:v>63692</c:v>
                </c:pt>
                <c:pt idx="3456">
                  <c:v>63702</c:v>
                </c:pt>
                <c:pt idx="3457">
                  <c:v>63706</c:v>
                </c:pt>
                <c:pt idx="3458">
                  <c:v>63713</c:v>
                </c:pt>
                <c:pt idx="3459">
                  <c:v>63720</c:v>
                </c:pt>
                <c:pt idx="3460">
                  <c:v>63730</c:v>
                </c:pt>
                <c:pt idx="3461">
                  <c:v>63734</c:v>
                </c:pt>
                <c:pt idx="3462">
                  <c:v>63741</c:v>
                </c:pt>
                <c:pt idx="3463">
                  <c:v>63748</c:v>
                </c:pt>
                <c:pt idx="3464">
                  <c:v>63755</c:v>
                </c:pt>
                <c:pt idx="3465">
                  <c:v>63762</c:v>
                </c:pt>
                <c:pt idx="3466">
                  <c:v>63769</c:v>
                </c:pt>
                <c:pt idx="3467">
                  <c:v>63776</c:v>
                </c:pt>
                <c:pt idx="3468">
                  <c:v>63783</c:v>
                </c:pt>
                <c:pt idx="3469">
                  <c:v>63790</c:v>
                </c:pt>
                <c:pt idx="3470">
                  <c:v>63797</c:v>
                </c:pt>
                <c:pt idx="3471">
                  <c:v>63804</c:v>
                </c:pt>
                <c:pt idx="3472">
                  <c:v>63811</c:v>
                </c:pt>
                <c:pt idx="3473">
                  <c:v>63818</c:v>
                </c:pt>
                <c:pt idx="3474">
                  <c:v>63825</c:v>
                </c:pt>
                <c:pt idx="3475">
                  <c:v>63832</c:v>
                </c:pt>
                <c:pt idx="3476">
                  <c:v>63839</c:v>
                </c:pt>
                <c:pt idx="3477">
                  <c:v>63846</c:v>
                </c:pt>
                <c:pt idx="3478">
                  <c:v>63853</c:v>
                </c:pt>
                <c:pt idx="3479">
                  <c:v>63860</c:v>
                </c:pt>
                <c:pt idx="3480">
                  <c:v>63867</c:v>
                </c:pt>
                <c:pt idx="3481">
                  <c:v>63874</c:v>
                </c:pt>
                <c:pt idx="3482">
                  <c:v>63881</c:v>
                </c:pt>
                <c:pt idx="3483">
                  <c:v>63888</c:v>
                </c:pt>
                <c:pt idx="3484">
                  <c:v>63895</c:v>
                </c:pt>
                <c:pt idx="3485">
                  <c:v>63902</c:v>
                </c:pt>
                <c:pt idx="3486">
                  <c:v>63909</c:v>
                </c:pt>
                <c:pt idx="3487">
                  <c:v>63921</c:v>
                </c:pt>
                <c:pt idx="3488">
                  <c:v>63926</c:v>
                </c:pt>
                <c:pt idx="3489">
                  <c:v>63933</c:v>
                </c:pt>
                <c:pt idx="3490">
                  <c:v>63940</c:v>
                </c:pt>
                <c:pt idx="3491">
                  <c:v>63947</c:v>
                </c:pt>
                <c:pt idx="3492">
                  <c:v>63954</c:v>
                </c:pt>
                <c:pt idx="3493">
                  <c:v>63961</c:v>
                </c:pt>
                <c:pt idx="3494">
                  <c:v>63968</c:v>
                </c:pt>
                <c:pt idx="3495">
                  <c:v>63975</c:v>
                </c:pt>
                <c:pt idx="3496">
                  <c:v>63982</c:v>
                </c:pt>
                <c:pt idx="3497">
                  <c:v>63989</c:v>
                </c:pt>
                <c:pt idx="3498">
                  <c:v>63996</c:v>
                </c:pt>
                <c:pt idx="3499">
                  <c:v>64003</c:v>
                </c:pt>
                <c:pt idx="3500">
                  <c:v>64010</c:v>
                </c:pt>
                <c:pt idx="3501">
                  <c:v>64019</c:v>
                </c:pt>
                <c:pt idx="3502">
                  <c:v>64024</c:v>
                </c:pt>
                <c:pt idx="3503">
                  <c:v>64031</c:v>
                </c:pt>
                <c:pt idx="3504">
                  <c:v>64038</c:v>
                </c:pt>
                <c:pt idx="3505">
                  <c:v>64045</c:v>
                </c:pt>
                <c:pt idx="3506">
                  <c:v>64052</c:v>
                </c:pt>
                <c:pt idx="3507">
                  <c:v>64060</c:v>
                </c:pt>
                <c:pt idx="3508">
                  <c:v>64068</c:v>
                </c:pt>
                <c:pt idx="3509">
                  <c:v>64074</c:v>
                </c:pt>
                <c:pt idx="3510">
                  <c:v>64081</c:v>
                </c:pt>
                <c:pt idx="3511">
                  <c:v>64088</c:v>
                </c:pt>
                <c:pt idx="3512">
                  <c:v>64096</c:v>
                </c:pt>
                <c:pt idx="3513">
                  <c:v>64103</c:v>
                </c:pt>
                <c:pt idx="3514">
                  <c:v>64110</c:v>
                </c:pt>
                <c:pt idx="3515">
                  <c:v>64117</c:v>
                </c:pt>
                <c:pt idx="3516">
                  <c:v>64124</c:v>
                </c:pt>
                <c:pt idx="3517">
                  <c:v>64131</c:v>
                </c:pt>
                <c:pt idx="3518">
                  <c:v>64138</c:v>
                </c:pt>
                <c:pt idx="3519">
                  <c:v>64145</c:v>
                </c:pt>
                <c:pt idx="3520">
                  <c:v>64152</c:v>
                </c:pt>
                <c:pt idx="3521">
                  <c:v>64159</c:v>
                </c:pt>
                <c:pt idx="3522">
                  <c:v>64166</c:v>
                </c:pt>
                <c:pt idx="3523">
                  <c:v>64173</c:v>
                </c:pt>
                <c:pt idx="3524">
                  <c:v>64180</c:v>
                </c:pt>
                <c:pt idx="3525">
                  <c:v>64187</c:v>
                </c:pt>
                <c:pt idx="3526">
                  <c:v>64194</c:v>
                </c:pt>
                <c:pt idx="3527">
                  <c:v>64201</c:v>
                </c:pt>
                <c:pt idx="3528">
                  <c:v>64208</c:v>
                </c:pt>
                <c:pt idx="3529">
                  <c:v>64215</c:v>
                </c:pt>
                <c:pt idx="3530">
                  <c:v>64222</c:v>
                </c:pt>
                <c:pt idx="3531">
                  <c:v>64229</c:v>
                </c:pt>
                <c:pt idx="3532">
                  <c:v>64236</c:v>
                </c:pt>
                <c:pt idx="3533">
                  <c:v>64243</c:v>
                </c:pt>
              </c:numCache>
            </c:numRef>
          </c:cat>
          <c:val>
            <c:numRef>
              <c:f>Monitor!$R$19:$R$3552</c:f>
              <c:numCache>
                <c:formatCode>0.0000%</c:formatCode>
                <c:ptCount val="3534"/>
                <c:pt idx="0">
                  <c:v>-3.5460270896425783E-3</c:v>
                </c:pt>
                <c:pt idx="1">
                  <c:v>-3.550506290959099E-3</c:v>
                </c:pt>
                <c:pt idx="2">
                  <c:v>-3.5571074447560136E-3</c:v>
                </c:pt>
                <c:pt idx="3">
                  <c:v>-3.5614182187337917E-3</c:v>
                </c:pt>
                <c:pt idx="4">
                  <c:v>-3.5663533032348482E-3</c:v>
                </c:pt>
                <c:pt idx="5">
                  <c:v>-3.5719144457013741E-3</c:v>
                </c:pt>
                <c:pt idx="6">
                  <c:v>-3.5850878863197266E-3</c:v>
                </c:pt>
                <c:pt idx="7">
                  <c:v>-3.6004195916650161E-3</c:v>
                </c:pt>
                <c:pt idx="8">
                  <c:v>-3.6092216802030563E-3</c:v>
                </c:pt>
                <c:pt idx="9">
                  <c:v>-3.6192031170401151E-3</c:v>
                </c:pt>
                <c:pt idx="10">
                  <c:v>-3.6304745598592092E-3</c:v>
                </c:pt>
                <c:pt idx="11">
                  <c:v>-3.6572803104517604E-3</c:v>
                </c:pt>
                <c:pt idx="12">
                  <c:v>-3.6884603904763225E-3</c:v>
                </c:pt>
                <c:pt idx="13">
                  <c:v>-3.7057004891849488E-3</c:v>
                </c:pt>
                <c:pt idx="14">
                  <c:v>-3.7218237286085198E-3</c:v>
                </c:pt>
                <c:pt idx="15">
                  <c:v>-3.7363487360053682E-3</c:v>
                </c:pt>
                <c:pt idx="16">
                  <c:v>-3.7600320392305875E-3</c:v>
                </c:pt>
                <c:pt idx="17">
                  <c:v>-3.7784664488027531E-3</c:v>
                </c:pt>
                <c:pt idx="18">
                  <c:v>-3.7850002985839737E-3</c:v>
                </c:pt>
                <c:pt idx="19">
                  <c:v>-3.7899359169779601E-3</c:v>
                </c:pt>
                <c:pt idx="20">
                  <c:v>-3.7935342534467509E-3</c:v>
                </c:pt>
                <c:pt idx="21">
                  <c:v>-3.8000604594090603E-3</c:v>
                </c:pt>
                <c:pt idx="22">
                  <c:v>-3.8065584356994364E-3</c:v>
                </c:pt>
                <c:pt idx="23">
                  <c:v>-3.8097331393993628E-3</c:v>
                </c:pt>
                <c:pt idx="24">
                  <c:v>-3.8128753064459175E-3</c:v>
                </c:pt>
                <c:pt idx="25">
                  <c:v>-3.8159849366392606E-3</c:v>
                </c:pt>
                <c:pt idx="26">
                  <c:v>-3.822055162587823E-3</c:v>
                </c:pt>
                <c:pt idx="27">
                  <c:v>-3.8280980902793971E-3</c:v>
                </c:pt>
                <c:pt idx="28">
                  <c:v>-3.8310450369261062E-3</c:v>
                </c:pt>
                <c:pt idx="29">
                  <c:v>-3.8339594467595717E-3</c:v>
                </c:pt>
                <c:pt idx="30">
                  <c:v>-3.8368413198996976E-3</c:v>
                </c:pt>
                <c:pt idx="31">
                  <c:v>-3.8424555973159968E-3</c:v>
                </c:pt>
                <c:pt idx="32">
                  <c:v>-3.8480434452869972E-3</c:v>
                </c:pt>
                <c:pt idx="33">
                  <c:v>-3.8507626346806489E-3</c:v>
                </c:pt>
                <c:pt idx="34">
                  <c:v>-3.8534492875408333E-3</c:v>
                </c:pt>
                <c:pt idx="35">
                  <c:v>-3.8561034035877739E-3</c:v>
                </c:pt>
                <c:pt idx="36">
                  <c:v>-3.8612617644062652E-3</c:v>
                </c:pt>
                <c:pt idx="37">
                  <c:v>-3.8663945006822686E-3</c:v>
                </c:pt>
                <c:pt idx="38">
                  <c:v>-3.8688859331026393E-3</c:v>
                </c:pt>
                <c:pt idx="39">
                  <c:v>-3.8713448288296703E-3</c:v>
                </c:pt>
                <c:pt idx="40">
                  <c:v>-3.8737711879432979E-3</c:v>
                </c:pt>
                <c:pt idx="41">
                  <c:v>-3.878473664644666E-3</c:v>
                </c:pt>
                <c:pt idx="42">
                  <c:v>-3.8831512568648918E-3</c:v>
                </c:pt>
                <c:pt idx="43">
                  <c:v>-3.8854149323919174E-3</c:v>
                </c:pt>
                <c:pt idx="44">
                  <c:v>-3.8876460710657312E-3</c:v>
                </c:pt>
                <c:pt idx="45">
                  <c:v>-3.8898446731661096E-3</c:v>
                </c:pt>
                <c:pt idx="46">
                  <c:v>-3.894091298657365E-3</c:v>
                </c:pt>
                <c:pt idx="47">
                  <c:v>-3.8983137141546109E-3</c:v>
                </c:pt>
                <c:pt idx="48">
                  <c:v>-3.9003496326683873E-3</c:v>
                </c:pt>
                <c:pt idx="49">
                  <c:v>-3.9023530144488561E-3</c:v>
                </c:pt>
                <c:pt idx="50">
                  <c:v>-3.9043238594560492E-3</c:v>
                </c:pt>
                <c:pt idx="51">
                  <c:v>-3.9081146671238187E-3</c:v>
                </c:pt>
                <c:pt idx="52">
                  <c:v>-3.911881872591394E-3</c:v>
                </c:pt>
                <c:pt idx="53">
                  <c:v>-3.9136900341718572E-3</c:v>
                </c:pt>
                <c:pt idx="54">
                  <c:v>-3.9154656589790449E-3</c:v>
                </c:pt>
                <c:pt idx="55">
                  <c:v>-3.9172087470529249E-3</c:v>
                </c:pt>
                <c:pt idx="56">
                  <c:v>-3.9205437705769342E-3</c:v>
                </c:pt>
                <c:pt idx="57">
                  <c:v>-3.9238557325349532E-3</c:v>
                </c:pt>
                <c:pt idx="58">
                  <c:v>-3.9254361370621993E-3</c:v>
                </c:pt>
                <c:pt idx="59">
                  <c:v>-3.9298637921127977E-3</c:v>
                </c:pt>
                <c:pt idx="60">
                  <c:v>-3.9342352939453207E-3</c:v>
                </c:pt>
                <c:pt idx="61">
                  <c:v>-3.9355879415792216E-3</c:v>
                </c:pt>
                <c:pt idx="62">
                  <c:v>-3.9393319119689352E-3</c:v>
                </c:pt>
                <c:pt idx="63">
                  <c:v>-3.9430205569823684E-3</c:v>
                </c:pt>
                <c:pt idx="64">
                  <c:v>-3.9446700129541767E-3</c:v>
                </c:pt>
                <c:pt idx="65">
                  <c:v>-3.9462976193638255E-3</c:v>
                </c:pt>
                <c:pt idx="66">
                  <c:v>-3.9482654954525742E-3</c:v>
                </c:pt>
                <c:pt idx="67">
                  <c:v>-3.9502115220058087E-3</c:v>
                </c:pt>
                <c:pt idx="68">
                  <c:v>-3.9511086558530195E-3</c:v>
                </c:pt>
                <c:pt idx="69">
                  <c:v>-3.9519732531667628E-3</c:v>
                </c:pt>
                <c:pt idx="70">
                  <c:v>-3.9528053136272945E-3</c:v>
                </c:pt>
                <c:pt idx="71">
                  <c:v>-3.9543175431688837E-3</c:v>
                </c:pt>
                <c:pt idx="72">
                  <c:v>-3.9558081887758334E-3</c:v>
                </c:pt>
                <c:pt idx="73">
                  <c:v>-3.9564775658496032E-3</c:v>
                </c:pt>
                <c:pt idx="74">
                  <c:v>-3.9571144062700014E-3</c:v>
                </c:pt>
                <c:pt idx="75">
                  <c:v>-3.957718709877156E-3</c:v>
                </c:pt>
                <c:pt idx="76">
                  <c:v>-3.9587753276970616E-3</c:v>
                </c:pt>
                <c:pt idx="77">
                  <c:v>-3.9598105576921228E-3</c:v>
                </c:pt>
                <c:pt idx="78">
                  <c:v>-3.9602521777926114E-3</c:v>
                </c:pt>
                <c:pt idx="79">
                  <c:v>-3.9606612613196646E-3</c:v>
                </c:pt>
                <c:pt idx="80">
                  <c:v>-3.9610378081134101E-3</c:v>
                </c:pt>
                <c:pt idx="81">
                  <c:v>-3.9616388492635934E-3</c:v>
                </c:pt>
                <c:pt idx="82">
                  <c:v>-3.9622186284349326E-3</c:v>
                </c:pt>
                <c:pt idx="83">
                  <c:v>-3.9624324918419163E-3</c:v>
                </c:pt>
                <c:pt idx="84">
                  <c:v>-3.9626138184756243E-3</c:v>
                </c:pt>
                <c:pt idx="85">
                  <c:v>-3.9627626084159928E-3</c:v>
                </c:pt>
                <c:pt idx="86">
                  <c:v>-3.9629081079484152E-3</c:v>
                </c:pt>
                <c:pt idx="87">
                  <c:v>-3.9630324013639751E-3</c:v>
                </c:pt>
                <c:pt idx="88">
                  <c:v>-3.9630185078776137E-3</c:v>
                </c:pt>
                <c:pt idx="89">
                  <c:v>-3.9629720776979127E-3</c:v>
                </c:pt>
                <c:pt idx="90">
                  <c:v>-3.9628931108248722E-3</c:v>
                </c:pt>
                <c:pt idx="91">
                  <c:v>-3.9625831037648496E-3</c:v>
                </c:pt>
                <c:pt idx="92">
                  <c:v>-3.9622518763593462E-3</c:v>
                </c:pt>
                <c:pt idx="93">
                  <c:v>-3.9620102260196077E-3</c:v>
                </c:pt>
                <c:pt idx="94">
                  <c:v>-3.9617360389465617E-3</c:v>
                </c:pt>
                <c:pt idx="95">
                  <c:v>-3.9614293153000801E-3</c:v>
                </c:pt>
                <c:pt idx="96">
                  <c:v>-3.9606638367661873E-3</c:v>
                </c:pt>
                <c:pt idx="97">
                  <c:v>-3.9598770534210459E-3</c:v>
                </c:pt>
                <c:pt idx="98">
                  <c:v>-3.9594076461879624E-3</c:v>
                </c:pt>
                <c:pt idx="99">
                  <c:v>-3.9589057023814433E-3</c:v>
                </c:pt>
                <c:pt idx="100">
                  <c:v>-3.9583712217217126E-3</c:v>
                </c:pt>
                <c:pt idx="101">
                  <c:v>-3.9571503068458469E-3</c:v>
                </c:pt>
                <c:pt idx="102">
                  <c:v>-3.9559079324691382E-3</c:v>
                </c:pt>
                <c:pt idx="103">
                  <c:v>-3.9552107684626137E-3</c:v>
                </c:pt>
                <c:pt idx="104">
                  <c:v>-3.9544810678027176E-3</c:v>
                </c:pt>
                <c:pt idx="105">
                  <c:v>-3.9537188302096737E-3</c:v>
                </c:pt>
                <c:pt idx="106">
                  <c:v>-3.9520425138439563E-3</c:v>
                </c:pt>
                <c:pt idx="107">
                  <c:v>-3.9503445136235271E-3</c:v>
                </c:pt>
                <c:pt idx="108">
                  <c:v>-3.9494195926437214E-3</c:v>
                </c:pt>
                <c:pt idx="109">
                  <c:v>-3.9484621350505122E-3</c:v>
                </c:pt>
                <c:pt idx="110">
                  <c:v>-3.9474721407239954E-3</c:v>
                </c:pt>
                <c:pt idx="111">
                  <c:v>-3.9453404576139661E-3</c:v>
                </c:pt>
                <c:pt idx="112">
                  <c:v>-3.9431867965644685E-3</c:v>
                </c:pt>
                <c:pt idx="113">
                  <c:v>-3.9420341187312857E-3</c:v>
                </c:pt>
                <c:pt idx="114">
                  <c:v>-3.9408489042447314E-3</c:v>
                </c:pt>
                <c:pt idx="115">
                  <c:v>-3.9396311531048056E-3</c:v>
                </c:pt>
                <c:pt idx="116">
                  <c:v>-3.9370441378361321E-3</c:v>
                </c:pt>
                <c:pt idx="117">
                  <c:v>-3.9344347813319303E-3</c:v>
                </c:pt>
                <c:pt idx="118">
                  <c:v>-3.9330543466453705E-3</c:v>
                </c:pt>
                <c:pt idx="119">
                  <c:v>-3.9316413752654711E-3</c:v>
                </c:pt>
                <c:pt idx="120">
                  <c:v>-3.9270890234819333E-3</c:v>
                </c:pt>
                <c:pt idx="121">
                  <c:v>-3.9224802762660715E-3</c:v>
                </c:pt>
                <c:pt idx="122">
                  <c:v>-3.920839547872923E-3</c:v>
                </c:pt>
                <c:pt idx="123">
                  <c:v>-3.919166282946307E-3</c:v>
                </c:pt>
                <c:pt idx="124">
                  <c:v>-3.9156687063046647E-3</c:v>
                </c:pt>
                <c:pt idx="125">
                  <c:v>-3.9121478559067668E-3</c:v>
                </c:pt>
                <c:pt idx="126">
                  <c:v>-3.9103119073136128E-3</c:v>
                </c:pt>
                <c:pt idx="127">
                  <c:v>-3.9084434221070552E-3</c:v>
                </c:pt>
                <c:pt idx="128">
                  <c:v>-3.90654240016719E-3</c:v>
                </c:pt>
                <c:pt idx="129">
                  <c:v>-3.9025895936983801E-3</c:v>
                </c:pt>
                <c:pt idx="130">
                  <c:v>-3.8986129453943974E-3</c:v>
                </c:pt>
                <c:pt idx="131">
                  <c:v>-3.8965492397879942E-3</c:v>
                </c:pt>
                <c:pt idx="132">
                  <c:v>-3.8944529976880915E-3</c:v>
                </c:pt>
                <c:pt idx="133">
                  <c:v>-3.8923242186950091E-3</c:v>
                </c:pt>
                <c:pt idx="134">
                  <c:v>-3.8879162158655944E-3</c:v>
                </c:pt>
                <c:pt idx="135">
                  <c:v>-3.8834837359891239E-3</c:v>
                </c:pt>
                <c:pt idx="136">
                  <c:v>-3.8811922735293436E-3</c:v>
                </c:pt>
                <c:pt idx="137">
                  <c:v>-3.8788682743362557E-3</c:v>
                </c:pt>
                <c:pt idx="138">
                  <c:v>-3.8765117384098602E-3</c:v>
                </c:pt>
                <c:pt idx="139">
                  <c:v>-3.8716485722201099E-3</c:v>
                </c:pt>
                <c:pt idx="140">
                  <c:v>-3.8667602276110102E-3</c:v>
                </c:pt>
                <c:pt idx="141">
                  <c:v>-3.8642410082179168E-3</c:v>
                </c:pt>
                <c:pt idx="142">
                  <c:v>-3.8616892519716117E-3</c:v>
                </c:pt>
                <c:pt idx="143">
                  <c:v>-3.859104959031967E-3</c:v>
                </c:pt>
                <c:pt idx="144">
                  <c:v>-3.8537866620824701E-3</c:v>
                </c:pt>
                <c:pt idx="145">
                  <c:v>-3.8484424201401524E-3</c:v>
                </c:pt>
                <c:pt idx="146">
                  <c:v>-3.8456954436139057E-3</c:v>
                </c:pt>
                <c:pt idx="147">
                  <c:v>-3.8414894092730911E-3</c:v>
                </c:pt>
                <c:pt idx="148">
                  <c:v>-3.8343304847998638E-3</c:v>
                </c:pt>
                <c:pt idx="149">
                  <c:v>-3.828530313136902E-3</c:v>
                </c:pt>
                <c:pt idx="150">
                  <c:v>-3.8255555795574381E-3</c:v>
                </c:pt>
                <c:pt idx="151">
                  <c:v>-3.8225483092446666E-3</c:v>
                </c:pt>
                <c:pt idx="152">
                  <c:v>-3.8195085021586195E-3</c:v>
                </c:pt>
                <c:pt idx="153">
                  <c:v>-3.8116857620029698E-3</c:v>
                </c:pt>
                <c:pt idx="154">
                  <c:v>-3.8038214158087058E-3</c:v>
                </c:pt>
                <c:pt idx="155">
                  <c:v>-3.800586388242877E-3</c:v>
                </c:pt>
                <c:pt idx="156">
                  <c:v>-3.7973188241036127E-3</c:v>
                </c:pt>
                <c:pt idx="157">
                  <c:v>-3.7906353254824054E-3</c:v>
                </c:pt>
                <c:pt idx="158">
                  <c:v>-3.783923199813799E-3</c:v>
                </c:pt>
                <c:pt idx="159">
                  <c:v>-3.7804929519280606E-3</c:v>
                </c:pt>
                <c:pt idx="160">
                  <c:v>-3.7770301673090145E-3</c:v>
                </c:pt>
                <c:pt idx="161">
                  <c:v>-3.7735348457967888E-3</c:v>
                </c:pt>
                <c:pt idx="162">
                  <c:v>-3.7663963417822188E-3</c:v>
                </c:pt>
                <c:pt idx="163">
                  <c:v>-3.7592281927745219E-3</c:v>
                </c:pt>
                <c:pt idx="164">
                  <c:v>-3.7555701877955983E-3</c:v>
                </c:pt>
                <c:pt idx="165">
                  <c:v>-3.7518796458035908E-3</c:v>
                </c:pt>
                <c:pt idx="166">
                  <c:v>-3.7481565672381478E-3</c:v>
                </c:pt>
                <c:pt idx="167">
                  <c:v>-3.7405630873799112E-3</c:v>
                </c:pt>
                <c:pt idx="168">
                  <c:v>-3.7329388852436196E-3</c:v>
                </c:pt>
                <c:pt idx="169">
                  <c:v>-3.7290531228517665E-3</c:v>
                </c:pt>
                <c:pt idx="170">
                  <c:v>-3.7251348236466697E-3</c:v>
                </c:pt>
                <c:pt idx="171">
                  <c:v>-3.7211839878281694E-3</c:v>
                </c:pt>
                <c:pt idx="172">
                  <c:v>-3.7131355612629591E-3</c:v>
                </c:pt>
                <c:pt idx="173">
                  <c:v>-3.7050552766615397E-3</c:v>
                </c:pt>
                <c:pt idx="174">
                  <c:v>-3.7009417569766612E-3</c:v>
                </c:pt>
                <c:pt idx="175">
                  <c:v>-3.696795700518507E-3</c:v>
                </c:pt>
                <c:pt idx="176">
                  <c:v>-3.6926171072870773E-3</c:v>
                </c:pt>
                <c:pt idx="177">
                  <c:v>-3.6841137623921938E-3</c:v>
                </c:pt>
                <c:pt idx="178">
                  <c:v>-3.6755773666286018E-3</c:v>
                </c:pt>
                <c:pt idx="179">
                  <c:v>-3.671236089730634E-3</c:v>
                </c:pt>
                <c:pt idx="180">
                  <c:v>-3.6668622758195824E-3</c:v>
                </c:pt>
                <c:pt idx="181">
                  <c:v>-3.6557093718492251E-3</c:v>
                </c:pt>
                <c:pt idx="182">
                  <c:v>-3.644505155104838E-3</c:v>
                </c:pt>
                <c:pt idx="183">
                  <c:v>-3.6399361205541325E-3</c:v>
                </c:pt>
                <c:pt idx="184">
                  <c:v>-3.6353345492301514E-3</c:v>
                </c:pt>
                <c:pt idx="185">
                  <c:v>-3.6307004412128308E-3</c:v>
                </c:pt>
                <c:pt idx="186">
                  <c:v>-3.6212873415930602E-3</c:v>
                </c:pt>
                <c:pt idx="187">
                  <c:v>-3.6118386411310155E-3</c:v>
                </c:pt>
                <c:pt idx="188">
                  <c:v>-3.6070418492473166E-3</c:v>
                </c:pt>
                <c:pt idx="189">
                  <c:v>-3.6022125204704381E-3</c:v>
                </c:pt>
                <c:pt idx="190">
                  <c:v>-3.5973506548403478E-3</c:v>
                </c:pt>
                <c:pt idx="191">
                  <c:v>-3.5874827171733514E-3</c:v>
                </c:pt>
                <c:pt idx="192">
                  <c:v>-3.5775778247471024E-3</c:v>
                </c:pt>
                <c:pt idx="193">
                  <c:v>-3.5725532752106659E-3</c:v>
                </c:pt>
                <c:pt idx="194">
                  <c:v>-3.5674961889009538E-3</c:v>
                </c:pt>
                <c:pt idx="195">
                  <c:v>-3.562406565777998E-3</c:v>
                </c:pt>
                <c:pt idx="196">
                  <c:v>-3.5520838149372125E-3</c:v>
                </c:pt>
                <c:pt idx="197">
                  <c:v>-3.5417227053136102E-3</c:v>
                </c:pt>
                <c:pt idx="198">
                  <c:v>-3.5364703980844681E-3</c:v>
                </c:pt>
                <c:pt idx="199">
                  <c:v>-3.5311855542019543E-3</c:v>
                </c:pt>
                <c:pt idx="200">
                  <c:v>-3.5258681734262609E-3</c:v>
                </c:pt>
                <c:pt idx="201">
                  <c:v>-3.5150906335257304E-3</c:v>
                </c:pt>
                <c:pt idx="202">
                  <c:v>-3.5042732823109546E-3</c:v>
                </c:pt>
                <c:pt idx="203">
                  <c:v>-3.4987932174290748E-3</c:v>
                </c:pt>
                <c:pt idx="204">
                  <c:v>-3.4932806158538554E-3</c:v>
                </c:pt>
                <c:pt idx="205">
                  <c:v>-3.4877354773854563E-3</c:v>
                </c:pt>
                <c:pt idx="206">
                  <c:v>-3.4765031714067973E-3</c:v>
                </c:pt>
                <c:pt idx="207">
                  <c:v>-3.4652295552595191E-3</c:v>
                </c:pt>
                <c:pt idx="208">
                  <c:v>-3.4595217326849337E-3</c:v>
                </c:pt>
                <c:pt idx="209">
                  <c:v>-3.4537813732571365E-3</c:v>
                </c:pt>
                <c:pt idx="210">
                  <c:v>-3.4480084770160957E-3</c:v>
                </c:pt>
                <c:pt idx="211">
                  <c:v>-3.4363214271015963E-3</c:v>
                </c:pt>
                <c:pt idx="212">
                  <c:v>-3.4245915237196556E-3</c:v>
                </c:pt>
                <c:pt idx="213">
                  <c:v>-3.4186559432924923E-3</c:v>
                </c:pt>
                <c:pt idx="214">
                  <c:v>-3.4126878260520854E-3</c:v>
                </c:pt>
                <c:pt idx="215">
                  <c:v>-3.4066871719184988E-3</c:v>
                </c:pt>
                <c:pt idx="216">
                  <c:v>-3.3945453989447927E-3</c:v>
                </c:pt>
                <c:pt idx="217">
                  <c:v>-3.3823591870518754E-3</c:v>
                </c:pt>
                <c:pt idx="218">
                  <c:v>-3.3761958487721344E-3</c:v>
                </c:pt>
                <c:pt idx="219">
                  <c:v>-3.3699999735992137E-3</c:v>
                </c:pt>
                <c:pt idx="220">
                  <c:v>-3.3637715614931452E-3</c:v>
                </c:pt>
                <c:pt idx="221">
                  <c:v>-3.3511750853643107E-3</c:v>
                </c:pt>
                <c:pt idx="222">
                  <c:v>-3.3385325447765624E-3</c:v>
                </c:pt>
                <c:pt idx="223">
                  <c:v>-3.3321414485243395E-3</c:v>
                </c:pt>
                <c:pt idx="224">
                  <c:v>-3.3257178152990008E-3</c:v>
                </c:pt>
                <c:pt idx="225">
                  <c:v>-3.3192616452604184E-3</c:v>
                </c:pt>
                <c:pt idx="226">
                  <c:v>-3.3062104844949758E-3</c:v>
                </c:pt>
                <c:pt idx="227">
                  <c:v>-3.2931115963341639E-3</c:v>
                </c:pt>
                <c:pt idx="228">
                  <c:v>-3.286492741909619E-3</c:v>
                </c:pt>
                <c:pt idx="229">
                  <c:v>-3.2798413506718305E-3</c:v>
                </c:pt>
                <c:pt idx="230">
                  <c:v>-3.2731574224209581E-3</c:v>
                </c:pt>
                <c:pt idx="231">
                  <c:v>-3.2596515946714533E-3</c:v>
                </c:pt>
                <c:pt idx="232">
                  <c:v>-3.2460963410052557E-3</c:v>
                </c:pt>
                <c:pt idx="233">
                  <c:v>-3.2392497284883248E-3</c:v>
                </c:pt>
                <c:pt idx="234">
                  <c:v>-3.2323705789583101E-3</c:v>
                </c:pt>
                <c:pt idx="235">
                  <c:v>-3.2254588926150518E-3</c:v>
                </c:pt>
                <c:pt idx="236">
                  <c:v>-3.2114984140019232E-3</c:v>
                </c:pt>
                <c:pt idx="237">
                  <c:v>-3.1974867782302852E-3</c:v>
                </c:pt>
                <c:pt idx="238">
                  <c:v>-3.1904124074610962E-3</c:v>
                </c:pt>
                <c:pt idx="239">
                  <c:v>-3.1833054996788235E-3</c:v>
                </c:pt>
                <c:pt idx="240">
                  <c:v>-3.176166055043339E-3</c:v>
                </c:pt>
                <c:pt idx="241">
                  <c:v>-3.1617509405013067E-3</c:v>
                </c:pt>
                <c:pt idx="242">
                  <c:v>-3.1472829074097319E-3</c:v>
                </c:pt>
                <c:pt idx="243">
                  <c:v>-3.1399807781884448E-3</c:v>
                </c:pt>
                <c:pt idx="244">
                  <c:v>-3.1326461121139459E-3</c:v>
                </c:pt>
                <c:pt idx="245">
                  <c:v>-3.1252789090663313E-3</c:v>
                </c:pt>
                <c:pt idx="246">
                  <c:v>-3.1104091722777838E-3</c:v>
                </c:pt>
                <c:pt idx="247">
                  <c:v>-3.0954847277442354E-3</c:v>
                </c:pt>
                <c:pt idx="248">
                  <c:v>-3.0879548401507861E-3</c:v>
                </c:pt>
                <c:pt idx="249">
                  <c:v>-3.080392415504285E-3</c:v>
                </c:pt>
                <c:pt idx="250">
                  <c:v>-3.0728001124780135E-3</c:v>
                </c:pt>
                <c:pt idx="251">
                  <c:v>-3.0575289334500155E-3</c:v>
                </c:pt>
                <c:pt idx="252">
                  <c:v>-3.0422544032360221E-3</c:v>
                </c:pt>
                <c:pt idx="253">
                  <c:v>-3.0345765101547073E-3</c:v>
                </c:pt>
                <c:pt idx="254">
                  <c:v>-3.0268820307410849E-3</c:v>
                </c:pt>
                <c:pt idx="255">
                  <c:v>-3.0191709649951548E-3</c:v>
                </c:pt>
                <c:pt idx="256">
                  <c:v>-3.0036684842293937E-3</c:v>
                </c:pt>
                <c:pt idx="257">
                  <c:v>-2.9881608386483904E-3</c:v>
                </c:pt>
                <c:pt idx="258">
                  <c:v>-2.9803668412808904E-3</c:v>
                </c:pt>
                <c:pt idx="259">
                  <c:v>-2.9725562575011466E-3</c:v>
                </c:pt>
                <c:pt idx="260">
                  <c:v>-2.9647290874290633E-3</c:v>
                </c:pt>
                <c:pt idx="261">
                  <c:v>-2.9489953020744863E-3</c:v>
                </c:pt>
                <c:pt idx="262">
                  <c:v>-2.9332545437776858E-3</c:v>
                </c:pt>
                <c:pt idx="263">
                  <c:v>-2.9253444420440644E-3</c:v>
                </c:pt>
                <c:pt idx="264">
                  <c:v>-2.9174177539781354E-3</c:v>
                </c:pt>
                <c:pt idx="265">
                  <c:v>-2.9094744794599947E-3</c:v>
                </c:pt>
                <c:pt idx="266">
                  <c:v>-2.8935093859061567E-3</c:v>
                </c:pt>
                <c:pt idx="267">
                  <c:v>-2.877535518304164E-3</c:v>
                </c:pt>
                <c:pt idx="268">
                  <c:v>-2.8695093122044213E-3</c:v>
                </c:pt>
                <c:pt idx="269">
                  <c:v>-2.8614665196524669E-3</c:v>
                </c:pt>
                <c:pt idx="270">
                  <c:v>-2.8534071408081729E-3</c:v>
                </c:pt>
                <c:pt idx="271">
                  <c:v>-2.8372107345786546E-3</c:v>
                </c:pt>
                <c:pt idx="272">
                  <c:v>-2.8210037618681127E-3</c:v>
                </c:pt>
                <c:pt idx="273">
                  <c:v>-2.8128614512423766E-3</c:v>
                </c:pt>
                <c:pt idx="274">
                  <c:v>-2.8047025542443649E-3</c:v>
                </c:pt>
                <c:pt idx="275">
                  <c:v>-2.7965270709939816E-3</c:v>
                </c:pt>
                <c:pt idx="276">
                  <c:v>-2.7800993468929391E-3</c:v>
                </c:pt>
                <c:pt idx="277">
                  <c:v>-2.7636592740698518E-3</c:v>
                </c:pt>
                <c:pt idx="278">
                  <c:v>-2.7554008588781542E-3</c:v>
                </c:pt>
                <c:pt idx="279">
                  <c:v>-2.7471258574740531E-3</c:v>
                </c:pt>
                <c:pt idx="280">
                  <c:v>-2.7388342694978363E-3</c:v>
                </c:pt>
                <c:pt idx="281">
                  <c:v>-2.7221752217831963E-3</c:v>
                </c:pt>
                <c:pt idx="282">
                  <c:v>-2.7055020544297648E-3</c:v>
                </c:pt>
                <c:pt idx="283">
                  <c:v>-2.6971275348319779E-3</c:v>
                </c:pt>
                <c:pt idx="284">
                  <c:v>-2.6887364286620752E-3</c:v>
                </c:pt>
                <c:pt idx="285">
                  <c:v>-2.6803287362398009E-3</c:v>
                </c:pt>
                <c:pt idx="286">
                  <c:v>-2.6634383580104171E-3</c:v>
                </c:pt>
                <c:pt idx="287">
                  <c:v>-2.6465321027080435E-3</c:v>
                </c:pt>
                <c:pt idx="288">
                  <c:v>-2.6380414784243911E-3</c:v>
                </c:pt>
                <c:pt idx="289">
                  <c:v>-2.629534267728495E-3</c:v>
                </c:pt>
                <c:pt idx="290">
                  <c:v>-2.6210104706603232E-3</c:v>
                </c:pt>
                <c:pt idx="291">
                  <c:v>-2.603888754362238E-3</c:v>
                </c:pt>
                <c:pt idx="292">
                  <c:v>-2.5867494184250717E-3</c:v>
                </c:pt>
                <c:pt idx="293">
                  <c:v>-2.5781426894955217E-3</c:v>
                </c:pt>
                <c:pt idx="294">
                  <c:v>-2.569519374033824E-3</c:v>
                </c:pt>
                <c:pt idx="295">
                  <c:v>-2.5608794723197548E-3</c:v>
                </c:pt>
                <c:pt idx="296">
                  <c:v>-2.5435264096662635E-3</c:v>
                </c:pt>
                <c:pt idx="297">
                  <c:v>-2.526154001301073E-3</c:v>
                </c:pt>
                <c:pt idx="298">
                  <c:v>-2.5174311674458494E-3</c:v>
                </c:pt>
                <c:pt idx="299">
                  <c:v>-2.5086917473382542E-3</c:v>
                </c:pt>
                <c:pt idx="300">
                  <c:v>-2.4999357408184153E-3</c:v>
                </c:pt>
                <c:pt idx="301">
                  <c:v>-2.4823513227234528E-3</c:v>
                </c:pt>
                <c:pt idx="302">
                  <c:v>-2.4647458506565911E-3</c:v>
                </c:pt>
                <c:pt idx="303">
                  <c:v>-2.4559069120755339E-3</c:v>
                </c:pt>
                <c:pt idx="304">
                  <c:v>-2.4470513871621691E-3</c:v>
                </c:pt>
                <c:pt idx="305">
                  <c:v>-2.4381792757566245E-3</c:v>
                </c:pt>
                <c:pt idx="306">
                  <c:v>-2.4203634922681516E-3</c:v>
                </c:pt>
                <c:pt idx="307">
                  <c:v>-2.4025249662518178E-3</c:v>
                </c:pt>
                <c:pt idx="308">
                  <c:v>-2.3935699228649909E-3</c:v>
                </c:pt>
                <c:pt idx="309">
                  <c:v>-2.3845982929859844E-3</c:v>
                </c:pt>
                <c:pt idx="310">
                  <c:v>-2.3756100767746702E-3</c:v>
                </c:pt>
                <c:pt idx="311">
                  <c:v>-2.3530335340393727E-3</c:v>
                </c:pt>
                <c:pt idx="312">
                  <c:v>-2.3304201993346041E-3</c:v>
                </c:pt>
                <c:pt idx="313">
                  <c:v>-2.3213324646098599E-3</c:v>
                </c:pt>
                <c:pt idx="314">
                  <c:v>-2.3122281433929359E-3</c:v>
                </c:pt>
                <c:pt idx="315">
                  <c:v>-2.2939495956908473E-3</c:v>
                </c:pt>
                <c:pt idx="316">
                  <c:v>-2.2756449945227075E-3</c:v>
                </c:pt>
                <c:pt idx="317">
                  <c:v>-2.2664577411646292E-3</c:v>
                </c:pt>
                <c:pt idx="318">
                  <c:v>-2.2572539014342752E-3</c:v>
                </c:pt>
                <c:pt idx="319">
                  <c:v>-2.2341405723036445E-3</c:v>
                </c:pt>
                <c:pt idx="320">
                  <c:v>-2.2109859062391379E-3</c:v>
                </c:pt>
                <c:pt idx="321">
                  <c:v>-2.2016825478354818E-3</c:v>
                </c:pt>
                <c:pt idx="322">
                  <c:v>-2.1923626029796139E-3</c:v>
                </c:pt>
                <c:pt idx="323">
                  <c:v>-2.1830260718314065E-3</c:v>
                </c:pt>
                <c:pt idx="324">
                  <c:v>-2.1642847096892126E-3</c:v>
                </c:pt>
                <c:pt idx="325">
                  <c:v>-2.1455140824366836E-3</c:v>
                </c:pt>
                <c:pt idx="326">
                  <c:v>-2.1360946189075136E-3</c:v>
                </c:pt>
                <c:pt idx="327">
                  <c:v>-2.126658569086004E-3</c:v>
                </c:pt>
                <c:pt idx="328">
                  <c:v>-2.1172059326923787E-3</c:v>
                </c:pt>
                <c:pt idx="329">
                  <c:v>-2.0982331423669009E-3</c:v>
                </c:pt>
                <c:pt idx="330">
                  <c:v>-2.0792295226756963E-3</c:v>
                </c:pt>
                <c:pt idx="331">
                  <c:v>-2.0696939541009485E-3</c:v>
                </c:pt>
                <c:pt idx="332">
                  <c:v>-2.0601417990340209E-3</c:v>
                </c:pt>
                <c:pt idx="333">
                  <c:v>-2.0505730573949776E-3</c:v>
                </c:pt>
                <c:pt idx="334">
                  <c:v>-2.0313688237383332E-3</c:v>
                </c:pt>
                <c:pt idx="335">
                  <c:v>-2.0121322265964636E-3</c:v>
                </c:pt>
                <c:pt idx="336">
                  <c:v>-2.0024805527762979E-3</c:v>
                </c:pt>
                <c:pt idx="337">
                  <c:v>-1.9928122924239844E-3</c:v>
                </c:pt>
                <c:pt idx="338">
                  <c:v>-1.9831274456194592E-3</c:v>
                </c:pt>
                <c:pt idx="339">
                  <c:v>-1.9636917523913056E-3</c:v>
                </c:pt>
                <c:pt idx="340">
                  <c:v>-1.9442221936794013E-3</c:v>
                </c:pt>
                <c:pt idx="341">
                  <c:v>-1.9344544144939135E-3</c:v>
                </c:pt>
                <c:pt idx="342">
                  <c:v>-1.9246700488961821E-3</c:v>
                </c:pt>
                <c:pt idx="343">
                  <c:v>-1.9148690966863668E-3</c:v>
                </c:pt>
                <c:pt idx="344">
                  <c:v>-1.8952019270335185E-3</c:v>
                </c:pt>
                <c:pt idx="345">
                  <c:v>-1.8754994234049249E-3</c:v>
                </c:pt>
                <c:pt idx="346">
                  <c:v>-1.8656155389340512E-3</c:v>
                </c:pt>
                <c:pt idx="347">
                  <c:v>-1.8557150678111256E-3</c:v>
                </c:pt>
                <c:pt idx="348">
                  <c:v>-1.8457980103159244E-3</c:v>
                </c:pt>
                <c:pt idx="349">
                  <c:v>-1.825899346186155E-3</c:v>
                </c:pt>
                <c:pt idx="350">
                  <c:v>-1.8059639154133222E-3</c:v>
                </c:pt>
                <c:pt idx="351">
                  <c:v>-1.7959639253772863E-3</c:v>
                </c:pt>
                <c:pt idx="352">
                  <c:v>-1.7859473489290068E-3</c:v>
                </c:pt>
                <c:pt idx="353">
                  <c:v>-1.7759141859885474E-3</c:v>
                </c:pt>
                <c:pt idx="354">
                  <c:v>-1.7557840084769794E-3</c:v>
                </c:pt>
                <c:pt idx="355">
                  <c:v>-1.7356156691450408E-3</c:v>
                </c:pt>
                <c:pt idx="356">
                  <c:v>-1.7254995736237788E-3</c:v>
                </c:pt>
                <c:pt idx="357">
                  <c:v>-1.7153668917302412E-3</c:v>
                </c:pt>
                <c:pt idx="358">
                  <c:v>-1.7052176231446836E-3</c:v>
                </c:pt>
                <c:pt idx="359">
                  <c:v>-1.6848559124937879E-3</c:v>
                </c:pt>
                <c:pt idx="360">
                  <c:v>-1.6644546841604324E-3</c:v>
                </c:pt>
                <c:pt idx="361">
                  <c:v>-1.6542224830740082E-3</c:v>
                </c:pt>
                <c:pt idx="362">
                  <c:v>-1.6439736954954043E-3</c:v>
                </c:pt>
                <c:pt idx="363">
                  <c:v>-1.6337083215045567E-3</c:v>
                </c:pt>
                <c:pt idx="364">
                  <c:v>-1.6131150567710861E-3</c:v>
                </c:pt>
                <c:pt idx="365">
                  <c:v>-1.5924809599798806E-3</c:v>
                </c:pt>
                <c:pt idx="366">
                  <c:v>-1.5821326532483582E-3</c:v>
                </c:pt>
                <c:pt idx="367">
                  <c:v>-1.571767760064624E-3</c:v>
                </c:pt>
                <c:pt idx="368">
                  <c:v>-1.5613862803887102E-3</c:v>
                </c:pt>
                <c:pt idx="369">
                  <c:v>-1.5405614398833478E-3</c:v>
                </c:pt>
                <c:pt idx="370">
                  <c:v>-1.519694496043833E-3</c:v>
                </c:pt>
                <c:pt idx="371">
                  <c:v>-1.5092300837071804E-3</c:v>
                </c:pt>
                <c:pt idx="372">
                  <c:v>-1.498749084798412E-3</c:v>
                </c:pt>
                <c:pt idx="373">
                  <c:v>-1.4882514992775597E-3</c:v>
                </c:pt>
                <c:pt idx="374">
                  <c:v>-1.4671950603251105E-3</c:v>
                </c:pt>
                <c:pt idx="375">
                  <c:v>-1.4460952920325454E-3</c:v>
                </c:pt>
                <c:pt idx="376">
                  <c:v>-1.4355147738109864E-3</c:v>
                </c:pt>
                <c:pt idx="377">
                  <c:v>-1.4249176691372156E-3</c:v>
                </c:pt>
                <c:pt idx="378">
                  <c:v>-1.4143039778913291E-3</c:v>
                </c:pt>
                <c:pt idx="379">
                  <c:v>-1.3930159166175571E-3</c:v>
                </c:pt>
                <c:pt idx="380">
                  <c:v>-1.3716833473065293E-3</c:v>
                </c:pt>
                <c:pt idx="381">
                  <c:v>-1.3609867232400319E-3</c:v>
                </c:pt>
                <c:pt idx="382">
                  <c:v>-1.3502735126813548E-3</c:v>
                </c:pt>
                <c:pt idx="383">
                  <c:v>-1.3395437154706258E-3</c:v>
                </c:pt>
                <c:pt idx="384">
                  <c:v>-1.3180240072951932E-3</c:v>
                </c:pt>
                <c:pt idx="385">
                  <c:v>-1.2964586613861684E-3</c:v>
                </c:pt>
                <c:pt idx="386">
                  <c:v>-1.2856459313548285E-3</c:v>
                </c:pt>
                <c:pt idx="387">
                  <c:v>-1.274816614871277E-3</c:v>
                </c:pt>
                <c:pt idx="388">
                  <c:v>-1.2422039869930401E-3</c:v>
                </c:pt>
                <c:pt idx="389">
                  <c:v>-1.2094923977556959E-3</c:v>
                </c:pt>
                <c:pt idx="390">
                  <c:v>-1.1985469753472699E-3</c:v>
                </c:pt>
                <c:pt idx="391">
                  <c:v>-1.187584966166888E-3</c:v>
                </c:pt>
                <c:pt idx="392">
                  <c:v>-1.1656018854777628E-3</c:v>
                </c:pt>
                <c:pt idx="393">
                  <c:v>-1.1435710639640106E-3</c:v>
                </c:pt>
                <c:pt idx="394">
                  <c:v>-1.1325261218830818E-3</c:v>
                </c:pt>
                <c:pt idx="395">
                  <c:v>-1.1214645933499412E-3</c:v>
                </c:pt>
                <c:pt idx="396">
                  <c:v>-1.1103864780848127E-3</c:v>
                </c:pt>
                <c:pt idx="397">
                  <c:v>-1.0826033738675633E-3</c:v>
                </c:pt>
                <c:pt idx="398">
                  <c:v>-1.0547471032174016E-3</c:v>
                </c:pt>
                <c:pt idx="399">
                  <c:v>-1.0435694684396424E-3</c:v>
                </c:pt>
                <c:pt idx="400">
                  <c:v>-1.0323752471297354E-3</c:v>
                </c:pt>
                <c:pt idx="401">
                  <c:v>-1.0099286825626663E-3</c:v>
                </c:pt>
                <c:pt idx="402">
                  <c:v>-9.8743249552946111E-4</c:v>
                </c:pt>
                <c:pt idx="403">
                  <c:v>-9.7615534123907111E-4</c:v>
                </c:pt>
                <c:pt idx="404">
                  <c:v>-9.6486160017672518E-4</c:v>
                </c:pt>
                <c:pt idx="405">
                  <c:v>-9.5355127258223149E-4</c:v>
                </c:pt>
                <c:pt idx="406">
                  <c:v>-9.3087292175830783E-4</c:v>
                </c:pt>
                <c:pt idx="407">
                  <c:v>-9.0814409596351453E-4</c:v>
                </c:pt>
                <c:pt idx="408">
                  <c:v>-8.9675083530860178E-4</c:v>
                </c:pt>
                <c:pt idx="409">
                  <c:v>-8.8534098804160521E-4</c:v>
                </c:pt>
                <c:pt idx="410">
                  <c:v>-8.7391455404262075E-4</c:v>
                </c:pt>
                <c:pt idx="411">
                  <c:v>-8.5100438588003868E-4</c:v>
                </c:pt>
                <c:pt idx="412">
                  <c:v>-8.2804295208571688E-4</c:v>
                </c:pt>
                <c:pt idx="413">
                  <c:v>-8.1653358502631335E-4</c:v>
                </c:pt>
                <c:pt idx="414">
                  <c:v>-7.992354740027352E-4</c:v>
                </c:pt>
                <c:pt idx="415">
                  <c:v>-7.7032307332913774E-4</c:v>
                </c:pt>
                <c:pt idx="416">
                  <c:v>-7.4712906333651574E-4</c:v>
                </c:pt>
                <c:pt idx="417">
                  <c:v>-7.3550358975271735E-4</c:v>
                </c:pt>
                <c:pt idx="418">
                  <c:v>-7.2386152955683514E-4</c:v>
                </c:pt>
                <c:pt idx="419">
                  <c:v>-7.122028828687732E-4</c:v>
                </c:pt>
                <c:pt idx="420">
                  <c:v>-6.829713892431144E-4</c:v>
                </c:pt>
                <c:pt idx="421">
                  <c:v>-6.5366084904816546E-4</c:v>
                </c:pt>
                <c:pt idx="422">
                  <c:v>-6.4190268236785641E-4</c:v>
                </c:pt>
                <c:pt idx="423">
                  <c:v>-6.301279289955275E-4</c:v>
                </c:pt>
                <c:pt idx="424">
                  <c:v>-6.0652211168132908E-4</c:v>
                </c:pt>
                <c:pt idx="425">
                  <c:v>-5.8286304898569341E-4</c:v>
                </c:pt>
                <c:pt idx="426">
                  <c:v>-5.710053622332012E-4</c:v>
                </c:pt>
                <c:pt idx="427">
                  <c:v>-5.5913108898852926E-4</c:v>
                </c:pt>
                <c:pt idx="428">
                  <c:v>-5.4724022897190139E-4</c:v>
                </c:pt>
                <c:pt idx="429">
                  <c:v>-5.2340245922710693E-4</c:v>
                </c:pt>
                <c:pt idx="430">
                  <c:v>-4.9951092222499938E-4</c:v>
                </c:pt>
                <c:pt idx="431">
                  <c:v>-4.875371289481123E-4</c:v>
                </c:pt>
                <c:pt idx="432">
                  <c:v>-4.7554674889926929E-4</c:v>
                </c:pt>
                <c:pt idx="433">
                  <c:v>-4.4548703872826501E-4</c:v>
                </c:pt>
                <c:pt idx="434">
                  <c:v>-4.1534604851456436E-4</c:v>
                </c:pt>
                <c:pt idx="435">
                  <c:v>-4.0325614831360213E-4</c:v>
                </c:pt>
                <c:pt idx="436">
                  <c:v>-3.9114966162046017E-4</c:v>
                </c:pt>
                <c:pt idx="437">
                  <c:v>-3.7902658803545819E-4</c:v>
                </c:pt>
                <c:pt idx="438">
                  <c:v>-3.5472480263809558E-4</c:v>
                </c:pt>
                <c:pt idx="439">
                  <c:v>-3.3036842705502778E-4</c:v>
                </c:pt>
                <c:pt idx="440">
                  <c:v>-3.1816242012983054E-4</c:v>
                </c:pt>
                <c:pt idx="441">
                  <c:v>-3.0593982635274131E-4</c:v>
                </c:pt>
                <c:pt idx="442">
                  <c:v>-2.9370064604350432E-4</c:v>
                </c:pt>
                <c:pt idx="443">
                  <c:v>-2.6916679509270125E-4</c:v>
                </c:pt>
                <c:pt idx="444">
                  <c:v>-2.4457805732680526E-4</c:v>
                </c:pt>
                <c:pt idx="445">
                  <c:v>-2.3225594347753287E-4</c:v>
                </c:pt>
                <c:pt idx="446">
                  <c:v>-2.1991724285630454E-4</c:v>
                </c:pt>
                <c:pt idx="447">
                  <c:v>-2.0756195550308831E-4</c:v>
                </c:pt>
                <c:pt idx="448">
                  <c:v>-1.8279599904413857E-4</c:v>
                </c:pt>
                <c:pt idx="449">
                  <c:v>-1.579749388902485E-4</c:v>
                </c:pt>
                <c:pt idx="450">
                  <c:v>-1.4553671799699686E-4</c:v>
                </c:pt>
                <c:pt idx="451">
                  <c:v>-1.3308191029182126E-4</c:v>
                </c:pt>
                <c:pt idx="452">
                  <c:v>-1.2061051589462579E-4</c:v>
                </c:pt>
                <c:pt idx="453">
                  <c:v>-9.5612412773782296E-5</c:v>
                </c:pt>
                <c:pt idx="454">
                  <c:v>-7.0559070985964922E-5</c:v>
                </c:pt>
                <c:pt idx="455">
                  <c:v>-5.8004742928829955E-5</c:v>
                </c:pt>
                <c:pt idx="456">
                  <c:v>-4.5433828179675118E-5</c:v>
                </c:pt>
                <c:pt idx="457">
                  <c:v>-3.2846326618596322E-5</c:v>
                </c:pt>
                <c:pt idx="458">
                  <c:v>-7.6160344564257798E-6</c:v>
                </c:pt>
                <c:pt idx="459">
                  <c:v>1.7669546945597858E-5</c:v>
                </c:pt>
                <c:pt idx="460">
                  <c:v>3.0339982126648124E-5</c:v>
                </c:pt>
                <c:pt idx="461">
                  <c:v>4.3027004119622347E-5</c:v>
                </c:pt>
                <c:pt idx="462">
                  <c:v>5.5730612764648413E-5</c:v>
                </c:pt>
                <c:pt idx="463">
                  <c:v>8.1193137679846927E-5</c:v>
                </c:pt>
                <c:pt idx="464">
                  <c:v>1.0671091538405619E-4</c:v>
                </c:pt>
                <c:pt idx="465">
                  <c:v>1.1949745792882993E-4</c:v>
                </c:pt>
                <c:pt idx="466">
                  <c:v>1.3230058712565551E-4</c:v>
                </c:pt>
                <c:pt idx="467">
                  <c:v>1.4512030313440505E-4</c:v>
                </c:pt>
                <c:pt idx="468">
                  <c:v>1.708151053936291E-4</c:v>
                </c:pt>
                <c:pt idx="469">
                  <c:v>1.965650350488346E-4</c:v>
                </c:pt>
                <c:pt idx="470">
                  <c:v>2.0946768495733181E-4</c:v>
                </c:pt>
                <c:pt idx="471">
                  <c:v>2.2238692159781692E-4</c:v>
                </c:pt>
                <c:pt idx="472">
                  <c:v>2.3532274497028993E-4</c:v>
                </c:pt>
                <c:pt idx="473">
                  <c:v>2.6124987056341809E-4</c:v>
                </c:pt>
                <c:pt idx="474">
                  <c:v>2.8723190649948549E-4</c:v>
                </c:pt>
                <c:pt idx="475">
                  <c:v>3.0025066385164223E-4</c:v>
                </c:pt>
                <c:pt idx="476">
                  <c:v>3.1328600793578687E-4</c:v>
                </c:pt>
                <c:pt idx="477">
                  <c:v>3.2633793891179153E-4</c:v>
                </c:pt>
                <c:pt idx="478">
                  <c:v>3.5249743497445252E-4</c:v>
                </c:pt>
                <c:pt idx="479">
                  <c:v>3.7871153045543338E-4</c:v>
                </c:pt>
                <c:pt idx="480">
                  <c:v>3.9184639525124965E-4</c:v>
                </c:pt>
                <c:pt idx="481">
                  <c:v>4.0499784701886199E-4</c:v>
                </c:pt>
                <c:pt idx="482">
                  <c:v>4.1816588551846223E-4</c:v>
                </c:pt>
                <c:pt idx="483">
                  <c:v>4.4455780051855243E-4</c:v>
                </c:pt>
                <c:pt idx="484">
                  <c:v>4.7100390739629461E-4</c:v>
                </c:pt>
                <c:pt idx="485">
                  <c:v>4.8425487987557858E-4</c:v>
                </c:pt>
                <c:pt idx="486">
                  <c:v>4.9752243916678651E-4</c:v>
                </c:pt>
                <c:pt idx="487">
                  <c:v>5.1080658534985446E-4</c:v>
                </c:pt>
                <c:pt idx="488">
                  <c:v>5.3743096908753785E-4</c:v>
                </c:pt>
                <c:pt idx="489">
                  <c:v>5.6410903788162159E-4</c:v>
                </c:pt>
                <c:pt idx="490">
                  <c:v>5.7747611820424538E-4</c:v>
                </c:pt>
                <c:pt idx="491">
                  <c:v>5.9085978517892102E-4</c:v>
                </c:pt>
                <c:pt idx="492">
                  <c:v>6.0426003904545667E-4</c:v>
                </c:pt>
                <c:pt idx="493">
                  <c:v>6.3111694249329275E-4</c:v>
                </c:pt>
                <c:pt idx="494">
                  <c:v>6.5802692287064701E-4</c:v>
                </c:pt>
                <c:pt idx="495">
                  <c:v>6.7151011087673851E-4</c:v>
                </c:pt>
                <c:pt idx="496">
                  <c:v>6.8500988585462608E-4</c:v>
                </c:pt>
                <c:pt idx="497">
                  <c:v>6.9852624748456549E-4</c:v>
                </c:pt>
                <c:pt idx="498">
                  <c:v>7.2561572270757324E-4</c:v>
                </c:pt>
                <c:pt idx="499">
                  <c:v>7.5275756268311511E-4</c:v>
                </c:pt>
                <c:pt idx="500">
                  <c:v>7.6635685861248248E-4</c:v>
                </c:pt>
                <c:pt idx="501">
                  <c:v>7.7997274143370987E-4</c:v>
                </c:pt>
                <c:pt idx="502">
                  <c:v>7.9360521098692516E-4</c:v>
                </c:pt>
                <c:pt idx="503">
                  <c:v>8.2089880586444508E-4</c:v>
                </c:pt>
                <c:pt idx="504">
                  <c:v>8.4818376834050468E-4</c:v>
                </c:pt>
                <c:pt idx="505">
                  <c:v>8.6182315723881686E-4</c:v>
                </c:pt>
                <c:pt idx="506">
                  <c:v>8.7546012927042227E-4</c:v>
                </c:pt>
                <c:pt idx="507">
                  <c:v>8.8909468435538486E-4</c:v>
                </c:pt>
                <c:pt idx="508">
                  <c:v>9.1635807073053854E-4</c:v>
                </c:pt>
                <c:pt idx="509">
                  <c:v>9.4360873610810359E-4</c:v>
                </c:pt>
                <c:pt idx="510">
                  <c:v>9.5723120669966022E-4</c:v>
                </c:pt>
                <c:pt idx="511">
                  <c:v>9.7085126050444615E-4</c:v>
                </c:pt>
                <c:pt idx="512">
                  <c:v>9.8446889736258925E-4</c:v>
                </c:pt>
                <c:pt idx="513">
                  <c:v>1.0116989578623503E-3</c:v>
                </c:pt>
                <c:pt idx="514">
                  <c:v>1.0389152759682219E-3</c:v>
                </c:pt>
                <c:pt idx="515">
                  <c:v>1.0525208284928311E-3</c:v>
                </c:pt>
                <c:pt idx="516">
                  <c:v>1.0661239639908615E-3</c:v>
                </c:pt>
                <c:pt idx="517">
                  <c:v>1.0797246826221851E-3</c:v>
                </c:pt>
                <c:pt idx="518">
                  <c:v>1.1748620399743004E-3</c:v>
                </c:pt>
                <c:pt idx="519">
                  <c:v>1.2698809692590629E-3</c:v>
                </c:pt>
                <c:pt idx="520">
                  <c:v>1.3647814707162809E-3</c:v>
                </c:pt>
                <c:pt idx="521">
                  <c:v>1.4595635438663379E-3</c:v>
                </c:pt>
                <c:pt idx="522">
                  <c:v>1.5542271887891701E-3</c:v>
                </c:pt>
                <c:pt idx="523">
                  <c:v>1.6487724054048414E-3</c:v>
                </c:pt>
                <c:pt idx="524">
                  <c:v>1.7431991934735436E-3</c:v>
                </c:pt>
                <c:pt idx="525">
                  <c:v>1.8375075531551488E-3</c:v>
                </c:pt>
                <c:pt idx="526">
                  <c:v>1.9316974841299128E-3</c:v>
                </c:pt>
                <c:pt idx="527">
                  <c:v>2.0928904091377376E-3</c:v>
                </c:pt>
                <c:pt idx="528">
                  <c:v>2.146556036226599E-3</c:v>
                </c:pt>
                <c:pt idx="529">
                  <c:v>2.2135567045733495E-3</c:v>
                </c:pt>
                <c:pt idx="530">
                  <c:v>2.3072729200812603E-3</c:v>
                </c:pt>
                <c:pt idx="531">
                  <c:v>2.4008707067224577E-3</c:v>
                </c:pt>
                <c:pt idx="532">
                  <c:v>2.4943500640173255E-3</c:v>
                </c:pt>
                <c:pt idx="533">
                  <c:v>2.5877109921257357E-3</c:v>
                </c:pt>
                <c:pt idx="534">
                  <c:v>2.6809534908078803E-3</c:v>
                </c:pt>
                <c:pt idx="535">
                  <c:v>2.7740775601436951E-3</c:v>
                </c:pt>
                <c:pt idx="536">
                  <c:v>2.8670831998134361E-3</c:v>
                </c:pt>
                <c:pt idx="537">
                  <c:v>2.9599704098970392E-3</c:v>
                </c:pt>
                <c:pt idx="538">
                  <c:v>3.0527391903145684E-3</c:v>
                </c:pt>
                <c:pt idx="539">
                  <c:v>3.1453895408262156E-3</c:v>
                </c:pt>
                <c:pt idx="540">
                  <c:v>3.2643941831107526E-3</c:v>
                </c:pt>
                <c:pt idx="541">
                  <c:v>3.3830894883912777E-3</c:v>
                </c:pt>
                <c:pt idx="542">
                  <c:v>3.4753168745194074E-3</c:v>
                </c:pt>
                <c:pt idx="543">
                  <c:v>3.5674258305018469E-3</c:v>
                </c:pt>
                <c:pt idx="544">
                  <c:v>3.6660009397770921E-3</c:v>
                </c:pt>
                <c:pt idx="545">
                  <c:v>3.7644033685424461E-3</c:v>
                </c:pt>
                <c:pt idx="546">
                  <c:v>3.8692356961611551E-3</c:v>
                </c:pt>
                <c:pt idx="547">
                  <c:v>3.9608370928689851E-3</c:v>
                </c:pt>
                <c:pt idx="548">
                  <c:v>4.0392583147053074E-3</c:v>
                </c:pt>
                <c:pt idx="549">
                  <c:v>4.1306397685492158E-3</c:v>
                </c:pt>
                <c:pt idx="550">
                  <c:v>4.2219027916878815E-3</c:v>
                </c:pt>
                <c:pt idx="551">
                  <c:v>4.3130473837216243E-3</c:v>
                </c:pt>
                <c:pt idx="552">
                  <c:v>4.417067614150838E-3</c:v>
                </c:pt>
                <c:pt idx="553">
                  <c:v>4.4949812745542772E-3</c:v>
                </c:pt>
                <c:pt idx="554">
                  <c:v>4.5857705731133791E-3</c:v>
                </c:pt>
                <c:pt idx="555">
                  <c:v>4.6764414404076859E-3</c:v>
                </c:pt>
                <c:pt idx="556">
                  <c:v>4.7669938763572617E-3</c:v>
                </c:pt>
                <c:pt idx="557">
                  <c:v>4.8574278807222981E-3</c:v>
                </c:pt>
                <c:pt idx="558">
                  <c:v>4.9477434534228593E-3</c:v>
                </c:pt>
                <c:pt idx="559">
                  <c:v>5.037940594458945E-3</c:v>
                </c:pt>
                <c:pt idx="560">
                  <c:v>5.1280193037506194E-3</c:v>
                </c:pt>
                <c:pt idx="561">
                  <c:v>5.2179795812179464E-3</c:v>
                </c:pt>
                <c:pt idx="562">
                  <c:v>5.3078214266211177E-3</c:v>
                </c:pt>
                <c:pt idx="563">
                  <c:v>5.3975448401200055E-3</c:v>
                </c:pt>
                <c:pt idx="564">
                  <c:v>5.4871498213948655E-3</c:v>
                </c:pt>
                <c:pt idx="565">
                  <c:v>5.5766363703657618E-3</c:v>
                </c:pt>
                <c:pt idx="566">
                  <c:v>5.6661592231765923E-3</c:v>
                </c:pt>
                <c:pt idx="567">
                  <c:v>5.7562612242367805E-3</c:v>
                </c:pt>
                <c:pt idx="568">
                  <c:v>5.8469905705926806E-3</c:v>
                </c:pt>
                <c:pt idx="569">
                  <c:v>5.9383472627239087E-3</c:v>
                </c:pt>
                <c:pt idx="570">
                  <c:v>6.030331300870273E-3</c:v>
                </c:pt>
                <c:pt idx="571">
                  <c:v>6.1229426857511982E-3</c:v>
                </c:pt>
                <c:pt idx="572">
                  <c:v>6.2161814177663643E-3</c:v>
                </c:pt>
                <c:pt idx="573">
                  <c:v>6.3100474973953879E-3</c:v>
                </c:pt>
                <c:pt idx="574">
                  <c:v>6.4045409252777574E-3</c:v>
                </c:pt>
                <c:pt idx="575">
                  <c:v>6.499661701733217E-3</c:v>
                </c:pt>
                <c:pt idx="576">
                  <c:v>6.595409827241383E-3</c:v>
                </c:pt>
                <c:pt idx="577">
                  <c:v>6.6917853023618079E-3</c:v>
                </c:pt>
                <c:pt idx="578">
                  <c:v>6.8587340855597034E-3</c:v>
                </c:pt>
                <c:pt idx="579">
                  <c:v>6.9426267956451682E-3</c:v>
                </c:pt>
                <c:pt idx="580">
                  <c:v>6.9987638326374224E-3</c:v>
                </c:pt>
                <c:pt idx="581">
                  <c:v>7.0977383329928756E-3</c:v>
                </c:pt>
                <c:pt idx="582">
                  <c:v>7.1973401856784136E-3</c:v>
                </c:pt>
                <c:pt idx="583">
                  <c:v>7.2975693910937167E-3</c:v>
                </c:pt>
                <c:pt idx="584">
                  <c:v>7.3984259498782734E-3</c:v>
                </c:pt>
                <c:pt idx="585">
                  <c:v>7.4999098624317639E-3</c:v>
                </c:pt>
                <c:pt idx="586">
                  <c:v>7.6020211292338047E-3</c:v>
                </c:pt>
                <c:pt idx="587">
                  <c:v>7.7047597510837562E-3</c:v>
                </c:pt>
                <c:pt idx="588">
                  <c:v>7.8081257283013628E-3</c:v>
                </c:pt>
                <c:pt idx="589">
                  <c:v>7.9121190613662407E-3</c:v>
                </c:pt>
                <c:pt idx="590">
                  <c:v>8.0167397510777505E-3</c:v>
                </c:pt>
                <c:pt idx="591">
                  <c:v>8.1219877977556365E-3</c:v>
                </c:pt>
                <c:pt idx="592">
                  <c:v>8.2278632021193232E-3</c:v>
                </c:pt>
                <c:pt idx="593">
                  <c:v>8.3343659644885548E-3</c:v>
                </c:pt>
                <c:pt idx="594">
                  <c:v>8.441496085742628E-3</c:v>
                </c:pt>
                <c:pt idx="595">
                  <c:v>8.5958368973404475E-3</c:v>
                </c:pt>
                <c:pt idx="596">
                  <c:v>8.6731731681410906E-3</c:v>
                </c:pt>
                <c:pt idx="597">
                  <c:v>8.766650607130444E-3</c:v>
                </c:pt>
                <c:pt idx="598">
                  <c:v>8.8762901687200468E-3</c:v>
                </c:pt>
                <c:pt idx="599">
                  <c:v>8.9865570919922533E-3</c:v>
                </c:pt>
                <c:pt idx="600">
                  <c:v>9.105513154592515E-3</c:v>
                </c:pt>
                <c:pt idx="601">
                  <c:v>9.2249559026047478E-3</c:v>
                </c:pt>
                <c:pt idx="602">
                  <c:v>9.3696260664799524E-3</c:v>
                </c:pt>
                <c:pt idx="603">
                  <c:v>9.4747097492886567E-3</c:v>
                </c:pt>
                <c:pt idx="604">
                  <c:v>9.5963558664280413E-3</c:v>
                </c:pt>
                <c:pt idx="605">
                  <c:v>9.7106619719156129E-3</c:v>
                </c:pt>
                <c:pt idx="606">
                  <c:v>9.8255955501436176E-3</c:v>
                </c:pt>
                <c:pt idx="607">
                  <c:v>9.9411566028972942E-3</c:v>
                </c:pt>
                <c:pt idx="608">
                  <c:v>1.0057345132015172E-2</c:v>
                </c:pt>
                <c:pt idx="609">
                  <c:v>1.0174161139282489E-2</c:v>
                </c:pt>
                <c:pt idx="610">
                  <c:v>1.0291604626564421E-2</c:v>
                </c:pt>
                <c:pt idx="611">
                  <c:v>1.0409675595672852E-2</c:v>
                </c:pt>
                <c:pt idx="612">
                  <c:v>1.0528374048472955E-2</c:v>
                </c:pt>
                <c:pt idx="613">
                  <c:v>1.0647699986829906E-2</c:v>
                </c:pt>
                <c:pt idx="614">
                  <c:v>1.0767653412635525E-2</c:v>
                </c:pt>
                <c:pt idx="615">
                  <c:v>1.0888234327728341E-2</c:v>
                </c:pt>
                <c:pt idx="616">
                  <c:v>1.100944273402682E-2</c:v>
                </c:pt>
                <c:pt idx="617">
                  <c:v>1.1131278633449426E-2</c:v>
                </c:pt>
                <c:pt idx="618">
                  <c:v>1.1253221459313067E-2</c:v>
                </c:pt>
                <c:pt idx="619">
                  <c:v>1.1374196488800337E-2</c:v>
                </c:pt>
                <c:pt idx="620">
                  <c:v>1.1494153341251589E-2</c:v>
                </c:pt>
                <c:pt idx="621">
                  <c:v>1.1613092013629256E-2</c:v>
                </c:pt>
                <c:pt idx="622">
                  <c:v>1.1731012502922411E-2</c:v>
                </c:pt>
                <c:pt idx="623">
                  <c:v>1.1847914806066839E-2</c:v>
                </c:pt>
                <c:pt idx="624">
                  <c:v>1.1963798920158197E-2</c:v>
                </c:pt>
                <c:pt idx="625">
                  <c:v>1.207866484218556E-2</c:v>
                </c:pt>
                <c:pt idx="626">
                  <c:v>1.2192512569297875E-2</c:v>
                </c:pt>
                <c:pt idx="627">
                  <c:v>1.2305342098537508E-2</c:v>
                </c:pt>
                <c:pt idx="628">
                  <c:v>1.2417153427000116E-2</c:v>
                </c:pt>
                <c:pt idx="629">
                  <c:v>1.2527946551941227E-2</c:v>
                </c:pt>
                <c:pt idx="630">
                  <c:v>1.2754427417416281E-2</c:v>
                </c:pt>
                <c:pt idx="631">
                  <c:v>1.2807718976342031E-2</c:v>
                </c:pt>
                <c:pt idx="632">
                  <c:v>1.2884357878206742E-2</c:v>
                </c:pt>
                <c:pt idx="633">
                  <c:v>1.2990779592687574E-2</c:v>
                </c:pt>
                <c:pt idx="634">
                  <c:v>1.3096183100129721E-2</c:v>
                </c:pt>
                <c:pt idx="635">
                  <c:v>1.3200568399653889E-2</c:v>
                </c:pt>
                <c:pt idx="636">
                  <c:v>1.3303935490460717E-2</c:v>
                </c:pt>
                <c:pt idx="637">
                  <c:v>1.3406284371511035E-2</c:v>
                </c:pt>
                <c:pt idx="638">
                  <c:v>1.3507615042005483E-2</c:v>
                </c:pt>
                <c:pt idx="639">
                  <c:v>1.3607927501064765E-2</c:v>
                </c:pt>
                <c:pt idx="640">
                  <c:v>1.370722174788952E-2</c:v>
                </c:pt>
                <c:pt idx="641">
                  <c:v>1.3805497781520515E-2</c:v>
                </c:pt>
                <c:pt idx="642">
                  <c:v>1.3902755601398198E-2</c:v>
                </c:pt>
                <c:pt idx="643">
                  <c:v>1.3998995206403464E-2</c:v>
                </c:pt>
                <c:pt idx="644">
                  <c:v>1.4094216595816889E-2</c:v>
                </c:pt>
                <c:pt idx="645">
                  <c:v>1.4215147941714079E-2</c:v>
                </c:pt>
                <c:pt idx="646">
                  <c:v>1.4281604724750707E-2</c:v>
                </c:pt>
                <c:pt idx="647">
                  <c:v>1.437377146267238E-2</c:v>
                </c:pt>
                <c:pt idx="648">
                  <c:v>1.4477858078878469E-2</c:v>
                </c:pt>
                <c:pt idx="649">
                  <c:v>1.4555050281348514E-2</c:v>
                </c:pt>
                <c:pt idx="650">
                  <c:v>1.4644162360744062E-2</c:v>
                </c:pt>
                <c:pt idx="651">
                  <c:v>1.4744757935734043E-2</c:v>
                </c:pt>
                <c:pt idx="652">
                  <c:v>1.4831688111831554E-2</c:v>
                </c:pt>
                <c:pt idx="653">
                  <c:v>1.4905389269328495E-2</c:v>
                </c:pt>
                <c:pt idx="654">
                  <c:v>1.4990428459977778E-2</c:v>
                </c:pt>
                <c:pt idx="655">
                  <c:v>1.50863693014891E-2</c:v>
                </c:pt>
                <c:pt idx="656">
                  <c:v>1.5157452168601537E-2</c:v>
                </c:pt>
                <c:pt idx="657">
                  <c:v>1.5239436685137164E-2</c:v>
                </c:pt>
                <c:pt idx="658">
                  <c:v>1.532040297552939E-2</c:v>
                </c:pt>
                <c:pt idx="659">
                  <c:v>1.5400351039218663E-2</c:v>
                </c:pt>
                <c:pt idx="660">
                  <c:v>1.5479280875405621E-2</c:v>
                </c:pt>
                <c:pt idx="661">
                  <c:v>1.5557192483450777E-2</c:v>
                </c:pt>
                <c:pt idx="662">
                  <c:v>1.5634085862714642E-2</c:v>
                </c:pt>
                <c:pt idx="663">
                  <c:v>1.5709961012557727E-2</c:v>
                </c:pt>
                <c:pt idx="664">
                  <c:v>1.5784817932180673E-2</c:v>
                </c:pt>
                <c:pt idx="665">
                  <c:v>1.5858656621183798E-2</c:v>
                </c:pt>
                <c:pt idx="666">
                  <c:v>1.5931477078767742E-2</c:v>
                </c:pt>
                <c:pt idx="667">
                  <c:v>1.6003279304372953E-2</c:v>
                </c:pt>
                <c:pt idx="668">
                  <c:v>1.6074063297439878E-2</c:v>
                </c:pt>
                <c:pt idx="669">
                  <c:v>1.6143829057249093E-2</c:v>
                </c:pt>
                <c:pt idx="670">
                  <c:v>1.6212943233631094E-2</c:v>
                </c:pt>
                <c:pt idx="671">
                  <c:v>1.6281885069711066E-2</c:v>
                </c:pt>
                <c:pt idx="672">
                  <c:v>1.6350657452539608E-2</c:v>
                </c:pt>
                <c:pt idx="673">
                  <c:v>1.6419260381956846E-2</c:v>
                </c:pt>
                <c:pt idx="674">
                  <c:v>1.6487693857962782E-2</c:v>
                </c:pt>
                <c:pt idx="675">
                  <c:v>1.6555957880317607E-2</c:v>
                </c:pt>
                <c:pt idx="676">
                  <c:v>1.662405244902132E-2</c:v>
                </c:pt>
                <c:pt idx="677">
                  <c:v>1.6691977563834115E-2</c:v>
                </c:pt>
                <c:pt idx="678">
                  <c:v>1.6759733224915863E-2</c:v>
                </c:pt>
                <c:pt idx="679">
                  <c:v>1.6827319432026755E-2</c:v>
                </c:pt>
                <c:pt idx="680">
                  <c:v>1.689473618500692E-2</c:v>
                </c:pt>
                <c:pt idx="681">
                  <c:v>1.6961983483856358E-2</c:v>
                </c:pt>
                <c:pt idx="682">
                  <c:v>1.7068930357277523E-2</c:v>
                </c:pt>
                <c:pt idx="683">
                  <c:v>1.71245928693331E-2</c:v>
                </c:pt>
                <c:pt idx="684">
                  <c:v>1.7172228955129043E-2</c:v>
                </c:pt>
                <c:pt idx="685">
                  <c:v>1.7229278135788562E-2</c:v>
                </c:pt>
                <c:pt idx="686">
                  <c:v>1.7295678162385641E-2</c:v>
                </c:pt>
                <c:pt idx="687">
                  <c:v>1.7361908734292442E-2</c:v>
                </c:pt>
                <c:pt idx="688">
                  <c:v>1.7427969851429026E-2</c:v>
                </c:pt>
                <c:pt idx="689">
                  <c:v>1.7493861513635522E-2</c:v>
                </c:pt>
                <c:pt idx="690">
                  <c:v>1.7559583720831995E-2</c:v>
                </c:pt>
                <c:pt idx="691">
                  <c:v>1.7625136472938507E-2</c:v>
                </c:pt>
                <c:pt idx="692">
                  <c:v>1.7690519769795188E-2</c:v>
                </c:pt>
                <c:pt idx="693">
                  <c:v>1.7755733611402036E-2</c:v>
                </c:pt>
                <c:pt idx="694">
                  <c:v>1.7820777997679116E-2</c:v>
                </c:pt>
                <c:pt idx="695">
                  <c:v>1.7885652928386619E-2</c:v>
                </c:pt>
                <c:pt idx="696">
                  <c:v>1.7968814557729473E-2</c:v>
                </c:pt>
                <c:pt idx="697">
                  <c:v>1.8014894423172834E-2</c:v>
                </c:pt>
                <c:pt idx="698">
                  <c:v>1.8079260987091672E-2</c:v>
                </c:pt>
                <c:pt idx="699">
                  <c:v>1.8143458095041254E-2</c:v>
                </c:pt>
                <c:pt idx="700">
                  <c:v>1.8207485747101515E-2</c:v>
                </c:pt>
                <c:pt idx="701">
                  <c:v>1.827134394319252E-2</c:v>
                </c:pt>
                <c:pt idx="702">
                  <c:v>1.8344117241460012E-2</c:v>
                </c:pt>
                <c:pt idx="703">
                  <c:v>1.8407612317137279E-2</c:v>
                </c:pt>
                <c:pt idx="704">
                  <c:v>1.8461901794371016E-2</c:v>
                </c:pt>
                <c:pt idx="705">
                  <c:v>1.8525082165545825E-2</c:v>
                </c:pt>
                <c:pt idx="706">
                  <c:v>1.8588093080191825E-2</c:v>
                </c:pt>
                <c:pt idx="707">
                  <c:v>1.8650934538309016E-2</c:v>
                </c:pt>
                <c:pt idx="708">
                  <c:v>1.8722545849669814E-2</c:v>
                </c:pt>
                <c:pt idx="709">
                  <c:v>1.8776109084557291E-2</c:v>
                </c:pt>
                <c:pt idx="710">
                  <c:v>1.8838442172448566E-2</c:v>
                </c:pt>
                <c:pt idx="711">
                  <c:v>1.8900605803491288E-2</c:v>
                </c:pt>
                <c:pt idx="712">
                  <c:v>1.8962599977525585E-2</c:v>
                </c:pt>
                <c:pt idx="713">
                  <c:v>1.902442469447152E-2</c:v>
                </c:pt>
                <c:pt idx="714">
                  <c:v>1.9086079954249158E-2</c:v>
                </c:pt>
                <c:pt idx="715">
                  <c:v>1.9147565756778562E-2</c:v>
                </c:pt>
                <c:pt idx="716">
                  <c:v>1.9208882101979796E-2</c:v>
                </c:pt>
                <c:pt idx="717">
                  <c:v>1.9270028989772925E-2</c:v>
                </c:pt>
                <c:pt idx="718">
                  <c:v>1.9331006420078012E-2</c:v>
                </c:pt>
                <c:pt idx="719">
                  <c:v>1.9391814392735185E-2</c:v>
                </c:pt>
                <c:pt idx="720">
                  <c:v>1.9452452907744444E-2</c:v>
                </c:pt>
                <c:pt idx="721">
                  <c:v>1.9512921964865981E-2</c:v>
                </c:pt>
                <c:pt idx="722">
                  <c:v>1.9573106871444423E-2</c:v>
                </c:pt>
                <c:pt idx="723">
                  <c:v>1.9632760596364207E-2</c:v>
                </c:pt>
                <c:pt idx="724">
                  <c:v>1.96918743170027E-2</c:v>
                </c:pt>
                <c:pt idx="725">
                  <c:v>1.9750448032960222E-2</c:v>
                </c:pt>
                <c:pt idx="726">
                  <c:v>1.98084817440769E-2</c:v>
                </c:pt>
                <c:pt idx="727">
                  <c:v>1.9865975450032991E-2</c:v>
                </c:pt>
                <c:pt idx="728">
                  <c:v>1.9922929150588686E-2</c:v>
                </c:pt>
                <c:pt idx="729">
                  <c:v>1.9979342845504178E-2</c:v>
                </c:pt>
                <c:pt idx="730">
                  <c:v>2.0035216534459721E-2</c:v>
                </c:pt>
                <c:pt idx="731">
                  <c:v>2.0090550217295444E-2</c:v>
                </c:pt>
                <c:pt idx="732">
                  <c:v>2.0145343893691603E-2</c:v>
                </c:pt>
                <c:pt idx="733">
                  <c:v>2.0199597563328453E-2</c:v>
                </c:pt>
                <c:pt idx="734">
                  <c:v>2.0260940524359228E-2</c:v>
                </c:pt>
                <c:pt idx="735">
                  <c:v>2.0314037036106569E-2</c:v>
                </c:pt>
                <c:pt idx="736">
                  <c:v>2.0366593540455113E-2</c:v>
                </c:pt>
                <c:pt idx="737">
                  <c:v>2.041121217076558E-2</c:v>
                </c:pt>
                <c:pt idx="738">
                  <c:v>2.0462765803568317E-2</c:v>
                </c:pt>
                <c:pt idx="739">
                  <c:v>2.0513779428332768E-2</c:v>
                </c:pt>
                <c:pt idx="740">
                  <c:v>2.0564253044659253E-2</c:v>
                </c:pt>
                <c:pt idx="741">
                  <c:v>2.0614186652547772E-2</c:v>
                </c:pt>
                <c:pt idx="742">
                  <c:v>2.0663580251518709E-2</c:v>
                </c:pt>
                <c:pt idx="743">
                  <c:v>2.0712433841652E-2</c:v>
                </c:pt>
                <c:pt idx="744">
                  <c:v>2.0760747422468029E-2</c:v>
                </c:pt>
                <c:pt idx="745">
                  <c:v>2.0808520993886859E-2</c:v>
                </c:pt>
                <c:pt idx="746">
                  <c:v>2.0855754555668682E-2</c:v>
                </c:pt>
                <c:pt idx="747">
                  <c:v>2.090244810757369E-2</c:v>
                </c:pt>
                <c:pt idx="748">
                  <c:v>2.0948601649442011E-2</c:v>
                </c:pt>
                <c:pt idx="749">
                  <c:v>2.0994215180953901E-2</c:v>
                </c:pt>
                <c:pt idx="750">
                  <c:v>2.1052067665277008E-2</c:v>
                </c:pt>
                <c:pt idx="751">
                  <c:v>2.1083822212508707E-2</c:v>
                </c:pt>
                <c:pt idx="752">
                  <c:v>2.1127815711992071E-2</c:v>
                </c:pt>
                <c:pt idx="753">
                  <c:v>2.1171269200399578E-2</c:v>
                </c:pt>
                <c:pt idx="754">
                  <c:v>2.1214182677571358E-2</c:v>
                </c:pt>
                <c:pt idx="755">
                  <c:v>2.1256556143187666E-2</c:v>
                </c:pt>
                <c:pt idx="756">
                  <c:v>2.1304321722359632E-2</c:v>
                </c:pt>
                <c:pt idx="757">
                  <c:v>2.1345538019934551E-2</c:v>
                </c:pt>
                <c:pt idx="758">
                  <c:v>2.1380436469504716E-2</c:v>
                </c:pt>
                <c:pt idx="759">
                  <c:v>2.1420649887460286E-2</c:v>
                </c:pt>
                <c:pt idx="760">
                  <c:v>2.1465946839569483E-2</c:v>
                </c:pt>
                <c:pt idx="761">
                  <c:v>2.1499456685827312E-2</c:v>
                </c:pt>
                <c:pt idx="762">
                  <c:v>2.1538050065998959E-2</c:v>
                </c:pt>
                <c:pt idx="763">
                  <c:v>2.1576103433256222E-2</c:v>
                </c:pt>
                <c:pt idx="764">
                  <c:v>2.1613616787359291E-2</c:v>
                </c:pt>
                <c:pt idx="765">
                  <c:v>2.1650590128228231E-2</c:v>
                </c:pt>
                <c:pt idx="766">
                  <c:v>2.1687023455703169E-2</c:v>
                </c:pt>
                <c:pt idx="767">
                  <c:v>2.1722916769464362E-2</c:v>
                </c:pt>
                <c:pt idx="768">
                  <c:v>2.1758270069511809E-2</c:v>
                </c:pt>
                <c:pt idx="769">
                  <c:v>2.1793083355605702E-2</c:v>
                </c:pt>
                <c:pt idx="770">
                  <c:v>2.1827356627746042E-2</c:v>
                </c:pt>
                <c:pt idx="771">
                  <c:v>2.1861089885533147E-2</c:v>
                </c:pt>
                <c:pt idx="772">
                  <c:v>2.1894283129046954E-2</c:v>
                </c:pt>
                <c:pt idx="773">
                  <c:v>2.1926936357887783E-2</c:v>
                </c:pt>
                <c:pt idx="774">
                  <c:v>2.1959027626170524E-2</c:v>
                </c:pt>
                <c:pt idx="775">
                  <c:v>2.1990479942601837E-2</c:v>
                </c:pt>
                <c:pt idx="776">
                  <c:v>2.2021286471449741E-2</c:v>
                </c:pt>
                <c:pt idx="777">
                  <c:v>2.2051447212554365E-2</c:v>
                </c:pt>
                <c:pt idx="778">
                  <c:v>2.2080962165835771E-2</c:v>
                </c:pt>
                <c:pt idx="779">
                  <c:v>2.2109831330894281E-2</c:v>
                </c:pt>
                <c:pt idx="780">
                  <c:v>2.2138054707809829E-2</c:v>
                </c:pt>
                <c:pt idx="781">
                  <c:v>2.2165632296342608E-2</c:v>
                </c:pt>
                <c:pt idx="782">
                  <c:v>2.2192564096412681E-2</c:v>
                </c:pt>
                <c:pt idx="783">
                  <c:v>2.2218850107780241E-2</c:v>
                </c:pt>
                <c:pt idx="784">
                  <c:v>2.2244490330285416E-2</c:v>
                </c:pt>
                <c:pt idx="785">
                  <c:v>2.2269484763848268E-2</c:v>
                </c:pt>
                <c:pt idx="786">
                  <c:v>2.2297259068624342E-2</c:v>
                </c:pt>
                <c:pt idx="787">
                  <c:v>2.2317536263667392E-2</c:v>
                </c:pt>
                <c:pt idx="788">
                  <c:v>2.2343834478633084E-2</c:v>
                </c:pt>
                <c:pt idx="789">
                  <c:v>2.2363004606038572E-2</c:v>
                </c:pt>
                <c:pt idx="790">
                  <c:v>2.2384770092891415E-2</c:v>
                </c:pt>
                <c:pt idx="791">
                  <c:v>2.2405889790162448E-2</c:v>
                </c:pt>
                <c:pt idx="792">
                  <c:v>2.242636369745199E-2</c:v>
                </c:pt>
                <c:pt idx="793">
                  <c:v>2.2446191814919914E-2</c:v>
                </c:pt>
                <c:pt idx="794">
                  <c:v>2.2465374142326411E-2</c:v>
                </c:pt>
                <c:pt idx="795">
                  <c:v>2.2483910679511609E-2</c:v>
                </c:pt>
                <c:pt idx="796">
                  <c:v>2.2501801426555446E-2</c:v>
                </c:pt>
                <c:pt idx="797">
                  <c:v>2.2519046383218111E-2</c:v>
                </c:pt>
                <c:pt idx="798">
                  <c:v>2.2535645549499606E-2</c:v>
                </c:pt>
                <c:pt idx="799">
                  <c:v>2.2551598925240057E-2</c:v>
                </c:pt>
                <c:pt idx="800">
                  <c:v>2.2566906510439466E-2</c:v>
                </c:pt>
                <c:pt idx="801">
                  <c:v>2.25856387743395E-2</c:v>
                </c:pt>
                <c:pt idx="802">
                  <c:v>2.2595584308495731E-2</c:v>
                </c:pt>
                <c:pt idx="803">
                  <c:v>2.2608954521352587E-2</c:v>
                </c:pt>
                <c:pt idx="804">
                  <c:v>2.2623444000249293E-2</c:v>
                </c:pt>
                <c:pt idx="805">
                  <c:v>2.2633757574324065E-2</c:v>
                </c:pt>
                <c:pt idx="806">
                  <c:v>2.2645190414198879E-2</c:v>
                </c:pt>
                <c:pt idx="807">
                  <c:v>2.2657465752304873E-2</c:v>
                </c:pt>
                <c:pt idx="808">
                  <c:v>2.2667514754095563E-2</c:v>
                </c:pt>
                <c:pt idx="809">
                  <c:v>2.2675614187059878E-2</c:v>
                </c:pt>
                <c:pt idx="810">
                  <c:v>2.2684463862212567E-2</c:v>
                </c:pt>
                <c:pt idx="811">
                  <c:v>2.2692667746104789E-2</c:v>
                </c:pt>
                <c:pt idx="812">
                  <c:v>2.2701252848413844E-2</c:v>
                </c:pt>
                <c:pt idx="813">
                  <c:v>2.2707138139628213E-2</c:v>
                </c:pt>
                <c:pt idx="814">
                  <c:v>2.2713404649259417E-2</c:v>
                </c:pt>
                <c:pt idx="815">
                  <c:v>2.2719025367390344E-2</c:v>
                </c:pt>
                <c:pt idx="816">
                  <c:v>2.2724000294100932E-2</c:v>
                </c:pt>
                <c:pt idx="817">
                  <c:v>2.2728329429231309E-2</c:v>
                </c:pt>
                <c:pt idx="818">
                  <c:v>2.2732012772781474E-2</c:v>
                </c:pt>
                <c:pt idx="819">
                  <c:v>2.2735050324831363E-2</c:v>
                </c:pt>
                <c:pt idx="820">
                  <c:v>2.2737442085221105E-2</c:v>
                </c:pt>
                <c:pt idx="821">
                  <c:v>2.2739188053950699E-2</c:v>
                </c:pt>
                <c:pt idx="822">
                  <c:v>2.2740288231180017E-2</c:v>
                </c:pt>
                <c:pt idx="823">
                  <c:v>2.2740742616829124E-2</c:v>
                </c:pt>
                <c:pt idx="824">
                  <c:v>2.2740551210738147E-2</c:v>
                </c:pt>
                <c:pt idx="825">
                  <c:v>2.2739714013066958E-2</c:v>
                </c:pt>
                <c:pt idx="826">
                  <c:v>2.2738402015516357E-2</c:v>
                </c:pt>
                <c:pt idx="827">
                  <c:v>2.2737631925204838E-2</c:v>
                </c:pt>
                <c:pt idx="828">
                  <c:v>2.2737574733993071E-2</c:v>
                </c:pt>
                <c:pt idx="829">
                  <c:v>2.273823044164125E-2</c:v>
                </c:pt>
                <c:pt idx="830">
                  <c:v>2.2739599048389181E-2</c:v>
                </c:pt>
                <c:pt idx="831">
                  <c:v>2.2741680554076993E-2</c:v>
                </c:pt>
                <c:pt idx="832">
                  <c:v>2.2744474958864558E-2</c:v>
                </c:pt>
                <c:pt idx="833">
                  <c:v>2.274798226267194E-2</c:v>
                </c:pt>
                <c:pt idx="834">
                  <c:v>2.2752202465499138E-2</c:v>
                </c:pt>
                <c:pt idx="835">
                  <c:v>2.275713556742609E-2</c:v>
                </c:pt>
                <c:pt idx="836">
                  <c:v>2.2762781568532731E-2</c:v>
                </c:pt>
                <c:pt idx="837">
                  <c:v>2.2769140468739124E-2</c:v>
                </c:pt>
                <c:pt idx="838">
                  <c:v>2.2778363722899542E-2</c:v>
                </c:pt>
                <c:pt idx="839">
                  <c:v>2.2786352106933805E-2</c:v>
                </c:pt>
                <c:pt idx="840">
                  <c:v>2.2793766702990936E-2</c:v>
                </c:pt>
                <c:pt idx="841">
                  <c:v>2.2803079042930108E-2</c:v>
                </c:pt>
                <c:pt idx="842">
                  <c:v>2.2813104282288776E-2</c:v>
                </c:pt>
                <c:pt idx="843">
                  <c:v>2.2823842421146878E-2</c:v>
                </c:pt>
                <c:pt idx="844">
                  <c:v>2.2835293459344541E-2</c:v>
                </c:pt>
                <c:pt idx="845">
                  <c:v>2.2847457397281445E-2</c:v>
                </c:pt>
                <c:pt idx="846">
                  <c:v>2.2860334234797719E-2</c:v>
                </c:pt>
                <c:pt idx="847">
                  <c:v>2.2873923972053234E-2</c:v>
                </c:pt>
                <c:pt idx="848">
                  <c:v>2.2888226609127926E-2</c:v>
                </c:pt>
                <c:pt idx="849">
                  <c:v>2.2903242146101732E-2</c:v>
                </c:pt>
                <c:pt idx="850">
                  <c:v>2.2918970583054588E-2</c:v>
                </c:pt>
                <c:pt idx="851">
                  <c:v>2.2935411920146365E-2</c:v>
                </c:pt>
                <c:pt idx="852">
                  <c:v>2.2957598308792626E-2</c:v>
                </c:pt>
                <c:pt idx="853">
                  <c:v>2.2970433294746684E-2</c:v>
                </c:pt>
                <c:pt idx="854">
                  <c:v>2.298901333257497E-2</c:v>
                </c:pt>
                <c:pt idx="855">
                  <c:v>2.3008306270941858E-2</c:v>
                </c:pt>
                <c:pt idx="856">
                  <c:v>2.3030506821779539E-2</c:v>
                </c:pt>
                <c:pt idx="857">
                  <c:v>2.3054303296330403E-2</c:v>
                </c:pt>
                <c:pt idx="858">
                  <c:v>2.3076716756857962E-2</c:v>
                </c:pt>
                <c:pt idx="859">
                  <c:v>2.3107068981591539E-2</c:v>
                </c:pt>
                <c:pt idx="860">
                  <c:v>2.3122126113053199E-2</c:v>
                </c:pt>
                <c:pt idx="861">
                  <c:v>2.3145900142997888E-2</c:v>
                </c:pt>
                <c:pt idx="862">
                  <c:v>2.3170387074280541E-2</c:v>
                </c:pt>
                <c:pt idx="863">
                  <c:v>2.3203331688017581E-2</c:v>
                </c:pt>
                <c:pt idx="864">
                  <c:v>2.3230537959646469E-2</c:v>
                </c:pt>
                <c:pt idx="865">
                  <c:v>2.3257370746891937E-2</c:v>
                </c:pt>
                <c:pt idx="866">
                  <c:v>2.328491653241116E-2</c:v>
                </c:pt>
                <c:pt idx="867">
                  <c:v>2.3313175316710399E-2</c:v>
                </c:pt>
                <c:pt idx="868">
                  <c:v>2.3342147100295918E-2</c:v>
                </c:pt>
                <c:pt idx="869">
                  <c:v>2.3371831883700622E-2</c:v>
                </c:pt>
                <c:pt idx="870">
                  <c:v>2.3402229667430774E-2</c:v>
                </c:pt>
                <c:pt idx="871">
                  <c:v>2.343334045201928E-2</c:v>
                </c:pt>
                <c:pt idx="872">
                  <c:v>2.3465164238052338E-2</c:v>
                </c:pt>
                <c:pt idx="873">
                  <c:v>2.3497701026062856E-2</c:v>
                </c:pt>
                <c:pt idx="874">
                  <c:v>2.3530950816663676E-2</c:v>
                </c:pt>
                <c:pt idx="875">
                  <c:v>2.3564913610440996E-2</c:v>
                </c:pt>
                <c:pt idx="876">
                  <c:v>2.3599589407981014E-2</c:v>
                </c:pt>
                <c:pt idx="877">
                  <c:v>2.3634978209923219E-2</c:v>
                </c:pt>
                <c:pt idx="878">
                  <c:v>2.3670694948290105E-2</c:v>
                </c:pt>
                <c:pt idx="879">
                  <c:v>2.3705944642840038E-2</c:v>
                </c:pt>
                <c:pt idx="880">
                  <c:v>2.3740690028422051E-2</c:v>
                </c:pt>
                <c:pt idx="881">
                  <c:v>2.3774931104663111E-2</c:v>
                </c:pt>
                <c:pt idx="882">
                  <c:v>2.3808667871056954E-2</c:v>
                </c:pt>
                <c:pt idx="883">
                  <c:v>2.3841900327203902E-2</c:v>
                </c:pt>
                <c:pt idx="884">
                  <c:v>2.3874628472704273E-2</c:v>
                </c:pt>
                <c:pt idx="885">
                  <c:v>2.3906852307105098E-2</c:v>
                </c:pt>
                <c:pt idx="886">
                  <c:v>2.3938571830059985E-2</c:v>
                </c:pt>
                <c:pt idx="887">
                  <c:v>2.3969787041089319E-2</c:v>
                </c:pt>
                <c:pt idx="888">
                  <c:v>2.4000497939873355E-2</c:v>
                </c:pt>
                <c:pt idx="889">
                  <c:v>2.4030704525985769E-2</c:v>
                </c:pt>
                <c:pt idx="890">
                  <c:v>2.4092474114543183E-2</c:v>
                </c:pt>
                <c:pt idx="891">
                  <c:v>2.4104452317912362E-2</c:v>
                </c:pt>
                <c:pt idx="892">
                  <c:v>2.4124790672592766E-2</c:v>
                </c:pt>
                <c:pt idx="893">
                  <c:v>2.4152832153889747E-2</c:v>
                </c:pt>
                <c:pt idx="894">
                  <c:v>2.4180369383985933E-2</c:v>
                </c:pt>
                <c:pt idx="895">
                  <c:v>2.4207402362641517E-2</c:v>
                </c:pt>
                <c:pt idx="896">
                  <c:v>2.4233931089936434E-2</c:v>
                </c:pt>
                <c:pt idx="897">
                  <c:v>2.4259955565550939E-2</c:v>
                </c:pt>
                <c:pt idx="898">
                  <c:v>2.428547578956497E-2</c:v>
                </c:pt>
                <c:pt idx="899">
                  <c:v>2.4310491761818653E-2</c:v>
                </c:pt>
                <c:pt idx="900">
                  <c:v>2.4335003482072182E-2</c:v>
                </c:pt>
                <c:pt idx="901">
                  <c:v>2.4359010950405491E-2</c:v>
                </c:pt>
                <c:pt idx="902">
                  <c:v>2.4382514166658709E-2</c:v>
                </c:pt>
                <c:pt idx="903">
                  <c:v>2.4405513130671963E-2</c:v>
                </c:pt>
                <c:pt idx="904">
                  <c:v>2.4428007842445254E-2</c:v>
                </c:pt>
                <c:pt idx="905">
                  <c:v>2.4449998301818709E-2</c:v>
                </c:pt>
                <c:pt idx="906">
                  <c:v>2.4477530807054393E-2</c:v>
                </c:pt>
                <c:pt idx="907">
                  <c:v>2.4492466462966433E-2</c:v>
                </c:pt>
                <c:pt idx="908">
                  <c:v>2.4515828387041694E-2</c:v>
                </c:pt>
                <c:pt idx="909">
                  <c:v>2.4532917613555583E-2</c:v>
                </c:pt>
                <c:pt idx="910">
                  <c:v>2.4552386809650883E-2</c:v>
                </c:pt>
                <c:pt idx="911">
                  <c:v>2.4571351752786796E-2</c:v>
                </c:pt>
                <c:pt idx="912">
                  <c:v>2.4592408520875964E-2</c:v>
                </c:pt>
                <c:pt idx="913">
                  <c:v>2.4610292921876109E-2</c:v>
                </c:pt>
                <c:pt idx="914">
                  <c:v>2.4625221064038527E-2</c:v>
                </c:pt>
                <c:pt idx="915">
                  <c:v>2.4644548964278812E-2</c:v>
                </c:pt>
                <c:pt idx="916">
                  <c:v>2.4658612672316949E-2</c:v>
                </c:pt>
                <c:pt idx="917">
                  <c:v>2.4674552096417557E-2</c:v>
                </c:pt>
                <c:pt idx="918">
                  <c:v>2.4689987267079161E-2</c:v>
                </c:pt>
                <c:pt idx="919">
                  <c:v>2.4704918184301761E-2</c:v>
                </c:pt>
                <c:pt idx="920">
                  <c:v>2.471934484800542E-2</c:v>
                </c:pt>
                <c:pt idx="921">
                  <c:v>2.4733267258030267E-2</c:v>
                </c:pt>
                <c:pt idx="922">
                  <c:v>2.4746685414376302E-2</c:v>
                </c:pt>
                <c:pt idx="923">
                  <c:v>2.4759599317043524E-2</c:v>
                </c:pt>
                <c:pt idx="924">
                  <c:v>2.4772008965951997E-2</c:v>
                </c:pt>
                <c:pt idx="925">
                  <c:v>2.478391436094185E-2</c:v>
                </c:pt>
                <c:pt idx="926">
                  <c:v>2.4795315502093018E-2</c:v>
                </c:pt>
                <c:pt idx="927">
                  <c:v>2.4806212389405502E-2</c:v>
                </c:pt>
                <c:pt idx="928">
                  <c:v>2.4816605022639493E-2</c:v>
                </c:pt>
                <c:pt idx="929">
                  <c:v>2.4826495380452229E-2</c:v>
                </c:pt>
                <c:pt idx="930">
                  <c:v>2.4836211903638272E-2</c:v>
                </c:pt>
                <c:pt idx="931">
                  <c:v>2.4846005869356702E-2</c:v>
                </c:pt>
                <c:pt idx="932">
                  <c:v>2.4855877277607519E-2</c:v>
                </c:pt>
                <c:pt idx="933">
                  <c:v>2.4865826128310786E-2</c:v>
                </c:pt>
                <c:pt idx="934">
                  <c:v>2.487585242154644E-2</c:v>
                </c:pt>
                <c:pt idx="935">
                  <c:v>2.4885956157314482E-2</c:v>
                </c:pt>
                <c:pt idx="936">
                  <c:v>2.4896137335694846E-2</c:v>
                </c:pt>
                <c:pt idx="937">
                  <c:v>2.4906395956447724E-2</c:v>
                </c:pt>
                <c:pt idx="938">
                  <c:v>2.4916732019812926E-2</c:v>
                </c:pt>
                <c:pt idx="939">
                  <c:v>2.4927145525790451E-2</c:v>
                </c:pt>
                <c:pt idx="940">
                  <c:v>2.4937636474300362E-2</c:v>
                </c:pt>
                <c:pt idx="941">
                  <c:v>2.4948204865262724E-2</c:v>
                </c:pt>
                <c:pt idx="942">
                  <c:v>2.4971209081594559E-2</c:v>
                </c:pt>
                <c:pt idx="943">
                  <c:v>2.4974193371889442E-2</c:v>
                </c:pt>
                <c:pt idx="944">
                  <c:v>2.4981923975566644E-2</c:v>
                </c:pt>
                <c:pt idx="945">
                  <c:v>2.499281320020863E-2</c:v>
                </c:pt>
                <c:pt idx="946">
                  <c:v>2.5003779867383003E-2</c:v>
                </c:pt>
                <c:pt idx="947">
                  <c:v>2.5014823977169698E-2</c:v>
                </c:pt>
                <c:pt idx="948">
                  <c:v>2.5025945529568716E-2</c:v>
                </c:pt>
                <c:pt idx="949">
                  <c:v>2.5037144524659993E-2</c:v>
                </c:pt>
                <c:pt idx="950">
                  <c:v>2.5048420962283657E-2</c:v>
                </c:pt>
                <c:pt idx="951">
                  <c:v>2.505977484259958E-2</c:v>
                </c:pt>
                <c:pt idx="952">
                  <c:v>2.5071206165607762E-2</c:v>
                </c:pt>
                <c:pt idx="953">
                  <c:v>2.5082714931148331E-2</c:v>
                </c:pt>
                <c:pt idx="954">
                  <c:v>2.5094301139381159E-2</c:v>
                </c:pt>
                <c:pt idx="955">
                  <c:v>2.5105964790306246E-2</c:v>
                </c:pt>
                <c:pt idx="956">
                  <c:v>2.5121074706184743E-2</c:v>
                </c:pt>
                <c:pt idx="957">
                  <c:v>2.512952442015326E-2</c:v>
                </c:pt>
                <c:pt idx="958">
                  <c:v>2.5141420399075187E-2</c:v>
                </c:pt>
                <c:pt idx="959">
                  <c:v>2.515339382076931E-2</c:v>
                </c:pt>
                <c:pt idx="960">
                  <c:v>2.5167172558999695E-2</c:v>
                </c:pt>
                <c:pt idx="961">
                  <c:v>2.5177572992154396E-2</c:v>
                </c:pt>
                <c:pt idx="962">
                  <c:v>2.5191528742309899E-2</c:v>
                </c:pt>
                <c:pt idx="963">
                  <c:v>2.5203822998083325E-2</c:v>
                </c:pt>
                <c:pt idx="964">
                  <c:v>2.5214422569703743E-2</c:v>
                </c:pt>
                <c:pt idx="965">
                  <c:v>2.5226860647631355E-2</c:v>
                </c:pt>
                <c:pt idx="966">
                  <c:v>2.5239376168331162E-2</c:v>
                </c:pt>
                <c:pt idx="967">
                  <c:v>2.5253774448579236E-2</c:v>
                </c:pt>
                <c:pt idx="968">
                  <c:v>2.5264639538127298E-2</c:v>
                </c:pt>
                <c:pt idx="969">
                  <c:v>2.527738738714369E-2</c:v>
                </c:pt>
                <c:pt idx="970">
                  <c:v>2.5290212679012214E-2</c:v>
                </c:pt>
                <c:pt idx="971">
                  <c:v>2.5303115413572996E-2</c:v>
                </c:pt>
                <c:pt idx="972">
                  <c:v>2.531609559098591E-2</c:v>
                </c:pt>
                <c:pt idx="973">
                  <c:v>2.5329153211171018E-2</c:v>
                </c:pt>
                <c:pt idx="974">
                  <c:v>2.5342288274208258E-2</c:v>
                </c:pt>
                <c:pt idx="975">
                  <c:v>2.5355500780097628E-2</c:v>
                </c:pt>
                <c:pt idx="976">
                  <c:v>2.5368790728759194E-2</c:v>
                </c:pt>
                <c:pt idx="977">
                  <c:v>2.5382158120272891E-2</c:v>
                </c:pt>
                <c:pt idx="978">
                  <c:v>2.5395602954638719E-2</c:v>
                </c:pt>
                <c:pt idx="979">
                  <c:v>2.5409125231936613E-2</c:v>
                </c:pt>
                <c:pt idx="980">
                  <c:v>2.5422724952006703E-2</c:v>
                </c:pt>
                <c:pt idx="981">
                  <c:v>2.543640211500886E-2</c:v>
                </c:pt>
                <c:pt idx="982">
                  <c:v>2.5450156720863149E-2</c:v>
                </c:pt>
                <c:pt idx="983">
                  <c:v>2.5463988769569568E-2</c:v>
                </c:pt>
                <c:pt idx="984">
                  <c:v>2.5477898261208054E-2</c:v>
                </c:pt>
                <c:pt idx="985">
                  <c:v>2.5491885195858544E-2</c:v>
                </c:pt>
                <c:pt idx="986">
                  <c:v>2.5505949573361164E-2</c:v>
                </c:pt>
                <c:pt idx="987">
                  <c:v>2.5520091393715916E-2</c:v>
                </c:pt>
                <c:pt idx="988">
                  <c:v>2.5534310657082671E-2</c:v>
                </c:pt>
                <c:pt idx="989">
                  <c:v>2.5548607363461429E-2</c:v>
                </c:pt>
                <c:pt idx="990">
                  <c:v>2.5562981512692318E-2</c:v>
                </c:pt>
                <c:pt idx="991">
                  <c:v>2.557743310493521E-2</c:v>
                </c:pt>
                <c:pt idx="992">
                  <c:v>2.5591962140110169E-2</c:v>
                </c:pt>
                <c:pt idx="993">
                  <c:v>2.5606568618297132E-2</c:v>
                </c:pt>
                <c:pt idx="994">
                  <c:v>2.5633900396018205E-2</c:v>
                </c:pt>
                <c:pt idx="995">
                  <c:v>2.5646311086120477E-2</c:v>
                </c:pt>
                <c:pt idx="996">
                  <c:v>2.5652978862424902E-2</c:v>
                </c:pt>
                <c:pt idx="997">
                  <c:v>2.5667906175970145E-2</c:v>
                </c:pt>
                <c:pt idx="998">
                  <c:v>2.5682910932527392E-2</c:v>
                </c:pt>
                <c:pt idx="999">
                  <c:v>2.5697993132096641E-2</c:v>
                </c:pt>
                <c:pt idx="1000">
                  <c:v>2.571315277475783E-2</c:v>
                </c:pt>
                <c:pt idx="1001">
                  <c:v>2.5728389860510958E-2</c:v>
                </c:pt>
                <c:pt idx="1002">
                  <c:v>2.574370438927609E-2</c:v>
                </c:pt>
                <c:pt idx="1003">
                  <c:v>2.575909636113316E-2</c:v>
                </c:pt>
                <c:pt idx="1004">
                  <c:v>2.5774565776162106E-2</c:v>
                </c:pt>
                <c:pt idx="1005">
                  <c:v>2.5790112634282991E-2</c:v>
                </c:pt>
                <c:pt idx="1006">
                  <c:v>2.5805736935415879E-2</c:v>
                </c:pt>
                <c:pt idx="1007">
                  <c:v>2.583004532002775E-2</c:v>
                </c:pt>
                <c:pt idx="1008">
                  <c:v>2.5837217867197282E-2</c:v>
                </c:pt>
                <c:pt idx="1009">
                  <c:v>2.585307449776586E-2</c:v>
                </c:pt>
                <c:pt idx="1010">
                  <c:v>2.5869008571506313E-2</c:v>
                </c:pt>
                <c:pt idx="1011">
                  <c:v>2.5885020088418642E-2</c:v>
                </c:pt>
                <c:pt idx="1012">
                  <c:v>2.5903193264142921E-2</c:v>
                </c:pt>
                <c:pt idx="1013">
                  <c:v>2.5919591259864205E-2</c:v>
                </c:pt>
                <c:pt idx="1014">
                  <c:v>2.5942374419463121E-2</c:v>
                </c:pt>
                <c:pt idx="1015">
                  <c:v>2.5952178522592462E-2</c:v>
                </c:pt>
                <c:pt idx="1016">
                  <c:v>2.5968588318834307E-2</c:v>
                </c:pt>
                <c:pt idx="1017">
                  <c:v>2.5985075558248028E-2</c:v>
                </c:pt>
                <c:pt idx="1018">
                  <c:v>2.6001640240913559E-2</c:v>
                </c:pt>
                <c:pt idx="1019">
                  <c:v>2.6024681140881523E-2</c:v>
                </c:pt>
                <c:pt idx="1020">
                  <c:v>2.6041677282462317E-2</c:v>
                </c:pt>
                <c:pt idx="1021">
                  <c:v>2.6058498855583423E-2</c:v>
                </c:pt>
                <c:pt idx="1022">
                  <c:v>2.6075397884799401E-2</c:v>
                </c:pt>
                <c:pt idx="1023">
                  <c:v>2.609237437011025E-2</c:v>
                </c:pt>
                <c:pt idx="1024">
                  <c:v>2.610942831156926E-2</c:v>
                </c:pt>
                <c:pt idx="1025">
                  <c:v>2.6126559709203079E-2</c:v>
                </c:pt>
                <c:pt idx="1026">
                  <c:v>2.614376856303835E-2</c:v>
                </c:pt>
                <c:pt idx="1027">
                  <c:v>2.6161054873128364E-2</c:v>
                </c:pt>
                <c:pt idx="1028">
                  <c:v>2.6178418639473122E-2</c:v>
                </c:pt>
                <c:pt idx="1029">
                  <c:v>2.6195859862125914E-2</c:v>
                </c:pt>
                <c:pt idx="1030">
                  <c:v>2.6213378541113386E-2</c:v>
                </c:pt>
                <c:pt idx="1031">
                  <c:v>2.6230974676488827E-2</c:v>
                </c:pt>
                <c:pt idx="1032">
                  <c:v>2.6248648268278885E-2</c:v>
                </c:pt>
                <c:pt idx="1033">
                  <c:v>2.6266371291940871E-2</c:v>
                </c:pt>
                <c:pt idx="1034">
                  <c:v>2.6283988534618885E-2</c:v>
                </c:pt>
                <c:pt idx="1035">
                  <c:v>2.6301471971690304E-2</c:v>
                </c:pt>
                <c:pt idx="1036">
                  <c:v>2.6318821603075193E-2</c:v>
                </c:pt>
                <c:pt idx="1037">
                  <c:v>2.633603742872026E-2</c:v>
                </c:pt>
                <c:pt idx="1038">
                  <c:v>2.6353119448598861E-2</c:v>
                </c:pt>
                <c:pt idx="1039">
                  <c:v>2.6370067662631058E-2</c:v>
                </c:pt>
                <c:pt idx="1040">
                  <c:v>2.6386882070763562E-2</c:v>
                </c:pt>
                <c:pt idx="1041">
                  <c:v>2.6403562672943082E-2</c:v>
                </c:pt>
                <c:pt idx="1042">
                  <c:v>2.6420109469089681E-2</c:v>
                </c:pt>
                <c:pt idx="1043">
                  <c:v>2.643652245920336E-2</c:v>
                </c:pt>
                <c:pt idx="1044">
                  <c:v>2.6452801643177537E-2</c:v>
                </c:pt>
                <c:pt idx="1045">
                  <c:v>2.6471589757894876E-2</c:v>
                </c:pt>
                <c:pt idx="1046">
                  <c:v>2.6487560749544059E-2</c:v>
                </c:pt>
                <c:pt idx="1047">
                  <c:v>2.6503397953172581E-2</c:v>
                </c:pt>
                <c:pt idx="1048">
                  <c:v>2.6516580316773286E-2</c:v>
                </c:pt>
                <c:pt idx="1049">
                  <c:v>2.6532190469357175E-2</c:v>
                </c:pt>
                <c:pt idx="1050">
                  <c:v>2.6547666815455173E-2</c:v>
                </c:pt>
                <c:pt idx="1051">
                  <c:v>2.6563009355093925E-2</c:v>
                </c:pt>
                <c:pt idx="1052">
                  <c:v>2.6578218088166849E-2</c:v>
                </c:pt>
                <c:pt idx="1053">
                  <c:v>2.6593293014620656E-2</c:v>
                </c:pt>
                <c:pt idx="1054">
                  <c:v>2.6608234134455344E-2</c:v>
                </c:pt>
                <c:pt idx="1055">
                  <c:v>2.6623041447590978E-2</c:v>
                </c:pt>
                <c:pt idx="1056">
                  <c:v>2.6637714954000913E-2</c:v>
                </c:pt>
                <c:pt idx="1057">
                  <c:v>2.6652254653605212E-2</c:v>
                </c:pt>
                <c:pt idx="1058">
                  <c:v>2.6666660546350585E-2</c:v>
                </c:pt>
                <c:pt idx="1059">
                  <c:v>2.6680932632210386E-2</c:v>
                </c:pt>
                <c:pt idx="1060">
                  <c:v>2.6695070911131324E-2</c:v>
                </c:pt>
                <c:pt idx="1061">
                  <c:v>2.6713055012566045E-2</c:v>
                </c:pt>
                <c:pt idx="1062">
                  <c:v>2.6724901434009851E-2</c:v>
                </c:pt>
                <c:pt idx="1063">
                  <c:v>2.6740543761762936E-2</c:v>
                </c:pt>
                <c:pt idx="1064">
                  <c:v>2.6752160831868821E-2</c:v>
                </c:pt>
                <c:pt idx="1065">
                  <c:v>2.6765589848327664E-2</c:v>
                </c:pt>
                <c:pt idx="1066">
                  <c:v>2.6778885076446102E-2</c:v>
                </c:pt>
                <c:pt idx="1067">
                  <c:v>2.6793915800471524E-2</c:v>
                </c:pt>
                <c:pt idx="1068">
                  <c:v>2.6806924339277671E-2</c:v>
                </c:pt>
                <c:pt idx="1069">
                  <c:v>2.6817968030758976E-2</c:v>
                </c:pt>
                <c:pt idx="1070">
                  <c:v>2.6830728105435853E-2</c:v>
                </c:pt>
                <c:pt idx="1071">
                  <c:v>2.6845147225413868E-2</c:v>
                </c:pt>
                <c:pt idx="1072">
                  <c:v>2.6855846889608515E-2</c:v>
                </c:pt>
                <c:pt idx="1073">
                  <c:v>2.6868205599024364E-2</c:v>
                </c:pt>
                <c:pt idx="1074">
                  <c:v>2.6880430520019871E-2</c:v>
                </c:pt>
                <c:pt idx="1075">
                  <c:v>2.6892521652595036E-2</c:v>
                </c:pt>
                <c:pt idx="1076">
                  <c:v>2.6904478996669923E-2</c:v>
                </c:pt>
                <c:pt idx="1077">
                  <c:v>2.6916302552244531E-2</c:v>
                </c:pt>
                <c:pt idx="1078">
                  <c:v>2.6927992319398797E-2</c:v>
                </c:pt>
                <c:pt idx="1079">
                  <c:v>2.6939548297972848E-2</c:v>
                </c:pt>
                <c:pt idx="1080">
                  <c:v>2.6950970488046622E-2</c:v>
                </c:pt>
                <c:pt idx="1081">
                  <c:v>2.696225888954018E-2</c:v>
                </c:pt>
                <c:pt idx="1082">
                  <c:v>2.6973413502613397E-2</c:v>
                </c:pt>
                <c:pt idx="1083">
                  <c:v>2.6984434327026463E-2</c:v>
                </c:pt>
                <c:pt idx="1084">
                  <c:v>2.6995321362939251E-2</c:v>
                </c:pt>
                <c:pt idx="1085">
                  <c:v>2.7006074610191888E-2</c:v>
                </c:pt>
                <c:pt idx="1086">
                  <c:v>2.7016694068864311E-2</c:v>
                </c:pt>
                <c:pt idx="1087">
                  <c:v>2.7027179738956519E-2</c:v>
                </c:pt>
                <c:pt idx="1088">
                  <c:v>2.7037531620388577E-2</c:v>
                </c:pt>
                <c:pt idx="1089">
                  <c:v>2.7047749713240421E-2</c:v>
                </c:pt>
                <c:pt idx="1090">
                  <c:v>2.7057834017432114E-2</c:v>
                </c:pt>
                <c:pt idx="1091">
                  <c:v>2.7067784532963657E-2</c:v>
                </c:pt>
                <c:pt idx="1092">
                  <c:v>2.7077601259835049E-2</c:v>
                </c:pt>
                <c:pt idx="1093">
                  <c:v>2.7087284198046291E-2</c:v>
                </c:pt>
                <c:pt idx="1094">
                  <c:v>2.7096833347597382E-2</c:v>
                </c:pt>
                <c:pt idx="1095">
                  <c:v>2.7106248708408387E-2</c:v>
                </c:pt>
                <c:pt idx="1096">
                  <c:v>2.7115530280559241E-2</c:v>
                </c:pt>
                <c:pt idx="1097">
                  <c:v>2.7127267143001177E-2</c:v>
                </c:pt>
                <c:pt idx="1098">
                  <c:v>2.7136242912249031E-2</c:v>
                </c:pt>
                <c:pt idx="1099">
                  <c:v>2.7143829943891973E-2</c:v>
                </c:pt>
                <c:pt idx="1100">
                  <c:v>2.7152557248451004E-2</c:v>
                </c:pt>
                <c:pt idx="1101">
                  <c:v>2.7161150764190012E-2</c:v>
                </c:pt>
                <c:pt idx="1102">
                  <c:v>2.7169610491188934E-2</c:v>
                </c:pt>
                <c:pt idx="1103">
                  <c:v>2.7177936429367833E-2</c:v>
                </c:pt>
                <c:pt idx="1104">
                  <c:v>2.7186128578806645E-2</c:v>
                </c:pt>
                <c:pt idx="1105">
                  <c:v>2.7194186939425435E-2</c:v>
                </c:pt>
                <c:pt idx="1106">
                  <c:v>2.7202111511304139E-2</c:v>
                </c:pt>
                <c:pt idx="1107">
                  <c:v>2.720990229436282E-2</c:v>
                </c:pt>
                <c:pt idx="1108">
                  <c:v>2.7217559288441606E-2</c:v>
                </c:pt>
                <c:pt idx="1109">
                  <c:v>2.7225082493860242E-2</c:v>
                </c:pt>
                <c:pt idx="1110">
                  <c:v>2.7232471910378919E-2</c:v>
                </c:pt>
                <c:pt idx="1111">
                  <c:v>2.7241776001076801E-2</c:v>
                </c:pt>
                <c:pt idx="1112">
                  <c:v>2.724684937687627E-2</c:v>
                </c:pt>
                <c:pt idx="1113">
                  <c:v>2.7253837426854943E-2</c:v>
                </c:pt>
                <c:pt idx="1114">
                  <c:v>2.7260691687933658E-2</c:v>
                </c:pt>
                <c:pt idx="1115">
                  <c:v>2.726836130607424E-2</c:v>
                </c:pt>
                <c:pt idx="1116">
                  <c:v>2.7273998843471148E-2</c:v>
                </c:pt>
                <c:pt idx="1117">
                  <c:v>2.7281362658468922E-2</c:v>
                </c:pt>
                <c:pt idx="1118">
                  <c:v>2.7287662651236388E-2</c:v>
                </c:pt>
                <c:pt idx="1119">
                  <c:v>2.7292956160067661E-2</c:v>
                </c:pt>
                <c:pt idx="1120">
                  <c:v>2.7299007687746624E-2</c:v>
                </c:pt>
                <c:pt idx="1121">
                  <c:v>2.7304925426525628E-2</c:v>
                </c:pt>
                <c:pt idx="1122">
                  <c:v>2.7310709376404674E-2</c:v>
                </c:pt>
                <c:pt idx="1123">
                  <c:v>2.7317155781654279E-2</c:v>
                </c:pt>
                <c:pt idx="1124">
                  <c:v>2.7321875909303017E-2</c:v>
                </c:pt>
                <c:pt idx="1125">
                  <c:v>2.7327258492402251E-2</c:v>
                </c:pt>
                <c:pt idx="1126">
                  <c:v>2.7332507286441654E-2</c:v>
                </c:pt>
                <c:pt idx="1127">
                  <c:v>2.7337622291581098E-2</c:v>
                </c:pt>
                <c:pt idx="1128">
                  <c:v>2.7342603507740648E-2</c:v>
                </c:pt>
                <c:pt idx="1129">
                  <c:v>2.7347450934920303E-2</c:v>
                </c:pt>
                <c:pt idx="1130">
                  <c:v>2.73521645732E-2</c:v>
                </c:pt>
                <c:pt idx="1131">
                  <c:v>2.7356744422419865E-2</c:v>
                </c:pt>
                <c:pt idx="1132">
                  <c:v>2.7361190482659836E-2</c:v>
                </c:pt>
                <c:pt idx="1133">
                  <c:v>2.7365502753839976E-2</c:v>
                </c:pt>
                <c:pt idx="1134">
                  <c:v>2.7369681236120158E-2</c:v>
                </c:pt>
                <c:pt idx="1135">
                  <c:v>2.7373725929420445E-2</c:v>
                </c:pt>
                <c:pt idx="1136">
                  <c:v>2.7377636833740837E-2</c:v>
                </c:pt>
                <c:pt idx="1137">
                  <c:v>2.7381413949001399E-2</c:v>
                </c:pt>
                <c:pt idx="1138">
                  <c:v>2.7385057275282065E-2</c:v>
                </c:pt>
                <c:pt idx="1139">
                  <c:v>2.7388566812422965E-2</c:v>
                </c:pt>
                <c:pt idx="1140">
                  <c:v>2.7391942560663907E-2</c:v>
                </c:pt>
                <c:pt idx="1141">
                  <c:v>2.7395184519845017E-2</c:v>
                </c:pt>
                <c:pt idx="1142">
                  <c:v>2.7398292689966297E-2</c:v>
                </c:pt>
                <c:pt idx="1143">
                  <c:v>2.7401267071027746E-2</c:v>
                </c:pt>
                <c:pt idx="1144">
                  <c:v>2.7404107663189237E-2</c:v>
                </c:pt>
                <c:pt idx="1145">
                  <c:v>2.740681446621096E-2</c:v>
                </c:pt>
                <c:pt idx="1146">
                  <c:v>2.7409387480252789E-2</c:v>
                </c:pt>
                <c:pt idx="1147">
                  <c:v>2.7411826705154851E-2</c:v>
                </c:pt>
                <c:pt idx="1148">
                  <c:v>2.7414132141077019E-2</c:v>
                </c:pt>
                <c:pt idx="1149">
                  <c:v>2.7421946941052155E-2</c:v>
                </c:pt>
                <c:pt idx="1150">
                  <c:v>2.7421533615790139E-2</c:v>
                </c:pt>
                <c:pt idx="1151">
                  <c:v>2.742050680275554E-2</c:v>
                </c:pt>
                <c:pt idx="1152">
                  <c:v>2.7422257969806907E-2</c:v>
                </c:pt>
                <c:pt idx="1153">
                  <c:v>2.7423875347718507E-2</c:v>
                </c:pt>
                <c:pt idx="1154">
                  <c:v>2.7425358936570277E-2</c:v>
                </c:pt>
                <c:pt idx="1155">
                  <c:v>2.7426708736362215E-2</c:v>
                </c:pt>
                <c:pt idx="1156">
                  <c:v>2.7427924747174259E-2</c:v>
                </c:pt>
                <c:pt idx="1157">
                  <c:v>2.74290069687666E-2</c:v>
                </c:pt>
                <c:pt idx="1158">
                  <c:v>2.7429955401379047E-2</c:v>
                </c:pt>
                <c:pt idx="1159">
                  <c:v>2.7430770044931663E-2</c:v>
                </c:pt>
                <c:pt idx="1160">
                  <c:v>2.7431450899424448E-2</c:v>
                </c:pt>
                <c:pt idx="1161">
                  <c:v>2.7431997964857402E-2</c:v>
                </c:pt>
                <c:pt idx="1162">
                  <c:v>2.7432411241150589E-2</c:v>
                </c:pt>
                <c:pt idx="1163">
                  <c:v>2.7432690728383946E-2</c:v>
                </c:pt>
                <c:pt idx="1164">
                  <c:v>2.7432836426637408E-2</c:v>
                </c:pt>
                <c:pt idx="1165">
                  <c:v>2.7432848335751103E-2</c:v>
                </c:pt>
                <c:pt idx="1166">
                  <c:v>2.743472282340953E-2</c:v>
                </c:pt>
                <c:pt idx="1167">
                  <c:v>2.7432423341071654E-2</c:v>
                </c:pt>
                <c:pt idx="1168">
                  <c:v>2.7432081328653268E-2</c:v>
                </c:pt>
                <c:pt idx="1169">
                  <c:v>2.7431558081447704E-2</c:v>
                </c:pt>
                <c:pt idx="1170">
                  <c:v>2.7430901045342182E-2</c:v>
                </c:pt>
                <c:pt idx="1171">
                  <c:v>2.7431093282168639E-2</c:v>
                </c:pt>
                <c:pt idx="1172">
                  <c:v>2.7429042596347486E-2</c:v>
                </c:pt>
                <c:pt idx="1173">
                  <c:v>2.7429721440581645E-2</c:v>
                </c:pt>
                <c:pt idx="1174">
                  <c:v>2.7429609470734917E-2</c:v>
                </c:pt>
                <c:pt idx="1175">
                  <c:v>2.7427088188991533E-2</c:v>
                </c:pt>
                <c:pt idx="1176">
                  <c:v>2.7425570849057834E-2</c:v>
                </c:pt>
                <c:pt idx="1177">
                  <c:v>2.7423919699707255E-2</c:v>
                </c:pt>
                <c:pt idx="1178">
                  <c:v>2.7422134740913151E-2</c:v>
                </c:pt>
                <c:pt idx="1179">
                  <c:v>2.7420215972702167E-2</c:v>
                </c:pt>
                <c:pt idx="1180">
                  <c:v>2.7418163395074302E-2</c:v>
                </c:pt>
                <c:pt idx="1181">
                  <c:v>2.7415977008056203E-2</c:v>
                </c:pt>
                <c:pt idx="1182">
                  <c:v>2.7413656811621223E-2</c:v>
                </c:pt>
                <c:pt idx="1183">
                  <c:v>2.7411202805796009E-2</c:v>
                </c:pt>
                <c:pt idx="1184">
                  <c:v>2.7408614990607205E-2</c:v>
                </c:pt>
                <c:pt idx="1185">
                  <c:v>2.7405893366028167E-2</c:v>
                </c:pt>
                <c:pt idx="1186">
                  <c:v>2.7403037932085539E-2</c:v>
                </c:pt>
                <c:pt idx="1187">
                  <c:v>2.7400048688832612E-2</c:v>
                </c:pt>
                <c:pt idx="1188">
                  <c:v>2.7396925636189451E-2</c:v>
                </c:pt>
                <c:pt idx="1189">
                  <c:v>2.739370493786808E-2</c:v>
                </c:pt>
                <c:pt idx="1190">
                  <c:v>2.7390461254332976E-2</c:v>
                </c:pt>
                <c:pt idx="1191">
                  <c:v>2.7387198085291331E-2</c:v>
                </c:pt>
                <c:pt idx="1192">
                  <c:v>2.7383915430689854E-2</c:v>
                </c:pt>
                <c:pt idx="1193">
                  <c:v>2.738061329060848E-2</c:v>
                </c:pt>
                <c:pt idx="1194">
                  <c:v>2.7377291664993919E-2</c:v>
                </c:pt>
                <c:pt idx="1195">
                  <c:v>2.7373950553899462E-2</c:v>
                </c:pt>
                <c:pt idx="1196">
                  <c:v>2.7370589957245173E-2</c:v>
                </c:pt>
                <c:pt idx="1197">
                  <c:v>2.7367209875137632E-2</c:v>
                </c:pt>
                <c:pt idx="1198">
                  <c:v>2.7363810307496905E-2</c:v>
                </c:pt>
                <c:pt idx="1199">
                  <c:v>2.7360391254322991E-2</c:v>
                </c:pt>
                <c:pt idx="1200">
                  <c:v>2.7356952715669181E-2</c:v>
                </c:pt>
                <c:pt idx="1201">
                  <c:v>2.7350806776624825E-2</c:v>
                </c:pt>
                <c:pt idx="1202">
                  <c:v>2.7345944140790834E-2</c:v>
                </c:pt>
                <c:pt idx="1203">
                  <c:v>2.7343440702454203E-2</c:v>
                </c:pt>
                <c:pt idx="1204">
                  <c:v>2.7339919189452999E-2</c:v>
                </c:pt>
                <c:pt idx="1205">
                  <c:v>2.7336378193876243E-2</c:v>
                </c:pt>
                <c:pt idx="1206">
                  <c:v>2.7332817715643998E-2</c:v>
                </c:pt>
                <c:pt idx="1207">
                  <c:v>2.73292377548362E-2</c:v>
                </c:pt>
                <c:pt idx="1208">
                  <c:v>2.7325638311532785E-2</c:v>
                </c:pt>
                <c:pt idx="1209">
                  <c:v>2.7322019385414009E-2</c:v>
                </c:pt>
                <c:pt idx="1210">
                  <c:v>2.7318380976799617E-2</c:v>
                </c:pt>
                <c:pt idx="1211">
                  <c:v>2.7314723085529735E-2</c:v>
                </c:pt>
                <c:pt idx="1212">
                  <c:v>2.7311045711764237E-2</c:v>
                </c:pt>
                <c:pt idx="1213">
                  <c:v>2.730734885534325E-2</c:v>
                </c:pt>
                <c:pt idx="1214">
                  <c:v>2.7303632516266774E-2</c:v>
                </c:pt>
                <c:pt idx="1215">
                  <c:v>2.7299896694694681E-2</c:v>
                </c:pt>
                <c:pt idx="1216">
                  <c:v>2.7295064867915997E-2</c:v>
                </c:pt>
                <c:pt idx="1217">
                  <c:v>2.7292366603663964E-2</c:v>
                </c:pt>
                <c:pt idx="1218">
                  <c:v>2.7288572334205341E-2</c:v>
                </c:pt>
                <c:pt idx="1219">
                  <c:v>2.7284212170055611E-2</c:v>
                </c:pt>
                <c:pt idx="1220">
                  <c:v>2.7280925347561436E-2</c:v>
                </c:pt>
                <c:pt idx="1221">
                  <c:v>2.7277072630376153E-2</c:v>
                </c:pt>
                <c:pt idx="1222">
                  <c:v>2.727264566877885E-2</c:v>
                </c:pt>
                <c:pt idx="1223">
                  <c:v>2.7268751203148867E-2</c:v>
                </c:pt>
                <c:pt idx="1224">
                  <c:v>2.7265397583207118E-2</c:v>
                </c:pt>
                <c:pt idx="1225">
                  <c:v>2.7261466935639689E-2</c:v>
                </c:pt>
                <c:pt idx="1226">
                  <c:v>2.7256950910725664E-2</c:v>
                </c:pt>
                <c:pt idx="1227">
                  <c:v>2.7253547192698235E-2</c:v>
                </c:pt>
                <c:pt idx="1228">
                  <c:v>2.7249558097324211E-2</c:v>
                </c:pt>
                <c:pt idx="1229">
                  <c:v>2.7245549519374634E-2</c:v>
                </c:pt>
                <c:pt idx="1230">
                  <c:v>2.7241521458849505E-2</c:v>
                </c:pt>
                <c:pt idx="1231">
                  <c:v>2.7237473915748822E-2</c:v>
                </c:pt>
                <c:pt idx="1232">
                  <c:v>2.7233406889992651E-2</c:v>
                </c:pt>
                <c:pt idx="1233">
                  <c:v>2.7229320381740862E-2</c:v>
                </c:pt>
                <c:pt idx="1234">
                  <c:v>2.7225214390833585E-2</c:v>
                </c:pt>
                <c:pt idx="1235">
                  <c:v>2.7221088917430691E-2</c:v>
                </c:pt>
                <c:pt idx="1236">
                  <c:v>2.7216943961372309E-2</c:v>
                </c:pt>
                <c:pt idx="1237">
                  <c:v>2.7212779522738373E-2</c:v>
                </c:pt>
                <c:pt idx="1238">
                  <c:v>2.7208595601448948E-2</c:v>
                </c:pt>
                <c:pt idx="1239">
                  <c:v>2.7204392197743843E-2</c:v>
                </c:pt>
                <c:pt idx="1240">
                  <c:v>2.7200169311303313E-2</c:v>
                </c:pt>
                <c:pt idx="1241">
                  <c:v>2.719592694228723E-2</c:v>
                </c:pt>
                <c:pt idx="1242">
                  <c:v>2.719166509077553E-2</c:v>
                </c:pt>
                <c:pt idx="1243">
                  <c:v>2.7187383756608341E-2</c:v>
                </c:pt>
                <c:pt idx="1244">
                  <c:v>2.7183082939945535E-2</c:v>
                </c:pt>
                <c:pt idx="1245">
                  <c:v>2.7178762640627241E-2</c:v>
                </c:pt>
                <c:pt idx="1246">
                  <c:v>2.7174422858733394E-2</c:v>
                </c:pt>
                <c:pt idx="1247">
                  <c:v>2.7170063594263993E-2</c:v>
                </c:pt>
                <c:pt idx="1248">
                  <c:v>2.7165684847378913E-2</c:v>
                </c:pt>
                <c:pt idx="1249">
                  <c:v>2.7161286617598535E-2</c:v>
                </c:pt>
                <c:pt idx="1250">
                  <c:v>2.7156868905482412E-2</c:v>
                </c:pt>
                <c:pt idx="1251">
                  <c:v>2.7152431710630864E-2</c:v>
                </c:pt>
                <c:pt idx="1252">
                  <c:v>2.7147975033363636E-2</c:v>
                </c:pt>
                <c:pt idx="1253">
                  <c:v>2.7139704246268437E-2</c:v>
                </c:pt>
                <c:pt idx="1254">
                  <c:v>2.7137070563076904E-2</c:v>
                </c:pt>
                <c:pt idx="1255">
                  <c:v>2.7133841497741784E-2</c:v>
                </c:pt>
                <c:pt idx="1256">
                  <c:v>2.7129304106798813E-2</c:v>
                </c:pt>
                <c:pt idx="1257">
                  <c:v>2.7124747233440161E-2</c:v>
                </c:pt>
                <c:pt idx="1258">
                  <c:v>2.712017087742602E-2</c:v>
                </c:pt>
                <c:pt idx="1259">
                  <c:v>2.7115575038916262E-2</c:v>
                </c:pt>
                <c:pt idx="1260">
                  <c:v>2.7110959717751015E-2</c:v>
                </c:pt>
                <c:pt idx="1261">
                  <c:v>2.7106324914090152E-2</c:v>
                </c:pt>
                <c:pt idx="1262">
                  <c:v>2.7101670627853736E-2</c:v>
                </c:pt>
                <c:pt idx="1263">
                  <c:v>2.709699685896183E-2</c:v>
                </c:pt>
                <c:pt idx="1264">
                  <c:v>2.7092303607654245E-2</c:v>
                </c:pt>
                <c:pt idx="1265">
                  <c:v>2.708759087369117E-2</c:v>
                </c:pt>
                <c:pt idx="1266">
                  <c:v>2.7081503016832542E-2</c:v>
                </c:pt>
                <c:pt idx="1267">
                  <c:v>2.7078106958038362E-2</c:v>
                </c:pt>
                <c:pt idx="1268">
                  <c:v>2.7073335776428564E-2</c:v>
                </c:pt>
                <c:pt idx="1269">
                  <c:v>2.7068545112243214E-2</c:v>
                </c:pt>
                <c:pt idx="1270">
                  <c:v>2.7063734965402375E-2</c:v>
                </c:pt>
                <c:pt idx="1271">
                  <c:v>2.7058905336145855E-2</c:v>
                </c:pt>
                <c:pt idx="1272">
                  <c:v>2.7053361903552897E-2</c:v>
                </c:pt>
                <c:pt idx="1273">
                  <c:v>2.7048490525851676E-2</c:v>
                </c:pt>
                <c:pt idx="1274">
                  <c:v>2.7044299552763107E-2</c:v>
                </c:pt>
                <c:pt idx="1275">
                  <c:v>2.7039391993284312E-2</c:v>
                </c:pt>
                <c:pt idx="1276">
                  <c:v>2.7034464951150028E-2</c:v>
                </c:pt>
                <c:pt idx="1277">
                  <c:v>2.7029518426440191E-2</c:v>
                </c:pt>
                <c:pt idx="1278">
                  <c:v>2.7024552419234737E-2</c:v>
                </c:pt>
                <c:pt idx="1279">
                  <c:v>2.7018853126197229E-2</c:v>
                </c:pt>
                <c:pt idx="1280">
                  <c:v>2.7014561957177108E-2</c:v>
                </c:pt>
                <c:pt idx="1281">
                  <c:v>2.7009537502244996E-2</c:v>
                </c:pt>
                <c:pt idx="1282">
                  <c:v>2.7004493564897203E-2</c:v>
                </c:pt>
                <c:pt idx="1283">
                  <c:v>2.6999430144893921E-2</c:v>
                </c:pt>
                <c:pt idx="1284">
                  <c:v>2.6994347242315087E-2</c:v>
                </c:pt>
                <c:pt idx="1285">
                  <c:v>2.6989244857240635E-2</c:v>
                </c:pt>
                <c:pt idx="1286">
                  <c:v>2.6984122989670567E-2</c:v>
                </c:pt>
                <c:pt idx="1287">
                  <c:v>2.697898163944501E-2</c:v>
                </c:pt>
                <c:pt idx="1288">
                  <c:v>2.6973820806723836E-2</c:v>
                </c:pt>
                <c:pt idx="1289">
                  <c:v>2.6968640491507045E-2</c:v>
                </c:pt>
                <c:pt idx="1290">
                  <c:v>2.6963440693634766E-2</c:v>
                </c:pt>
                <c:pt idx="1291">
                  <c:v>2.6958221413346806E-2</c:v>
                </c:pt>
                <c:pt idx="1292">
                  <c:v>2.6952982650403357E-2</c:v>
                </c:pt>
                <c:pt idx="1293">
                  <c:v>2.6947724405044227E-2</c:v>
                </c:pt>
                <c:pt idx="1294">
                  <c:v>2.6942446676949672E-2</c:v>
                </c:pt>
                <c:pt idx="1295">
                  <c:v>2.6937149466439436E-2</c:v>
                </c:pt>
                <c:pt idx="1296">
                  <c:v>2.6931832773353648E-2</c:v>
                </c:pt>
                <c:pt idx="1297">
                  <c:v>2.6926496597772243E-2</c:v>
                </c:pt>
                <c:pt idx="1298">
                  <c:v>2.6921140939615285E-2</c:v>
                </c:pt>
                <c:pt idx="1299">
                  <c:v>2.6915765799042646E-2</c:v>
                </c:pt>
                <c:pt idx="1300">
                  <c:v>2.6910371175814518E-2</c:v>
                </c:pt>
                <c:pt idx="1301">
                  <c:v>2.6904957070090774E-2</c:v>
                </c:pt>
                <c:pt idx="1302">
                  <c:v>2.6899523481791476E-2</c:v>
                </c:pt>
                <c:pt idx="1303">
                  <c:v>2.6894070410996562E-2</c:v>
                </c:pt>
                <c:pt idx="1304">
                  <c:v>2.6888597857626095E-2</c:v>
                </c:pt>
                <c:pt idx="1305">
                  <c:v>2.6882319654788489E-2</c:v>
                </c:pt>
                <c:pt idx="1306">
                  <c:v>2.6877413931281069E-2</c:v>
                </c:pt>
                <c:pt idx="1307">
                  <c:v>2.687127156898228E-2</c:v>
                </c:pt>
                <c:pt idx="1308">
                  <c:v>2.6866512818948252E-2</c:v>
                </c:pt>
                <c:pt idx="1309">
                  <c:v>2.6860942853019765E-2</c:v>
                </c:pt>
                <c:pt idx="1310">
                  <c:v>2.6855353404355853E-2</c:v>
                </c:pt>
                <c:pt idx="1311">
                  <c:v>2.6849744473356196E-2</c:v>
                </c:pt>
                <c:pt idx="1312">
                  <c:v>2.6844116059780987E-2</c:v>
                </c:pt>
                <c:pt idx="1313">
                  <c:v>2.6838468163710161E-2</c:v>
                </c:pt>
                <c:pt idx="1314">
                  <c:v>2.6832800785063782E-2</c:v>
                </c:pt>
                <c:pt idx="1315">
                  <c:v>2.6827113923921786E-2</c:v>
                </c:pt>
                <c:pt idx="1316">
                  <c:v>2.6821407580364109E-2</c:v>
                </c:pt>
                <c:pt idx="1317">
                  <c:v>2.6815681754071008E-2</c:v>
                </c:pt>
                <c:pt idx="1318">
                  <c:v>2.6809936445442162E-2</c:v>
                </c:pt>
                <c:pt idx="1319">
                  <c:v>2.6804171654157827E-2</c:v>
                </c:pt>
                <c:pt idx="1320">
                  <c:v>2.6798387380457811E-2</c:v>
                </c:pt>
                <c:pt idx="1321">
                  <c:v>2.6790921829720205E-2</c:v>
                </c:pt>
                <c:pt idx="1322">
                  <c:v>2.6786760385490993E-2</c:v>
                </c:pt>
                <c:pt idx="1323">
                  <c:v>2.6780917664144255E-2</c:v>
                </c:pt>
                <c:pt idx="1324">
                  <c:v>2.67750554603019E-2</c:v>
                </c:pt>
                <c:pt idx="1325">
                  <c:v>2.6769173773963928E-2</c:v>
                </c:pt>
                <c:pt idx="1326">
                  <c:v>2.6763272605210275E-2</c:v>
                </c:pt>
                <c:pt idx="1327">
                  <c:v>2.6756504556129102E-2</c:v>
                </c:pt>
                <c:pt idx="1328">
                  <c:v>2.675056163909062E-2</c:v>
                </c:pt>
                <c:pt idx="1329">
                  <c:v>2.6745452203655873E-2</c:v>
                </c:pt>
                <c:pt idx="1330">
                  <c:v>2.6739473104759881E-2</c:v>
                </c:pt>
                <c:pt idx="1331">
                  <c:v>2.6732615992761666E-2</c:v>
                </c:pt>
                <c:pt idx="1332">
                  <c:v>2.6727456459560983E-2</c:v>
                </c:pt>
                <c:pt idx="1333">
                  <c:v>2.6721418913098205E-2</c:v>
                </c:pt>
                <c:pt idx="1334">
                  <c:v>2.6715361884219746E-2</c:v>
                </c:pt>
                <c:pt idx="1335">
                  <c:v>2.670928537284567E-2</c:v>
                </c:pt>
                <c:pt idx="1336">
                  <c:v>2.6703189378975978E-2</c:v>
                </c:pt>
                <c:pt idx="1337">
                  <c:v>2.6697073902530732E-2</c:v>
                </c:pt>
                <c:pt idx="1338">
                  <c:v>2.6690938943669806E-2</c:v>
                </c:pt>
                <c:pt idx="1339">
                  <c:v>2.6684784502313263E-2</c:v>
                </c:pt>
                <c:pt idx="1340">
                  <c:v>2.6678610578461104E-2</c:v>
                </c:pt>
                <c:pt idx="1341">
                  <c:v>2.6672417172033391E-2</c:v>
                </c:pt>
                <c:pt idx="1342">
                  <c:v>2.6666204283110062E-2</c:v>
                </c:pt>
                <c:pt idx="1343">
                  <c:v>2.6659971911691116E-2</c:v>
                </c:pt>
                <c:pt idx="1344">
                  <c:v>2.6653720057856489E-2</c:v>
                </c:pt>
                <c:pt idx="1345">
                  <c:v>2.6647448721526246E-2</c:v>
                </c:pt>
                <c:pt idx="1346">
                  <c:v>2.6641157902620449E-2</c:v>
                </c:pt>
                <c:pt idx="1347">
                  <c:v>2.6634847601298972E-2</c:v>
                </c:pt>
                <c:pt idx="1348">
                  <c:v>2.6628517817481878E-2</c:v>
                </c:pt>
                <c:pt idx="1349">
                  <c:v>2.6622168551169167E-2</c:v>
                </c:pt>
                <c:pt idx="1350">
                  <c:v>2.6615799802280904E-2</c:v>
                </c:pt>
                <c:pt idx="1351">
                  <c:v>2.660941157097696E-2</c:v>
                </c:pt>
                <c:pt idx="1352">
                  <c:v>2.6603003857177399E-2</c:v>
                </c:pt>
                <c:pt idx="1353">
                  <c:v>2.6596576660802285E-2</c:v>
                </c:pt>
                <c:pt idx="1354">
                  <c:v>2.6590129982091426E-2</c:v>
                </c:pt>
                <c:pt idx="1355">
                  <c:v>2.6583663820805015E-2</c:v>
                </c:pt>
                <c:pt idx="1356">
                  <c:v>2.6577178177182859E-2</c:v>
                </c:pt>
                <c:pt idx="1357">
                  <c:v>2.6569742156823395E-2</c:v>
                </c:pt>
                <c:pt idx="1358">
                  <c:v>2.6564148442291824E-2</c:v>
                </c:pt>
                <c:pt idx="1359">
                  <c:v>2.6556667890433872E-2</c:v>
                </c:pt>
                <c:pt idx="1360">
                  <c:v>2.6551040777418322E-2</c:v>
                </c:pt>
                <c:pt idx="1361">
                  <c:v>2.6544457721318082E-2</c:v>
                </c:pt>
                <c:pt idx="1362">
                  <c:v>2.6537855182722225E-2</c:v>
                </c:pt>
                <c:pt idx="1363">
                  <c:v>2.6531233161710688E-2</c:v>
                </c:pt>
                <c:pt idx="1364">
                  <c:v>2.6524591658043661E-2</c:v>
                </c:pt>
                <c:pt idx="1365">
                  <c:v>2.6517930672120826E-2</c:v>
                </c:pt>
                <c:pt idx="1366">
                  <c:v>2.6511250203622438E-2</c:v>
                </c:pt>
                <c:pt idx="1367">
                  <c:v>2.6504550252628434E-2</c:v>
                </c:pt>
                <c:pt idx="1368">
                  <c:v>2.6497830819218748E-2</c:v>
                </c:pt>
                <c:pt idx="1369">
                  <c:v>2.649109190323351E-2</c:v>
                </c:pt>
                <c:pt idx="1370">
                  <c:v>2.6484333504912527E-2</c:v>
                </c:pt>
                <c:pt idx="1371">
                  <c:v>2.6477555624095928E-2</c:v>
                </c:pt>
                <c:pt idx="1372">
                  <c:v>2.64688125785284E-2</c:v>
                </c:pt>
                <c:pt idx="1373">
                  <c:v>2.6463941415055814E-2</c:v>
                </c:pt>
                <c:pt idx="1374">
                  <c:v>2.6457105086752364E-2</c:v>
                </c:pt>
                <c:pt idx="1375">
                  <c:v>2.6449268284185479E-2</c:v>
                </c:pt>
                <c:pt idx="1376">
                  <c:v>2.6443373983058294E-2</c:v>
                </c:pt>
                <c:pt idx="1377">
                  <c:v>2.6436479207347929E-2</c:v>
                </c:pt>
                <c:pt idx="1378">
                  <c:v>2.6428575607733151E-2</c:v>
                </c:pt>
                <c:pt idx="1379">
                  <c:v>2.6421639084057702E-2</c:v>
                </c:pt>
                <c:pt idx="1380">
                  <c:v>2.6415677985882624E-2</c:v>
                </c:pt>
                <c:pt idx="1381">
                  <c:v>2.6408705280429601E-2</c:v>
                </c:pt>
                <c:pt idx="1382">
                  <c:v>2.6401713092480961E-2</c:v>
                </c:pt>
                <c:pt idx="1383">
                  <c:v>2.6393698164639545E-2</c:v>
                </c:pt>
                <c:pt idx="1384">
                  <c:v>2.6387670269416574E-2</c:v>
                </c:pt>
                <c:pt idx="1385">
                  <c:v>2.6380619634220892E-2</c:v>
                </c:pt>
                <c:pt idx="1386">
                  <c:v>2.6373549516529593E-2</c:v>
                </c:pt>
                <c:pt idx="1387">
                  <c:v>2.6366459916342677E-2</c:v>
                </c:pt>
                <c:pt idx="1388">
                  <c:v>2.6359350833740081E-2</c:v>
                </c:pt>
                <c:pt idx="1389">
                  <c:v>2.6352222268721803E-2</c:v>
                </c:pt>
                <c:pt idx="1390">
                  <c:v>2.6345074221207909E-2</c:v>
                </c:pt>
                <c:pt idx="1391">
                  <c:v>2.633790669135827E-2</c:v>
                </c:pt>
                <c:pt idx="1392">
                  <c:v>2.6330719679013015E-2</c:v>
                </c:pt>
                <c:pt idx="1393">
                  <c:v>2.6323513184172143E-2</c:v>
                </c:pt>
                <c:pt idx="1394">
                  <c:v>2.6316287206995526E-2</c:v>
                </c:pt>
                <c:pt idx="1395">
                  <c:v>2.6309041747243356E-2</c:v>
                </c:pt>
                <c:pt idx="1396">
                  <c:v>2.6301776805155441E-2</c:v>
                </c:pt>
                <c:pt idx="1397">
                  <c:v>2.629449238057191E-2</c:v>
                </c:pt>
                <c:pt idx="1398">
                  <c:v>2.6287188473652634E-2</c:v>
                </c:pt>
                <c:pt idx="1399">
                  <c:v>2.6279865084237741E-2</c:v>
                </c:pt>
                <c:pt idx="1400">
                  <c:v>2.6272522212327232E-2</c:v>
                </c:pt>
                <c:pt idx="1401">
                  <c:v>2.6265159858080978E-2</c:v>
                </c:pt>
                <c:pt idx="1402">
                  <c:v>2.6257778021339107E-2</c:v>
                </c:pt>
                <c:pt idx="1403">
                  <c:v>2.6250376702261491E-2</c:v>
                </c:pt>
                <c:pt idx="1404">
                  <c:v>2.6242955900608322E-2</c:v>
                </c:pt>
                <c:pt idx="1405">
                  <c:v>2.6235515616699345E-2</c:v>
                </c:pt>
                <c:pt idx="1406">
                  <c:v>2.6228055850294751E-2</c:v>
                </c:pt>
                <c:pt idx="1407">
                  <c:v>2.6220576601394541E-2</c:v>
                </c:pt>
                <c:pt idx="1408">
                  <c:v>2.6213077870158585E-2</c:v>
                </c:pt>
                <c:pt idx="1409">
                  <c:v>2.6203408017000385E-2</c:v>
                </c:pt>
                <c:pt idx="1410">
                  <c:v>2.619694355619373E-2</c:v>
                </c:pt>
                <c:pt idx="1411">
                  <c:v>2.6190464781796763E-2</c:v>
                </c:pt>
                <c:pt idx="1412">
                  <c:v>2.6182888120898085E-2</c:v>
                </c:pt>
                <c:pt idx="1413">
                  <c:v>2.6175291977423853E-2</c:v>
                </c:pt>
                <c:pt idx="1414">
                  <c:v>2.6167676351693814E-2</c:v>
                </c:pt>
                <c:pt idx="1415">
                  <c:v>2.6160041243468157E-2</c:v>
                </c:pt>
                <c:pt idx="1416">
                  <c:v>2.6152386652906756E-2</c:v>
                </c:pt>
                <c:pt idx="1417">
                  <c:v>2.6144712579769802E-2</c:v>
                </c:pt>
                <c:pt idx="1418">
                  <c:v>2.6137019024456976E-2</c:v>
                </c:pt>
                <c:pt idx="1419">
                  <c:v>2.6129305986568596E-2</c:v>
                </c:pt>
                <c:pt idx="1420">
                  <c:v>2.6121573466344472E-2</c:v>
                </c:pt>
                <c:pt idx="1421">
                  <c:v>2.6113821463704667E-2</c:v>
                </c:pt>
                <c:pt idx="1422">
                  <c:v>2.6103825975907213E-2</c:v>
                </c:pt>
                <c:pt idx="1423">
                  <c:v>2.6098259011098079E-2</c:v>
                </c:pt>
                <c:pt idx="1424">
                  <c:v>2.6090448561291169E-2</c:v>
                </c:pt>
                <c:pt idx="1425">
                  <c:v>2.6082618628988641E-2</c:v>
                </c:pt>
                <c:pt idx="1426">
                  <c:v>2.6074769214270432E-2</c:v>
                </c:pt>
                <c:pt idx="1427">
                  <c:v>2.6066155145132441E-2</c:v>
                </c:pt>
                <c:pt idx="1428">
                  <c:v>2.6057883436134688E-2</c:v>
                </c:pt>
                <c:pt idx="1429">
                  <c:v>2.6049972790955778E-2</c:v>
                </c:pt>
                <c:pt idx="1430">
                  <c:v>2.6043176731640472E-2</c:v>
                </c:pt>
                <c:pt idx="1431">
                  <c:v>2.6035229905003732E-2</c:v>
                </c:pt>
                <c:pt idx="1432">
                  <c:v>2.6027263595951311E-2</c:v>
                </c:pt>
                <c:pt idx="1433">
                  <c:v>2.601927780448321E-2</c:v>
                </c:pt>
                <c:pt idx="1434">
                  <c:v>2.6011272530679364E-2</c:v>
                </c:pt>
                <c:pt idx="1435">
                  <c:v>2.6002099790272126E-2</c:v>
                </c:pt>
                <c:pt idx="1436">
                  <c:v>2.5995203535824629E-2</c:v>
                </c:pt>
                <c:pt idx="1437">
                  <c:v>2.5987139814853677E-2</c:v>
                </c:pt>
                <c:pt idx="1438">
                  <c:v>2.5979056611467044E-2</c:v>
                </c:pt>
                <c:pt idx="1439">
                  <c:v>2.5970953925744666E-2</c:v>
                </c:pt>
                <c:pt idx="1440">
                  <c:v>2.5962831757446736E-2</c:v>
                </c:pt>
                <c:pt idx="1441">
                  <c:v>2.5954690107132805E-2</c:v>
                </c:pt>
                <c:pt idx="1442">
                  <c:v>2.5946528974083449E-2</c:v>
                </c:pt>
                <c:pt idx="1443">
                  <c:v>2.5938348358778285E-2</c:v>
                </c:pt>
                <c:pt idx="1444">
                  <c:v>2.5930148261217312E-2</c:v>
                </c:pt>
                <c:pt idx="1445">
                  <c:v>2.5921928681160722E-2</c:v>
                </c:pt>
                <c:pt idx="1446">
                  <c:v>2.5913689618688451E-2</c:v>
                </c:pt>
                <c:pt idx="1447">
                  <c:v>2.5905431073880436E-2</c:v>
                </c:pt>
                <c:pt idx="1448">
                  <c:v>2.5897153046736676E-2</c:v>
                </c:pt>
                <c:pt idx="1449">
                  <c:v>2.5888856981781672E-2</c:v>
                </c:pt>
                <c:pt idx="1450">
                  <c:v>2.5880547946801613E-2</c:v>
                </c:pt>
                <c:pt idx="1451">
                  <c:v>2.5872226391676634E-2</c:v>
                </c:pt>
                <c:pt idx="1452">
                  <c:v>2.5863892316566606E-2</c:v>
                </c:pt>
                <c:pt idx="1453">
                  <c:v>2.5855545721231721E-2</c:v>
                </c:pt>
                <c:pt idx="1454">
                  <c:v>2.5847186606071659E-2</c:v>
                </c:pt>
                <c:pt idx="1455">
                  <c:v>2.5838814970686741E-2</c:v>
                </c:pt>
                <c:pt idx="1456">
                  <c:v>2.5830430815156902E-2</c:v>
                </c:pt>
                <c:pt idx="1457">
                  <c:v>2.5822034139642014E-2</c:v>
                </c:pt>
                <c:pt idx="1458">
                  <c:v>2.5813624944062141E-2</c:v>
                </c:pt>
                <c:pt idx="1459">
                  <c:v>2.5805203228417284E-2</c:v>
                </c:pt>
                <c:pt idx="1460">
                  <c:v>2.5796768992627506E-2</c:v>
                </c:pt>
                <c:pt idx="1461">
                  <c:v>2.5785974105723142E-2</c:v>
                </c:pt>
                <c:pt idx="1462">
                  <c:v>2.5776868848375045E-2</c:v>
                </c:pt>
                <c:pt idx="1463">
                  <c:v>2.5770179886350775E-2</c:v>
                </c:pt>
                <c:pt idx="1464">
                  <c:v>2.5761693781811701E-2</c:v>
                </c:pt>
                <c:pt idx="1465">
                  <c:v>2.5753195157127706E-2</c:v>
                </c:pt>
                <c:pt idx="1466">
                  <c:v>2.5744684012458663E-2</c:v>
                </c:pt>
                <c:pt idx="1467">
                  <c:v>2.5736160347564763E-2</c:v>
                </c:pt>
                <c:pt idx="1468">
                  <c:v>2.572762416276575E-2</c:v>
                </c:pt>
                <c:pt idx="1469">
                  <c:v>2.5719075457821816E-2</c:v>
                </c:pt>
                <c:pt idx="1470">
                  <c:v>2.5710514232892834E-2</c:v>
                </c:pt>
                <c:pt idx="1471">
                  <c:v>2.5701940487818931E-2</c:v>
                </c:pt>
                <c:pt idx="1472">
                  <c:v>2.5693354222680043E-2</c:v>
                </c:pt>
                <c:pt idx="1473">
                  <c:v>2.5684755437556106E-2</c:v>
                </c:pt>
                <c:pt idx="1474">
                  <c:v>2.5676144132367185E-2</c:v>
                </c:pt>
                <c:pt idx="1475">
                  <c:v>2.5667520307033342E-2</c:v>
                </c:pt>
                <c:pt idx="1476">
                  <c:v>2.5658883961714452E-2</c:v>
                </c:pt>
                <c:pt idx="1477">
                  <c:v>2.5648351632545641E-2</c:v>
                </c:pt>
                <c:pt idx="1478">
                  <c:v>2.5641573710881715E-2</c:v>
                </c:pt>
                <c:pt idx="1479">
                  <c:v>2.5633192248797343E-2</c:v>
                </c:pt>
                <c:pt idx="1480">
                  <c:v>2.5622971439878128E-2</c:v>
                </c:pt>
                <c:pt idx="1481">
                  <c:v>2.5614270705665021E-2</c:v>
                </c:pt>
                <c:pt idx="1482">
                  <c:v>2.5604886489087875E-2</c:v>
                </c:pt>
                <c:pt idx="1483">
                  <c:v>2.5596831677123788E-2</c:v>
                </c:pt>
                <c:pt idx="1484">
                  <c:v>2.5587412781833407E-2</c:v>
                </c:pt>
                <c:pt idx="1485">
                  <c:v>2.5579342568482488E-2</c:v>
                </c:pt>
                <c:pt idx="1486">
                  <c:v>2.5571423710393226E-2</c:v>
                </c:pt>
                <c:pt idx="1487">
                  <c:v>2.5561108310432346E-2</c:v>
                </c:pt>
                <c:pt idx="1488">
                  <c:v>2.5552315110504153E-2</c:v>
                </c:pt>
                <c:pt idx="1489">
                  <c:v>2.5543509389178709E-2</c:v>
                </c:pt>
                <c:pt idx="1490">
                  <c:v>2.5534691146509303E-2</c:v>
                </c:pt>
                <c:pt idx="1491">
                  <c:v>2.5525860382389354E-2</c:v>
                </c:pt>
                <c:pt idx="1492">
                  <c:v>2.5517017096952088E-2</c:v>
                </c:pt>
                <c:pt idx="1493">
                  <c:v>2.550816129006428E-2</c:v>
                </c:pt>
                <c:pt idx="1494">
                  <c:v>2.5499292961859155E-2</c:v>
                </c:pt>
                <c:pt idx="1495">
                  <c:v>2.5490412112256777E-2</c:v>
                </c:pt>
                <c:pt idx="1496">
                  <c:v>2.5481518741283793E-2</c:v>
                </c:pt>
                <c:pt idx="1497">
                  <c:v>2.5472612848940202E-2</c:v>
                </c:pt>
                <c:pt idx="1498">
                  <c:v>2.5463694435199358E-2</c:v>
                </c:pt>
                <c:pt idx="1499">
                  <c:v>2.5454763500141198E-2</c:v>
                </c:pt>
                <c:pt idx="1500">
                  <c:v>2.544582004371243E-2</c:v>
                </c:pt>
                <c:pt idx="1501">
                  <c:v>2.5436864065886411E-2</c:v>
                </c:pt>
                <c:pt idx="1502">
                  <c:v>2.542789556676972E-2</c:v>
                </c:pt>
                <c:pt idx="1503">
                  <c:v>2.5418914546255778E-2</c:v>
                </c:pt>
                <c:pt idx="1504">
                  <c:v>2.5409921004424518E-2</c:v>
                </c:pt>
                <c:pt idx="1505">
                  <c:v>2.5400914941196007E-2</c:v>
                </c:pt>
                <c:pt idx="1506">
                  <c:v>2.5391896356650179E-2</c:v>
                </c:pt>
                <c:pt idx="1507">
                  <c:v>2.5382865250787034E-2</c:v>
                </c:pt>
                <c:pt idx="1508">
                  <c:v>2.5373821623553283E-2</c:v>
                </c:pt>
                <c:pt idx="1509">
                  <c:v>2.536476547497557E-2</c:v>
                </c:pt>
                <c:pt idx="1510">
                  <c:v>2.5355696805107186E-2</c:v>
                </c:pt>
                <c:pt idx="1511">
                  <c:v>2.5346615613868195E-2</c:v>
                </c:pt>
                <c:pt idx="1512">
                  <c:v>2.5337521901365179E-2</c:v>
                </c:pt>
                <c:pt idx="1513">
                  <c:v>2.531929691227397E-2</c:v>
                </c:pt>
                <c:pt idx="1514">
                  <c:v>2.5312300859496872E-2</c:v>
                </c:pt>
                <c:pt idx="1515">
                  <c:v>2.5305775603641223E-2</c:v>
                </c:pt>
                <c:pt idx="1516">
                  <c:v>2.5301021837940141E-2</c:v>
                </c:pt>
                <c:pt idx="1517">
                  <c:v>2.5291865518823897E-2</c:v>
                </c:pt>
                <c:pt idx="1518">
                  <c:v>2.5282696678363692E-2</c:v>
                </c:pt>
                <c:pt idx="1519">
                  <c:v>2.5273515316612816E-2</c:v>
                </c:pt>
                <c:pt idx="1520">
                  <c:v>2.5264321433544623E-2</c:v>
                </c:pt>
                <c:pt idx="1521">
                  <c:v>2.525511502918576E-2</c:v>
                </c:pt>
                <c:pt idx="1522">
                  <c:v>2.5245896103536225E-2</c:v>
                </c:pt>
                <c:pt idx="1523">
                  <c:v>2.5236664656569374E-2</c:v>
                </c:pt>
                <c:pt idx="1524">
                  <c:v>2.5227420688338498E-2</c:v>
                </c:pt>
                <c:pt idx="1525">
                  <c:v>2.5218164198790305E-2</c:v>
                </c:pt>
                <c:pt idx="1526">
                  <c:v>2.5208895187978086E-2</c:v>
                </c:pt>
                <c:pt idx="1527">
                  <c:v>2.519386892563702E-2</c:v>
                </c:pt>
                <c:pt idx="1528">
                  <c:v>2.5185899876376538E-2</c:v>
                </c:pt>
                <c:pt idx="1529">
                  <c:v>2.5176591026525585E-2</c:v>
                </c:pt>
                <c:pt idx="1530">
                  <c:v>2.5167269656689584E-2</c:v>
                </c:pt>
                <c:pt idx="1531">
                  <c:v>2.5156601331906003E-2</c:v>
                </c:pt>
                <c:pt idx="1532">
                  <c:v>2.5148589356902562E-2</c:v>
                </c:pt>
                <c:pt idx="1533">
                  <c:v>2.5137892415010299E-2</c:v>
                </c:pt>
                <c:pt idx="1534">
                  <c:v>2.512851917666481E-2</c:v>
                </c:pt>
                <c:pt idx="1535">
                  <c:v>2.5120475007334164E-2</c:v>
                </c:pt>
                <c:pt idx="1536">
                  <c:v>2.5111078517427998E-2</c:v>
                </c:pt>
                <c:pt idx="1537">
                  <c:v>2.510166950761672E-2</c:v>
                </c:pt>
                <c:pt idx="1538">
                  <c:v>2.5090901022792877E-2</c:v>
                </c:pt>
                <c:pt idx="1539">
                  <c:v>2.5082813927799208E-2</c:v>
                </c:pt>
                <c:pt idx="1540">
                  <c:v>2.5073367358032783E-2</c:v>
                </c:pt>
                <c:pt idx="1541">
                  <c:v>2.5063908268121438E-2</c:v>
                </c:pt>
                <c:pt idx="1542">
                  <c:v>2.5054436658304979E-2</c:v>
                </c:pt>
                <c:pt idx="1543">
                  <c:v>2.5044952528423536E-2</c:v>
                </c:pt>
                <c:pt idx="1544">
                  <c:v>2.5035455878557045E-2</c:v>
                </c:pt>
                <c:pt idx="1545">
                  <c:v>2.502594670878544E-2</c:v>
                </c:pt>
                <c:pt idx="1546">
                  <c:v>2.5016425018948851E-2</c:v>
                </c:pt>
                <c:pt idx="1547">
                  <c:v>2.500689080920715E-2</c:v>
                </c:pt>
                <c:pt idx="1548">
                  <c:v>2.4997344079320527E-2</c:v>
                </c:pt>
                <c:pt idx="1549">
                  <c:v>2.4987784829608728E-2</c:v>
                </c:pt>
                <c:pt idx="1550">
                  <c:v>2.4978213059831944E-2</c:v>
                </c:pt>
                <c:pt idx="1551">
                  <c:v>2.4968628770150048E-2</c:v>
                </c:pt>
                <c:pt idx="1552">
                  <c:v>2.4959031960403166E-2</c:v>
                </c:pt>
                <c:pt idx="1553">
                  <c:v>2.4949422630671236E-2</c:v>
                </c:pt>
                <c:pt idx="1554">
                  <c:v>2.4939800780954258E-2</c:v>
                </c:pt>
                <c:pt idx="1555">
                  <c:v>2.493016641125223E-2</c:v>
                </c:pt>
                <c:pt idx="1556">
                  <c:v>2.4920519521725026E-2</c:v>
                </c:pt>
                <c:pt idx="1557">
                  <c:v>2.4910860112052902E-2</c:v>
                </c:pt>
                <c:pt idx="1558">
                  <c:v>2.4901188182475664E-2</c:v>
                </c:pt>
                <c:pt idx="1559">
                  <c:v>2.4891503732833442E-2</c:v>
                </c:pt>
                <c:pt idx="1560">
                  <c:v>2.4881806763286107E-2</c:v>
                </c:pt>
                <c:pt idx="1561">
                  <c:v>2.4872097273753724E-2</c:v>
                </c:pt>
                <c:pt idx="1562">
                  <c:v>2.4862375264236292E-2</c:v>
                </c:pt>
                <c:pt idx="1563">
                  <c:v>2.4852640734733811E-2</c:v>
                </c:pt>
                <c:pt idx="1564">
                  <c:v>2.4842893685406153E-2</c:v>
                </c:pt>
                <c:pt idx="1565">
                  <c:v>2.483097606358875E-2</c:v>
                </c:pt>
                <c:pt idx="1566">
                  <c:v>2.4819170155545578E-2</c:v>
                </c:pt>
                <c:pt idx="1567">
                  <c:v>2.4812178593736078E-2</c:v>
                </c:pt>
                <c:pt idx="1568">
                  <c:v>2.4803780287845356E-2</c:v>
                </c:pt>
                <c:pt idx="1569">
                  <c:v>2.4793970638592455E-2</c:v>
                </c:pt>
                <c:pt idx="1570">
                  <c:v>2.4784148469354506E-2</c:v>
                </c:pt>
                <c:pt idx="1571">
                  <c:v>2.4774313780051571E-2</c:v>
                </c:pt>
                <c:pt idx="1572">
                  <c:v>2.476446657092346E-2</c:v>
                </c:pt>
                <c:pt idx="1573">
                  <c:v>2.4754606841730364E-2</c:v>
                </c:pt>
                <c:pt idx="1574">
                  <c:v>2.4744734592712092E-2</c:v>
                </c:pt>
                <c:pt idx="1575">
                  <c:v>2.4734849823548899E-2</c:v>
                </c:pt>
                <c:pt idx="1576">
                  <c:v>2.4724952534560529E-2</c:v>
                </c:pt>
                <c:pt idx="1577">
                  <c:v>2.4715042725507175E-2</c:v>
                </c:pt>
                <c:pt idx="1578">
                  <c:v>2.4705120396628644E-2</c:v>
                </c:pt>
                <c:pt idx="1579">
                  <c:v>2.4695185547765064E-2</c:v>
                </c:pt>
                <c:pt idx="1580">
                  <c:v>2.4685238178836499E-2</c:v>
                </c:pt>
                <c:pt idx="1581">
                  <c:v>2.4675278290082758E-2</c:v>
                </c:pt>
                <c:pt idx="1582">
                  <c:v>2.4662454322115224E-2</c:v>
                </c:pt>
                <c:pt idx="1583">
                  <c:v>2.465532095262013E-2</c:v>
                </c:pt>
                <c:pt idx="1584">
                  <c:v>2.4645323503911243E-2</c:v>
                </c:pt>
                <c:pt idx="1585">
                  <c:v>2.4635313535377179E-2</c:v>
                </c:pt>
                <c:pt idx="1586">
                  <c:v>2.4625291046778131E-2</c:v>
                </c:pt>
                <c:pt idx="1587">
                  <c:v>2.4615256038273969E-2</c:v>
                </c:pt>
                <c:pt idx="1588">
                  <c:v>2.4603772126612355E-2</c:v>
                </c:pt>
                <c:pt idx="1589">
                  <c:v>2.4593710289568804E-2</c:v>
                </c:pt>
                <c:pt idx="1590">
                  <c:v>2.4585075893091002E-2</c:v>
                </c:pt>
                <c:pt idx="1591">
                  <c:v>2.45735490558463E-2</c:v>
                </c:pt>
                <c:pt idx="1592">
                  <c:v>2.4564893196536985E-2</c:v>
                </c:pt>
                <c:pt idx="1593">
                  <c:v>2.4554783068442276E-2</c:v>
                </c:pt>
                <c:pt idx="1594">
                  <c:v>2.4544660420362518E-2</c:v>
                </c:pt>
                <c:pt idx="1595">
                  <c:v>2.4534525252297712E-2</c:v>
                </c:pt>
                <c:pt idx="1596">
                  <c:v>2.4524377564247857E-2</c:v>
                </c:pt>
                <c:pt idx="1597">
                  <c:v>2.4514217356372825E-2</c:v>
                </c:pt>
                <c:pt idx="1598">
                  <c:v>2.4504044628432808E-2</c:v>
                </c:pt>
                <c:pt idx="1599">
                  <c:v>2.4493859380667615E-2</c:v>
                </c:pt>
                <c:pt idx="1600">
                  <c:v>2.4483661612997309E-2</c:v>
                </c:pt>
                <c:pt idx="1601">
                  <c:v>2.4473451325262019E-2</c:v>
                </c:pt>
                <c:pt idx="1602">
                  <c:v>2.4463228517701552E-2</c:v>
                </c:pt>
                <c:pt idx="1603">
                  <c:v>2.4452993190156036E-2</c:v>
                </c:pt>
                <c:pt idx="1604">
                  <c:v>2.4442745342705408E-2</c:v>
                </c:pt>
                <c:pt idx="1605">
                  <c:v>2.4432484975349666E-2</c:v>
                </c:pt>
                <c:pt idx="1606">
                  <c:v>2.4422212088008877E-2</c:v>
                </c:pt>
                <c:pt idx="1607">
                  <c:v>2.441192668084291E-2</c:v>
                </c:pt>
                <c:pt idx="1608">
                  <c:v>2.4401628753611959E-2</c:v>
                </c:pt>
                <c:pt idx="1609">
                  <c:v>2.4391318306555831E-2</c:v>
                </c:pt>
                <c:pt idx="1610">
                  <c:v>2.4380995339594591E-2</c:v>
                </c:pt>
                <c:pt idx="1611">
                  <c:v>2.4370659852568366E-2</c:v>
                </c:pt>
                <c:pt idx="1612">
                  <c:v>2.43603118457969E-2</c:v>
                </c:pt>
                <c:pt idx="1613">
                  <c:v>2.4349951319040386E-2</c:v>
                </c:pt>
                <c:pt idx="1614">
                  <c:v>2.4339578272298823E-2</c:v>
                </c:pt>
                <c:pt idx="1615">
                  <c:v>2.4329192705652147E-2</c:v>
                </c:pt>
                <c:pt idx="1616">
                  <c:v>2.4318794619100359E-2</c:v>
                </c:pt>
                <c:pt idx="1617">
                  <c:v>2.4306895761281311E-2</c:v>
                </c:pt>
                <c:pt idx="1618">
                  <c:v>2.4296470846270068E-2</c:v>
                </c:pt>
                <c:pt idx="1619">
                  <c:v>2.428603341143365E-2</c:v>
                </c:pt>
                <c:pt idx="1620">
                  <c:v>2.4277077073922015E-2</c:v>
                </c:pt>
                <c:pt idx="1621">
                  <c:v>2.42666163879246E-2</c:v>
                </c:pt>
                <c:pt idx="1622">
                  <c:v>2.42561431818622E-2</c:v>
                </c:pt>
                <c:pt idx="1623">
                  <c:v>2.4245657455974623E-2</c:v>
                </c:pt>
                <c:pt idx="1624">
                  <c:v>2.4235159210101997E-2</c:v>
                </c:pt>
                <c:pt idx="1625">
                  <c:v>2.4224648444404195E-2</c:v>
                </c:pt>
                <c:pt idx="1626">
                  <c:v>2.4214125158721345E-2</c:v>
                </c:pt>
                <c:pt idx="1627">
                  <c:v>2.4203589353213317E-2</c:v>
                </c:pt>
                <c:pt idx="1628">
                  <c:v>2.4193041027720241E-2</c:v>
                </c:pt>
                <c:pt idx="1629">
                  <c:v>2.4182480182401989E-2</c:v>
                </c:pt>
                <c:pt idx="1630">
                  <c:v>2.4171906817178623E-2</c:v>
                </c:pt>
                <c:pt idx="1631">
                  <c:v>2.4161320932050145E-2</c:v>
                </c:pt>
                <c:pt idx="1632">
                  <c:v>2.4147692111657904E-2</c:v>
                </c:pt>
                <c:pt idx="1633">
                  <c:v>2.4140111602077852E-2</c:v>
                </c:pt>
                <c:pt idx="1634">
                  <c:v>2.4129488157234036E-2</c:v>
                </c:pt>
                <c:pt idx="1635">
                  <c:v>2.4118852192405171E-2</c:v>
                </c:pt>
                <c:pt idx="1636">
                  <c:v>2.4108203707911002E-2</c:v>
                </c:pt>
                <c:pt idx="1637">
                  <c:v>2.4097542703351849E-2</c:v>
                </c:pt>
                <c:pt idx="1638">
                  <c:v>2.4085343367730161E-2</c:v>
                </c:pt>
                <c:pt idx="1639">
                  <c:v>2.4074655534871425E-2</c:v>
                </c:pt>
                <c:pt idx="1640">
                  <c:v>2.4065484570403584E-2</c:v>
                </c:pt>
                <c:pt idx="1641">
                  <c:v>2.4054773486303915E-2</c:v>
                </c:pt>
                <c:pt idx="1642">
                  <c:v>2.404404988237907E-2</c:v>
                </c:pt>
                <c:pt idx="1643">
                  <c:v>2.4031779004545228E-2</c:v>
                </c:pt>
                <c:pt idx="1644">
                  <c:v>2.4022565114734107E-2</c:v>
                </c:pt>
                <c:pt idx="1645">
                  <c:v>2.4011803951093924E-2</c:v>
                </c:pt>
                <c:pt idx="1646">
                  <c:v>2.4001030267628565E-2</c:v>
                </c:pt>
                <c:pt idx="1647">
                  <c:v>2.3990244064178157E-2</c:v>
                </c:pt>
                <c:pt idx="1648">
                  <c:v>2.3979445340902572E-2</c:v>
                </c:pt>
                <c:pt idx="1649">
                  <c:v>2.3968634097721875E-2</c:v>
                </c:pt>
                <c:pt idx="1650">
                  <c:v>2.3957810334795937E-2</c:v>
                </c:pt>
                <c:pt idx="1651">
                  <c:v>2.3946974051884951E-2</c:v>
                </c:pt>
                <c:pt idx="1652">
                  <c:v>2.3936125248988915E-2</c:v>
                </c:pt>
                <c:pt idx="1653">
                  <c:v>2.392526392634764E-2</c:v>
                </c:pt>
                <c:pt idx="1654">
                  <c:v>2.3914390083801251E-2</c:v>
                </c:pt>
                <c:pt idx="1655">
                  <c:v>2.390350372134975E-2</c:v>
                </c:pt>
                <c:pt idx="1656">
                  <c:v>2.3892604839073073E-2</c:v>
                </c:pt>
                <c:pt idx="1657">
                  <c:v>2.3881693436971219E-2</c:v>
                </c:pt>
                <c:pt idx="1658">
                  <c:v>2.3870769514884316E-2</c:v>
                </c:pt>
                <c:pt idx="1659">
                  <c:v>2.3859833072972236E-2</c:v>
                </c:pt>
                <c:pt idx="1660">
                  <c:v>2.384888411123498E-2</c:v>
                </c:pt>
                <c:pt idx="1661">
                  <c:v>2.3837922629672548E-2</c:v>
                </c:pt>
                <c:pt idx="1662">
                  <c:v>2.382694862804513E-2</c:v>
                </c:pt>
                <c:pt idx="1663">
                  <c:v>2.3815962106752409E-2</c:v>
                </c:pt>
                <c:pt idx="1664">
                  <c:v>2.3804963065554574E-2</c:v>
                </c:pt>
                <c:pt idx="1665">
                  <c:v>2.3793951504371691E-2</c:v>
                </c:pt>
                <c:pt idx="1666">
                  <c:v>2.3782927423523503E-2</c:v>
                </c:pt>
                <c:pt idx="1667">
                  <c:v>2.3771890822690267E-2</c:v>
                </c:pt>
                <c:pt idx="1668">
                  <c:v>2.3760841702031854E-2</c:v>
                </c:pt>
                <c:pt idx="1669">
                  <c:v>2.3748198805142451E-2</c:v>
                </c:pt>
                <c:pt idx="1670">
                  <c:v>2.3738705901079626E-2</c:v>
                </c:pt>
                <c:pt idx="1671">
                  <c:v>2.3726034387321349E-2</c:v>
                </c:pt>
                <c:pt idx="1672">
                  <c:v>2.3716520020746756E-2</c:v>
                </c:pt>
                <c:pt idx="1673">
                  <c:v>2.3705408300802588E-2</c:v>
                </c:pt>
                <c:pt idx="1674">
                  <c:v>2.369428406111318E-2</c:v>
                </c:pt>
                <c:pt idx="1675">
                  <c:v>2.3683147301358787E-2</c:v>
                </c:pt>
                <c:pt idx="1676">
                  <c:v>2.3671998021859153E-2</c:v>
                </c:pt>
                <c:pt idx="1677">
                  <c:v>2.3660836222534343E-2</c:v>
                </c:pt>
                <c:pt idx="1678">
                  <c:v>2.3649661903384356E-2</c:v>
                </c:pt>
                <c:pt idx="1679">
                  <c:v>2.3638475064409192E-2</c:v>
                </c:pt>
                <c:pt idx="1680">
                  <c:v>2.362727570544898E-2</c:v>
                </c:pt>
                <c:pt idx="1681">
                  <c:v>2.3616063826663591E-2</c:v>
                </c:pt>
                <c:pt idx="1682">
                  <c:v>2.3604839428212898E-2</c:v>
                </c:pt>
                <c:pt idx="1683">
                  <c:v>2.3590389662109246E-2</c:v>
                </c:pt>
                <c:pt idx="1684">
                  <c:v>2.3582353071516238E-2</c:v>
                </c:pt>
                <c:pt idx="1685">
                  <c:v>2.3571091113430143E-2</c:v>
                </c:pt>
                <c:pt idx="1686">
                  <c:v>2.3559816635518871E-2</c:v>
                </c:pt>
                <c:pt idx="1687">
                  <c:v>2.3548493044893704E-2</c:v>
                </c:pt>
                <c:pt idx="1688">
                  <c:v>2.3535614881318168E-2</c:v>
                </c:pt>
                <c:pt idx="1689">
                  <c:v>2.3522683772494446E-2</c:v>
                </c:pt>
                <c:pt idx="1690">
                  <c:v>2.3511355638143883E-2</c:v>
                </c:pt>
                <c:pt idx="1691">
                  <c:v>2.350163584389442E-2</c:v>
                </c:pt>
                <c:pt idx="1692">
                  <c:v>2.3490284458462796E-2</c:v>
                </c:pt>
                <c:pt idx="1693">
                  <c:v>2.3478920553126059E-2</c:v>
                </c:pt>
                <c:pt idx="1694">
                  <c:v>2.3467544127964146E-2</c:v>
                </c:pt>
                <c:pt idx="1695">
                  <c:v>2.3454527168933481E-2</c:v>
                </c:pt>
                <c:pt idx="1696">
                  <c:v>2.3444753718244726E-2</c:v>
                </c:pt>
                <c:pt idx="1697">
                  <c:v>2.343333973368722E-2</c:v>
                </c:pt>
                <c:pt idx="1698">
                  <c:v>2.34219132292246E-2</c:v>
                </c:pt>
                <c:pt idx="1699">
                  <c:v>2.3410474204936804E-2</c:v>
                </c:pt>
                <c:pt idx="1700">
                  <c:v>2.3399022660903768E-2</c:v>
                </c:pt>
                <c:pt idx="1701">
                  <c:v>2.3387558597045555E-2</c:v>
                </c:pt>
                <c:pt idx="1702">
                  <c:v>2.3376082013282229E-2</c:v>
                </c:pt>
                <c:pt idx="1703">
                  <c:v>2.3364592909773663E-2</c:v>
                </c:pt>
                <c:pt idx="1704">
                  <c:v>2.335309128643992E-2</c:v>
                </c:pt>
                <c:pt idx="1705">
                  <c:v>2.3341577143281E-2</c:v>
                </c:pt>
                <c:pt idx="1706">
                  <c:v>2.3330050480296904E-2</c:v>
                </c:pt>
                <c:pt idx="1707">
                  <c:v>2.3318511297487632E-2</c:v>
                </c:pt>
                <c:pt idx="1708">
                  <c:v>2.3306959594933119E-2</c:v>
                </c:pt>
                <c:pt idx="1709">
                  <c:v>2.3295407161763038E-2</c:v>
                </c:pt>
                <c:pt idx="1710">
                  <c:v>2.3283895357533169E-2</c:v>
                </c:pt>
                <c:pt idx="1711">
                  <c:v>2.3272427854266198E-2</c:v>
                </c:pt>
                <c:pt idx="1712">
                  <c:v>2.3261004651642381E-2</c:v>
                </c:pt>
                <c:pt idx="1713">
                  <c:v>2.3249625750061398E-2</c:v>
                </c:pt>
                <c:pt idx="1714">
                  <c:v>2.3238291149123569E-2</c:v>
                </c:pt>
                <c:pt idx="1715">
                  <c:v>2.3227000849228574E-2</c:v>
                </c:pt>
                <c:pt idx="1716">
                  <c:v>2.3215754850136605E-2</c:v>
                </c:pt>
                <c:pt idx="1717">
                  <c:v>2.3204553151847662E-2</c:v>
                </c:pt>
                <c:pt idx="1718">
                  <c:v>2.3193395754521617E-2</c:v>
                </c:pt>
                <c:pt idx="1719">
                  <c:v>2.3182282658078535E-2</c:v>
                </c:pt>
                <c:pt idx="1720">
                  <c:v>2.3171213862278606E-2</c:v>
                </c:pt>
                <c:pt idx="1721">
                  <c:v>2.3155320896711018E-2</c:v>
                </c:pt>
                <c:pt idx="1722">
                  <c:v>2.3144442767923934E-2</c:v>
                </c:pt>
                <c:pt idx="1723">
                  <c:v>2.3136714626170729E-2</c:v>
                </c:pt>
                <c:pt idx="1724">
                  <c:v>2.3125829362520278E-2</c:v>
                </c:pt>
                <c:pt idx="1725">
                  <c:v>2.3114988399672853E-2</c:v>
                </c:pt>
                <c:pt idx="1726">
                  <c:v>2.3104191737548518E-2</c:v>
                </c:pt>
                <c:pt idx="1727">
                  <c:v>2.3093439376307145E-2</c:v>
                </c:pt>
                <c:pt idx="1728">
                  <c:v>2.3082731315868799E-2</c:v>
                </c:pt>
                <c:pt idx="1729">
                  <c:v>2.3072067556233478E-2</c:v>
                </c:pt>
                <c:pt idx="1730">
                  <c:v>2.3061448097321247E-2</c:v>
                </c:pt>
                <c:pt idx="1731">
                  <c:v>2.3050872939291978E-2</c:v>
                </c:pt>
                <c:pt idx="1732">
                  <c:v>2.3040342082065735E-2</c:v>
                </c:pt>
                <c:pt idx="1733">
                  <c:v>2.3029855525642517E-2</c:v>
                </c:pt>
                <c:pt idx="1734">
                  <c:v>2.301941326994239E-2</c:v>
                </c:pt>
                <c:pt idx="1735">
                  <c:v>2.3009015315045289E-2</c:v>
                </c:pt>
                <c:pt idx="1736">
                  <c:v>2.2998661660951214E-2</c:v>
                </c:pt>
                <c:pt idx="1737">
                  <c:v>2.2988352307580229E-2</c:v>
                </c:pt>
                <c:pt idx="1738">
                  <c:v>2.297516792676646E-2</c:v>
                </c:pt>
                <c:pt idx="1739">
                  <c:v>2.2966410012159599E-2</c:v>
                </c:pt>
                <c:pt idx="1740">
                  <c:v>2.2957690052045621E-2</c:v>
                </c:pt>
                <c:pt idx="1741">
                  <c:v>2.2947557901806803E-2</c:v>
                </c:pt>
                <c:pt idx="1742">
                  <c:v>2.2937470052291076E-2</c:v>
                </c:pt>
                <c:pt idx="1743">
                  <c:v>2.2927440962652312E-2</c:v>
                </c:pt>
                <c:pt idx="1744">
                  <c:v>2.2916002407749048E-2</c:v>
                </c:pt>
                <c:pt idx="1745">
                  <c:v>2.2904676899857535E-2</c:v>
                </c:pt>
                <c:pt idx="1746">
                  <c:v>2.2896217441863431E-2</c:v>
                </c:pt>
                <c:pt idx="1747">
                  <c:v>2.2884935368940873E-2</c:v>
                </c:pt>
                <c:pt idx="1748">
                  <c:v>2.287513106383976E-2</c:v>
                </c:pt>
                <c:pt idx="1749">
                  <c:v>2.2865371065590168E-2</c:v>
                </c:pt>
                <c:pt idx="1750">
                  <c:v>2.2855655374192096E-2</c:v>
                </c:pt>
                <c:pt idx="1751">
                  <c:v>2.2845983989725482E-2</c:v>
                </c:pt>
                <c:pt idx="1752">
                  <c:v>2.2836356912083744E-2</c:v>
                </c:pt>
                <c:pt idx="1753">
                  <c:v>2.2826774141320172E-2</c:v>
                </c:pt>
                <c:pt idx="1754">
                  <c:v>2.2817235677328185E-2</c:v>
                </c:pt>
                <c:pt idx="1755">
                  <c:v>2.2807741520214364E-2</c:v>
                </c:pt>
                <c:pt idx="1756">
                  <c:v>2.2798291669872128E-2</c:v>
                </c:pt>
                <c:pt idx="1757">
                  <c:v>2.2788886126354768E-2</c:v>
                </c:pt>
                <c:pt idx="1758">
                  <c:v>2.2779524889635638E-2</c:v>
                </c:pt>
                <c:pt idx="1759">
                  <c:v>2.2770207959634803E-2</c:v>
                </c:pt>
                <c:pt idx="1760">
                  <c:v>2.2760935336458843E-2</c:v>
                </c:pt>
                <c:pt idx="1761">
                  <c:v>2.2751707020054468E-2</c:v>
                </c:pt>
                <c:pt idx="1762">
                  <c:v>2.2742523010395033E-2</c:v>
                </c:pt>
                <c:pt idx="1763">
                  <c:v>2.2733383307453892E-2</c:v>
                </c:pt>
                <c:pt idx="1764">
                  <c:v>2.272428791125769E-2</c:v>
                </c:pt>
                <c:pt idx="1765">
                  <c:v>2.2715236821779783E-2</c:v>
                </c:pt>
                <c:pt idx="1766">
                  <c:v>2.2706230038993525E-2</c:v>
                </c:pt>
                <c:pt idx="1767">
                  <c:v>2.2697267562978851E-2</c:v>
                </c:pt>
                <c:pt idx="1768">
                  <c:v>2.2688349393575891E-2</c:v>
                </c:pt>
                <c:pt idx="1769">
                  <c:v>2.2679475530864579E-2</c:v>
                </c:pt>
                <c:pt idx="1770">
                  <c:v>2.2670645974818271E-2</c:v>
                </c:pt>
                <c:pt idx="1771">
                  <c:v>2.2661860725490257E-2</c:v>
                </c:pt>
                <c:pt idx="1772">
                  <c:v>2.2653119782720665E-2</c:v>
                </c:pt>
                <c:pt idx="1773">
                  <c:v>2.2635866320541709E-2</c:v>
                </c:pt>
                <c:pt idx="1774">
                  <c:v>2.2629423716011843E-2</c:v>
                </c:pt>
                <c:pt idx="1775">
                  <c:v>2.2623289462666563E-2</c:v>
                </c:pt>
                <c:pt idx="1776">
                  <c:v>2.2614739479944745E-2</c:v>
                </c:pt>
                <c:pt idx="1777">
                  <c:v>2.2606233797786146E-2</c:v>
                </c:pt>
                <c:pt idx="1778">
                  <c:v>2.2597772416350637E-2</c:v>
                </c:pt>
                <c:pt idx="1779">
                  <c:v>2.2589355335478345E-2</c:v>
                </c:pt>
                <c:pt idx="1780">
                  <c:v>2.2580982555249207E-2</c:v>
                </c:pt>
                <c:pt idx="1781">
                  <c:v>2.2572654075663223E-2</c:v>
                </c:pt>
                <c:pt idx="1782">
                  <c:v>2.2564369896640457E-2</c:v>
                </c:pt>
                <c:pt idx="1783">
                  <c:v>2.2556130018180909E-2</c:v>
                </c:pt>
                <c:pt idx="1784">
                  <c:v>2.2547934440364514E-2</c:v>
                </c:pt>
                <c:pt idx="1785">
                  <c:v>2.2539783163191274E-2</c:v>
                </c:pt>
                <c:pt idx="1786">
                  <c:v>2.2531676186581251E-2</c:v>
                </c:pt>
                <c:pt idx="1787">
                  <c:v>2.2521318025692239E-2</c:v>
                </c:pt>
                <c:pt idx="1788">
                  <c:v>2.2515595135210731E-2</c:v>
                </c:pt>
                <c:pt idx="1789">
                  <c:v>2.2507621060370298E-2</c:v>
                </c:pt>
                <c:pt idx="1790">
                  <c:v>2.2499691286252954E-2</c:v>
                </c:pt>
                <c:pt idx="1791">
                  <c:v>2.2490682932749806E-2</c:v>
                </c:pt>
                <c:pt idx="1792">
                  <c:v>2.2483964639627985E-2</c:v>
                </c:pt>
                <c:pt idx="1793">
                  <c:v>2.2475057544566468E-2</c:v>
                </c:pt>
                <c:pt idx="1794">
                  <c:v>2.2467311301399562E-2</c:v>
                </c:pt>
                <c:pt idx="1795">
                  <c:v>2.2460706924034568E-2</c:v>
                </c:pt>
                <c:pt idx="1796">
                  <c:v>2.2453042953216595E-2</c:v>
                </c:pt>
                <c:pt idx="1797">
                  <c:v>2.2445423283121713E-2</c:v>
                </c:pt>
                <c:pt idx="1798">
                  <c:v>2.2436769334204243E-2</c:v>
                </c:pt>
                <c:pt idx="1799">
                  <c:v>2.2430316844541665E-2</c:v>
                </c:pt>
                <c:pt idx="1800">
                  <c:v>2.2422830076136435E-2</c:v>
                </c:pt>
                <c:pt idx="1801">
                  <c:v>2.2415387608214488E-2</c:v>
                </c:pt>
                <c:pt idx="1802">
                  <c:v>2.2407989440775822E-2</c:v>
                </c:pt>
                <c:pt idx="1803">
                  <c:v>2.2400635574060246E-2</c:v>
                </c:pt>
                <c:pt idx="1804">
                  <c:v>2.2393326007827952E-2</c:v>
                </c:pt>
                <c:pt idx="1805">
                  <c:v>2.2386060742158875E-2</c:v>
                </c:pt>
                <c:pt idx="1806">
                  <c:v>2.2378839776973081E-2</c:v>
                </c:pt>
                <c:pt idx="1807">
                  <c:v>2.2371663112350504E-2</c:v>
                </c:pt>
                <c:pt idx="1808">
                  <c:v>2.2364530748371081E-2</c:v>
                </c:pt>
                <c:pt idx="1809">
                  <c:v>2.235744268487494E-2</c:v>
                </c:pt>
                <c:pt idx="1810">
                  <c:v>2.2350398921942016E-2</c:v>
                </c:pt>
                <c:pt idx="1811">
                  <c:v>2.2343399459412439E-2</c:v>
                </c:pt>
                <c:pt idx="1812">
                  <c:v>2.2336444297446079E-2</c:v>
                </c:pt>
                <c:pt idx="1813">
                  <c:v>2.2329533436122873E-2</c:v>
                </c:pt>
                <c:pt idx="1814">
                  <c:v>2.2322666875203012E-2</c:v>
                </c:pt>
                <c:pt idx="1815">
                  <c:v>2.2315844614926306E-2</c:v>
                </c:pt>
                <c:pt idx="1816">
                  <c:v>2.2309066655132881E-2</c:v>
                </c:pt>
                <c:pt idx="1817">
                  <c:v>2.2302332995742802E-2</c:v>
                </c:pt>
                <c:pt idx="1818">
                  <c:v>2.2295643636915941E-2</c:v>
                </c:pt>
                <c:pt idx="1819">
                  <c:v>2.2288998578732233E-2</c:v>
                </c:pt>
                <c:pt idx="1820">
                  <c:v>2.2282397820871935E-2</c:v>
                </c:pt>
                <c:pt idx="1821">
                  <c:v>2.2275841363654791E-2</c:v>
                </c:pt>
                <c:pt idx="1822">
                  <c:v>2.2269329206920929E-2</c:v>
                </c:pt>
                <c:pt idx="1823">
                  <c:v>2.2262861350670349E-2</c:v>
                </c:pt>
                <c:pt idx="1824">
                  <c:v>2.225643779490305E-2</c:v>
                </c:pt>
                <c:pt idx="1825">
                  <c:v>2.2243960067411805E-2</c:v>
                </c:pt>
                <c:pt idx="1826">
                  <c:v>2.2241022165649937E-2</c:v>
                </c:pt>
                <c:pt idx="1827">
                  <c:v>2.2236537882065477E-2</c:v>
                </c:pt>
                <c:pt idx="1828">
                  <c:v>2.2230297856928871E-2</c:v>
                </c:pt>
                <c:pt idx="1829">
                  <c:v>2.2224102132275547E-2</c:v>
                </c:pt>
                <c:pt idx="1830">
                  <c:v>2.2217950708185441E-2</c:v>
                </c:pt>
                <c:pt idx="1831">
                  <c:v>2.2211843584498681E-2</c:v>
                </c:pt>
                <c:pt idx="1832">
                  <c:v>2.2205780761295202E-2</c:v>
                </c:pt>
                <c:pt idx="1833">
                  <c:v>2.2199762238575005E-2</c:v>
                </c:pt>
                <c:pt idx="1834">
                  <c:v>2.2193788016258154E-2</c:v>
                </c:pt>
                <c:pt idx="1835">
                  <c:v>2.218785809450452E-2</c:v>
                </c:pt>
                <c:pt idx="1836">
                  <c:v>2.2181972473234168E-2</c:v>
                </c:pt>
                <c:pt idx="1837">
                  <c:v>2.2176131152447098E-2</c:v>
                </c:pt>
                <c:pt idx="1838">
                  <c:v>2.2168685977330682E-2</c:v>
                </c:pt>
                <c:pt idx="1839">
                  <c:v>2.2164581412242867E-2</c:v>
                </c:pt>
                <c:pt idx="1840">
                  <c:v>2.2158872992745771E-2</c:v>
                </c:pt>
                <c:pt idx="1841">
                  <c:v>2.2153208873811892E-2</c:v>
                </c:pt>
                <c:pt idx="1842">
                  <c:v>2.2147589055361294E-2</c:v>
                </c:pt>
                <c:pt idx="1843">
                  <c:v>2.2141505515729243E-2</c:v>
                </c:pt>
                <c:pt idx="1844">
                  <c:v>2.21356957620511E-2</c:v>
                </c:pt>
                <c:pt idx="1845">
                  <c:v>2.2130215173588041E-2</c:v>
                </c:pt>
                <c:pt idx="1846">
                  <c:v>2.212555278583217E-2</c:v>
                </c:pt>
                <c:pt idx="1847">
                  <c:v>2.2120154469558173E-2</c:v>
                </c:pt>
                <c:pt idx="1848">
                  <c:v>2.2114800453847394E-2</c:v>
                </c:pt>
                <c:pt idx="1849">
                  <c:v>2.2109490738539961E-2</c:v>
                </c:pt>
                <c:pt idx="1850">
                  <c:v>2.2103476737802552E-2</c:v>
                </c:pt>
                <c:pt idx="1851">
                  <c:v>2.2099004209135131E-2</c:v>
                </c:pt>
                <c:pt idx="1852">
                  <c:v>2.2093827395117671E-2</c:v>
                </c:pt>
                <c:pt idx="1853">
                  <c:v>2.2088694881583493E-2</c:v>
                </c:pt>
                <c:pt idx="1854">
                  <c:v>2.2083606668372724E-2</c:v>
                </c:pt>
                <c:pt idx="1855">
                  <c:v>2.2078562755645237E-2</c:v>
                </c:pt>
                <c:pt idx="1856">
                  <c:v>2.2073563143480968E-2</c:v>
                </c:pt>
                <c:pt idx="1857">
                  <c:v>2.2068607831560172E-2</c:v>
                </c:pt>
                <c:pt idx="1858">
                  <c:v>2.2063696820202594E-2</c:v>
                </c:pt>
                <c:pt idx="1859">
                  <c:v>2.2058830109168426E-2</c:v>
                </c:pt>
                <c:pt idx="1860">
                  <c:v>2.2054007698617539E-2</c:v>
                </c:pt>
                <c:pt idx="1861">
                  <c:v>2.2049229588549935E-2</c:v>
                </c:pt>
                <c:pt idx="1862">
                  <c:v>2.2044495778885675E-2</c:v>
                </c:pt>
                <c:pt idx="1863">
                  <c:v>2.203980626946489E-2</c:v>
                </c:pt>
                <c:pt idx="1864">
                  <c:v>2.2035161060607322E-2</c:v>
                </c:pt>
                <c:pt idx="1865">
                  <c:v>2.20305601521531E-2</c:v>
                </c:pt>
                <c:pt idx="1866">
                  <c:v>2.2026003544022288E-2</c:v>
                </c:pt>
                <c:pt idx="1867">
                  <c:v>2.2021491236454693E-2</c:v>
                </c:pt>
                <c:pt idx="1868">
                  <c:v>2.2017023229290444E-2</c:v>
                </c:pt>
                <c:pt idx="1869">
                  <c:v>2.2012599522369669E-2</c:v>
                </c:pt>
                <c:pt idx="1870">
                  <c:v>2.2008220116012112E-2</c:v>
                </c:pt>
                <c:pt idx="1871">
                  <c:v>2.20038850100579E-2</c:v>
                </c:pt>
                <c:pt idx="1872">
                  <c:v>2.1999594204347162E-2</c:v>
                </c:pt>
                <c:pt idx="1873">
                  <c:v>2.1995347699199641E-2</c:v>
                </c:pt>
                <c:pt idx="1874">
                  <c:v>2.1991145494455466E-2</c:v>
                </c:pt>
                <c:pt idx="1875">
                  <c:v>2.1986987589954765E-2</c:v>
                </c:pt>
                <c:pt idx="1876">
                  <c:v>2.1982873986017282E-2</c:v>
                </c:pt>
                <c:pt idx="1877">
                  <c:v>2.1975351967409296E-2</c:v>
                </c:pt>
                <c:pt idx="1878">
                  <c:v>2.1973840981432957E-2</c:v>
                </c:pt>
                <c:pt idx="1879">
                  <c:v>2.1970233920942661E-2</c:v>
                </c:pt>
                <c:pt idx="1880">
                  <c:v>2.1966303847156254E-2</c:v>
                </c:pt>
                <c:pt idx="1881">
                  <c:v>2.1962418073773193E-2</c:v>
                </c:pt>
                <c:pt idx="1882">
                  <c:v>2.1958576600713542E-2</c:v>
                </c:pt>
                <c:pt idx="1883">
                  <c:v>2.1954779428137172E-2</c:v>
                </c:pt>
                <c:pt idx="1884">
                  <c:v>2.1951026555884212E-2</c:v>
                </c:pt>
                <c:pt idx="1885">
                  <c:v>2.1947317984034598E-2</c:v>
                </c:pt>
                <c:pt idx="1886">
                  <c:v>2.1943653712588329E-2</c:v>
                </c:pt>
                <c:pt idx="1887">
                  <c:v>2.194003374146547E-2</c:v>
                </c:pt>
                <c:pt idx="1888">
                  <c:v>2.1936458070745957E-2</c:v>
                </c:pt>
                <c:pt idx="1889">
                  <c:v>2.1932926700429789E-2</c:v>
                </c:pt>
                <c:pt idx="1890">
                  <c:v>2.1929439630516967E-2</c:v>
                </c:pt>
                <c:pt idx="1891">
                  <c:v>2.1925996861007491E-2</c:v>
                </c:pt>
                <c:pt idx="1892">
                  <c:v>2.1922598391821424E-2</c:v>
                </c:pt>
                <c:pt idx="1893">
                  <c:v>2.1919155030865056E-2</c:v>
                </c:pt>
                <c:pt idx="1894">
                  <c:v>2.1915934354499456E-2</c:v>
                </c:pt>
                <c:pt idx="1895">
                  <c:v>2.191266878644349E-2</c:v>
                </c:pt>
                <c:pt idx="1896">
                  <c:v>2.190944751879087E-2</c:v>
                </c:pt>
                <c:pt idx="1897">
                  <c:v>2.190627055146166E-2</c:v>
                </c:pt>
                <c:pt idx="1898">
                  <c:v>2.1903582233093744E-2</c:v>
                </c:pt>
                <c:pt idx="1899">
                  <c:v>2.1899611939000252E-2</c:v>
                </c:pt>
                <c:pt idx="1900">
                  <c:v>2.1897046470202852E-2</c:v>
                </c:pt>
                <c:pt idx="1901">
                  <c:v>2.1893580764160703E-2</c:v>
                </c:pt>
                <c:pt idx="1902">
                  <c:v>2.1892002630456986E-2</c:v>
                </c:pt>
                <c:pt idx="1903">
                  <c:v>2.1888235959881541E-2</c:v>
                </c:pt>
                <c:pt idx="1904">
                  <c:v>2.1885387734732475E-2</c:v>
                </c:pt>
                <c:pt idx="1905">
                  <c:v>2.1882583815369117E-2</c:v>
                </c:pt>
                <c:pt idx="1906">
                  <c:v>2.1879824201764819E-2</c:v>
                </c:pt>
                <c:pt idx="1907">
                  <c:v>2.1877108893919583E-2</c:v>
                </c:pt>
                <c:pt idx="1908">
                  <c:v>2.18744378918867E-2</c:v>
                </c:pt>
                <c:pt idx="1909">
                  <c:v>2.1871811195666169E-2</c:v>
                </c:pt>
                <c:pt idx="1910">
                  <c:v>2.1869228805204699E-2</c:v>
                </c:pt>
                <c:pt idx="1911">
                  <c:v>2.1866690720475646E-2</c:v>
                </c:pt>
                <c:pt idx="1912">
                  <c:v>2.1864196941558944E-2</c:v>
                </c:pt>
                <c:pt idx="1913">
                  <c:v>2.1861747468374659E-2</c:v>
                </c:pt>
                <c:pt idx="1914">
                  <c:v>2.1859342300976081E-2</c:v>
                </c:pt>
                <c:pt idx="1915">
                  <c:v>2.185698143936321E-2</c:v>
                </c:pt>
                <c:pt idx="1916">
                  <c:v>2.1854664883482755E-2</c:v>
                </c:pt>
                <c:pt idx="1917">
                  <c:v>2.1852392633334716E-2</c:v>
                </c:pt>
                <c:pt idx="1918">
                  <c:v>2.185016468899903E-2</c:v>
                </c:pt>
                <c:pt idx="1919">
                  <c:v>2.1847981050395759E-2</c:v>
                </c:pt>
                <c:pt idx="1920">
                  <c:v>2.1845841717524905E-2</c:v>
                </c:pt>
                <c:pt idx="1921">
                  <c:v>2.1843746690386467E-2</c:v>
                </c:pt>
                <c:pt idx="1922">
                  <c:v>2.1841695969033736E-2</c:v>
                </c:pt>
                <c:pt idx="1923">
                  <c:v>2.1839689553386776E-2</c:v>
                </c:pt>
                <c:pt idx="1924">
                  <c:v>2.1837727443498878E-2</c:v>
                </c:pt>
                <c:pt idx="1925">
                  <c:v>2.1835809639370041E-2</c:v>
                </c:pt>
                <c:pt idx="1926">
                  <c:v>2.1833936140920329E-2</c:v>
                </c:pt>
                <c:pt idx="1927">
                  <c:v>2.1832106948256325E-2</c:v>
                </c:pt>
                <c:pt idx="1928">
                  <c:v>2.183085838710852E-2</c:v>
                </c:pt>
                <c:pt idx="1929">
                  <c:v>2.1826768625698989E-2</c:v>
                </c:pt>
                <c:pt idx="1930">
                  <c:v>2.1824848342086867E-2</c:v>
                </c:pt>
                <c:pt idx="1931">
                  <c:v>2.1823446100883714E-2</c:v>
                </c:pt>
                <c:pt idx="1932">
                  <c:v>2.182185128900116E-2</c:v>
                </c:pt>
                <c:pt idx="1933">
                  <c:v>2.1820300777442014E-2</c:v>
                </c:pt>
                <c:pt idx="1934">
                  <c:v>2.1818794566206279E-2</c:v>
                </c:pt>
                <c:pt idx="1935">
                  <c:v>2.1817332655293953E-2</c:v>
                </c:pt>
                <c:pt idx="1936">
                  <c:v>2.1815915044705037E-2</c:v>
                </c:pt>
                <c:pt idx="1937">
                  <c:v>2.1814541734519466E-2</c:v>
                </c:pt>
                <c:pt idx="1938">
                  <c:v>2.1813212724577369E-2</c:v>
                </c:pt>
                <c:pt idx="1939">
                  <c:v>2.1811928015118554E-2</c:v>
                </c:pt>
                <c:pt idx="1940">
                  <c:v>2.1810687605823276E-2</c:v>
                </c:pt>
                <c:pt idx="1941">
                  <c:v>2.1809491496931344E-2</c:v>
                </c:pt>
                <c:pt idx="1942">
                  <c:v>2.1808339688362821E-2</c:v>
                </c:pt>
                <c:pt idx="1943">
                  <c:v>2.1806923886007468E-2</c:v>
                </c:pt>
                <c:pt idx="1944">
                  <c:v>2.1806168972275941E-2</c:v>
                </c:pt>
                <c:pt idx="1945">
                  <c:v>2.1805150064757584E-2</c:v>
                </c:pt>
                <c:pt idx="1946">
                  <c:v>2.180403984428203E-2</c:v>
                </c:pt>
                <c:pt idx="1947">
                  <c:v>2.1803245150611161E-2</c:v>
                </c:pt>
                <c:pt idx="1948">
                  <c:v>2.1802359144142969E-2</c:v>
                </c:pt>
                <c:pt idx="1949">
                  <c:v>2.1801400810410598E-2</c:v>
                </c:pt>
                <c:pt idx="1950">
                  <c:v>2.1800609733206855E-2</c:v>
                </c:pt>
                <c:pt idx="1951">
                  <c:v>2.1799966926279168E-2</c:v>
                </c:pt>
                <c:pt idx="1952">
                  <c:v>2.1799258121024678E-2</c:v>
                </c:pt>
                <c:pt idx="1953">
                  <c:v>2.1798593616173534E-2</c:v>
                </c:pt>
                <c:pt idx="1954">
                  <c:v>2.1797888427226297E-2</c:v>
                </c:pt>
                <c:pt idx="1955">
                  <c:v>2.1797397507281602E-2</c:v>
                </c:pt>
                <c:pt idx="1956">
                  <c:v>2.179686590332075E-2</c:v>
                </c:pt>
                <c:pt idx="1957">
                  <c:v>2.1796378599763244E-2</c:v>
                </c:pt>
                <c:pt idx="1958">
                  <c:v>2.1795935596529148E-2</c:v>
                </c:pt>
                <c:pt idx="1959">
                  <c:v>2.1795536893618461E-2</c:v>
                </c:pt>
                <c:pt idx="1960">
                  <c:v>2.1795182490871312E-2</c:v>
                </c:pt>
                <c:pt idx="1961">
                  <c:v>2.1794872388607445E-2</c:v>
                </c:pt>
                <c:pt idx="1962">
                  <c:v>2.1794606586666987E-2</c:v>
                </c:pt>
                <c:pt idx="1963">
                  <c:v>2.1794385084970003E-2</c:v>
                </c:pt>
                <c:pt idx="1964">
                  <c:v>2.1794207883676364E-2</c:v>
                </c:pt>
                <c:pt idx="1965">
                  <c:v>2.1794074982706135E-2</c:v>
                </c:pt>
                <c:pt idx="1966">
                  <c:v>2.1793986382139252E-2</c:v>
                </c:pt>
                <c:pt idx="1967">
                  <c:v>2.1793942081735906E-2</c:v>
                </c:pt>
                <c:pt idx="1968">
                  <c:v>2.1793936506595557E-2</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6993536"/>
        <c:axId val="596995456"/>
      </c:lineChart>
      <c:dateAx>
        <c:axId val="596993536"/>
        <c:scaling>
          <c:orientation val="minMax"/>
          <c:max val="42915"/>
          <c:min val="42185"/>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96995456"/>
        <c:crosses val="autoZero"/>
        <c:auto val="1"/>
        <c:lblOffset val="100"/>
        <c:baseTimeUnit val="days"/>
        <c:majorUnit val="3"/>
        <c:majorTimeUnit val="months"/>
      </c:dateAx>
      <c:valAx>
        <c:axId val="596995456"/>
        <c:scaling>
          <c:orientation val="minMax"/>
          <c:max val="3.0000000000000001E-3"/>
          <c:min val="-4.0000000000000001E-3"/>
        </c:scaling>
        <c:delete val="0"/>
        <c:axPos val="l"/>
        <c:majorGridlines/>
        <c:numFmt formatCode="0.00%" sourceLinked="0"/>
        <c:majorTickMark val="out"/>
        <c:minorTickMark val="none"/>
        <c:tickLblPos val="nextTo"/>
        <c:crossAx val="59699353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76200</xdr:rowOff>
        </xdr:from>
        <xdr:to>
          <xdr:col>10</xdr:col>
          <xdr:colOff>238125</xdr:colOff>
          <xdr:row>37</xdr:row>
          <xdr:rowOff>66675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57150</xdr:rowOff>
        </xdr:from>
        <xdr:to>
          <xdr:col>10</xdr:col>
          <xdr:colOff>238125</xdr:colOff>
          <xdr:row>29</xdr:row>
          <xdr:rowOff>47625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85725</xdr:rowOff>
        </xdr:from>
        <xdr:to>
          <xdr:col>10</xdr:col>
          <xdr:colOff>238125</xdr:colOff>
          <xdr:row>45</xdr:row>
          <xdr:rowOff>76200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30</xdr:row>
          <xdr:rowOff>19050</xdr:rowOff>
        </xdr:from>
        <xdr:to>
          <xdr:col>10</xdr:col>
          <xdr:colOff>238125</xdr:colOff>
          <xdr:row>32</xdr:row>
          <xdr:rowOff>9525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123825</xdr:rowOff>
        </xdr:from>
        <xdr:to>
          <xdr:col>10</xdr:col>
          <xdr:colOff>238125</xdr:colOff>
          <xdr:row>34</xdr:row>
          <xdr:rowOff>114300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38</xdr:row>
          <xdr:rowOff>19050</xdr:rowOff>
        </xdr:from>
        <xdr:to>
          <xdr:col>10</xdr:col>
          <xdr:colOff>238125</xdr:colOff>
          <xdr:row>40</xdr:row>
          <xdr:rowOff>9525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114300</xdr:rowOff>
        </xdr:from>
        <xdr:to>
          <xdr:col>10</xdr:col>
          <xdr:colOff>238125</xdr:colOff>
          <xdr:row>42</xdr:row>
          <xdr:rowOff>104775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7">
          <cell r="J7" t="str">
            <v>SEK1M#0000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28"/>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5" width="22" style="69" bestFit="1" customWidth="1"/>
    <col min="6" max="9" width="2.7109375" style="69" customWidth="1"/>
    <col min="10" max="10" width="18.5703125" style="69" bestFit="1" customWidth="1"/>
    <col min="11" max="11" width="53.7109375" style="69" bestFit="1" customWidth="1"/>
    <col min="12" max="12" width="2.7109375" style="69" customWidth="1"/>
    <col min="13" max="16384" width="8" style="69"/>
  </cols>
  <sheetData>
    <row r="1" spans="2:12" ht="12" thickBot="1" x14ac:dyDescent="0.25">
      <c r="B1" s="69" t="str">
        <f>_xll.qlxlVersion(TRUE,Trigger)</f>
        <v>QuantLibXL 1.7.0 - MS VC++ (version unknown) - Multithreaded Dynamic Runtime library - Release Configuration - Sep 24 2015 16:08:28</v>
      </c>
    </row>
    <row r="2" spans="2:12" ht="18.75" thickBot="1" x14ac:dyDescent="0.3">
      <c r="B2" s="241" t="s">
        <v>52</v>
      </c>
      <c r="C2" s="242"/>
      <c r="D2" s="242"/>
      <c r="E2" s="242"/>
      <c r="F2" s="243"/>
      <c r="I2" s="241" t="s">
        <v>66</v>
      </c>
      <c r="J2" s="242"/>
      <c r="K2" s="242"/>
      <c r="L2" s="244"/>
    </row>
    <row r="3" spans="2:12" x14ac:dyDescent="0.2">
      <c r="B3" s="25"/>
      <c r="C3" s="49"/>
      <c r="D3" s="23"/>
      <c r="E3" s="23"/>
      <c r="F3" s="22"/>
      <c r="I3" s="65"/>
      <c r="J3" s="68"/>
      <c r="K3" s="68"/>
      <c r="L3" s="67"/>
    </row>
    <row r="4" spans="2:12" x14ac:dyDescent="0.2">
      <c r="B4" s="25"/>
      <c r="C4" s="48" t="s">
        <v>51</v>
      </c>
      <c r="D4" s="36" t="s">
        <v>112</v>
      </c>
      <c r="E4" s="23"/>
      <c r="F4" s="22"/>
      <c r="I4" s="65"/>
      <c r="J4" s="64" t="s">
        <v>65</v>
      </c>
      <c r="K4" s="58" t="b">
        <v>0</v>
      </c>
      <c r="L4" s="63"/>
    </row>
    <row r="5" spans="2:12" x14ac:dyDescent="0.2">
      <c r="B5" s="25"/>
      <c r="C5" s="47" t="s">
        <v>50</v>
      </c>
      <c r="D5" s="26">
        <v>1</v>
      </c>
      <c r="E5" s="23"/>
      <c r="F5" s="22"/>
      <c r="I5" s="65"/>
      <c r="J5" s="64" t="s">
        <v>64</v>
      </c>
      <c r="K5" s="66"/>
      <c r="L5" s="63"/>
    </row>
    <row r="6" spans="2:12" x14ac:dyDescent="0.2">
      <c r="B6" s="25"/>
      <c r="C6" s="47" t="s">
        <v>49</v>
      </c>
      <c r="D6" s="26" t="str">
        <f>_xll.qlPeriodEquivalent(D5&amp;"M")</f>
        <v>1M</v>
      </c>
      <c r="E6" s="23"/>
      <c r="F6" s="22"/>
      <c r="I6" s="65"/>
      <c r="J6" s="64" t="s">
        <v>63</v>
      </c>
      <c r="K6" s="55" t="b">
        <v>1</v>
      </c>
      <c r="L6" s="63"/>
    </row>
    <row r="7" spans="2:12" ht="12" thickBot="1" x14ac:dyDescent="0.25">
      <c r="B7" s="25"/>
      <c r="C7" s="47" t="s">
        <v>48</v>
      </c>
      <c r="D7" s="26" t="str">
        <f>Months&amp;IF(UPPER(Currency)="EUR","E","L")</f>
        <v>1L</v>
      </c>
      <c r="E7" s="23"/>
      <c r="F7" s="22"/>
      <c r="I7" s="62"/>
      <c r="J7" s="61"/>
      <c r="K7" s="61"/>
      <c r="L7" s="60"/>
    </row>
    <row r="8" spans="2:12" ht="12" thickBot="1" x14ac:dyDescent="0.25">
      <c r="B8" s="25"/>
      <c r="C8" s="47" t="s">
        <v>47</v>
      </c>
      <c r="D8" s="26" t="s">
        <v>102</v>
      </c>
      <c r="E8" s="23"/>
      <c r="F8" s="22"/>
      <c r="I8" s="70"/>
      <c r="J8" s="70"/>
      <c r="K8" s="70"/>
      <c r="L8" s="70"/>
    </row>
    <row r="9" spans="2:12" ht="18.75" thickBot="1" x14ac:dyDescent="0.3">
      <c r="B9" s="25"/>
      <c r="C9" s="47" t="s">
        <v>46</v>
      </c>
      <c r="D9" s="26" t="str">
        <f>Currency&amp;"_YC"&amp;IndexTenor&amp;"RH"</f>
        <v>SEK_YC1MRH</v>
      </c>
      <c r="E9" s="23"/>
      <c r="F9" s="22"/>
      <c r="I9" s="241" t="s">
        <v>62</v>
      </c>
      <c r="J9" s="242"/>
      <c r="K9" s="242"/>
      <c r="L9" s="244"/>
    </row>
    <row r="10" spans="2:12" ht="12.75" x14ac:dyDescent="0.2">
      <c r="B10" s="25"/>
      <c r="C10" s="46" t="s">
        <v>45</v>
      </c>
      <c r="D10" s="26" t="b">
        <v>1</v>
      </c>
      <c r="E10" s="23"/>
      <c r="F10" s="22"/>
      <c r="I10" s="57"/>
      <c r="J10" s="59"/>
      <c r="K10" s="59"/>
      <c r="L10" s="54"/>
    </row>
    <row r="11" spans="2:12" ht="12.75" x14ac:dyDescent="0.2">
      <c r="B11" s="25"/>
      <c r="C11" s="46" t="s">
        <v>44</v>
      </c>
      <c r="D11" s="45">
        <v>42272.606261574074</v>
      </c>
      <c r="E11" s="23"/>
      <c r="F11" s="22"/>
      <c r="I11" s="57"/>
      <c r="J11" s="56" t="s">
        <v>61</v>
      </c>
      <c r="K11" s="58" t="s">
        <v>114</v>
      </c>
      <c r="L11" s="54"/>
    </row>
    <row r="12" spans="2:12" ht="12.75" x14ac:dyDescent="0.2">
      <c r="B12" s="25"/>
      <c r="C12" s="44" t="s">
        <v>43</v>
      </c>
      <c r="D12" s="43" t="b">
        <v>1</v>
      </c>
      <c r="E12" s="23"/>
      <c r="F12" s="22"/>
      <c r="I12" s="57"/>
      <c r="J12" s="56" t="s">
        <v>60</v>
      </c>
      <c r="K12" s="55" t="s">
        <v>59</v>
      </c>
      <c r="L12" s="54"/>
    </row>
    <row r="13" spans="2:12" ht="12.75" x14ac:dyDescent="0.2">
      <c r="B13" s="25"/>
      <c r="C13" s="30"/>
      <c r="D13" s="30"/>
      <c r="E13" s="23"/>
      <c r="F13" s="22"/>
      <c r="I13" s="57"/>
      <c r="J13" s="56" t="s">
        <v>77</v>
      </c>
      <c r="K13" s="58" t="s">
        <v>76</v>
      </c>
      <c r="L13" s="54"/>
    </row>
    <row r="14" spans="2:12" ht="12.75" x14ac:dyDescent="0.2">
      <c r="B14" s="25"/>
      <c r="C14" s="40" t="s">
        <v>42</v>
      </c>
      <c r="D14" s="42" t="str">
        <f>_xll.qlPiecewiseYieldCurve(D16,NDays,Calendar,_xll.ohPack(Selected!D2:D126),DayCounter,,,Accuracy,TraitsID,InterpolatorID,Permanent,,ObjectOverwrite)</f>
        <v>_SEKYC1M#0001</v>
      </c>
      <c r="E14" s="23"/>
      <c r="F14" s="22"/>
      <c r="I14" s="57"/>
      <c r="J14" s="56" t="s">
        <v>75</v>
      </c>
      <c r="K14" s="58" t="s">
        <v>115</v>
      </c>
      <c r="L14" s="54"/>
    </row>
    <row r="15" spans="2:12" ht="12.75" x14ac:dyDescent="0.2">
      <c r="B15" s="25"/>
      <c r="C15" s="32" t="s">
        <v>24</v>
      </c>
      <c r="D15" s="41" t="str">
        <f>_xll.ohRangeRetrieveError(YieldCurve)</f>
        <v/>
      </c>
      <c r="E15" s="23"/>
      <c r="F15" s="22"/>
      <c r="I15" s="57"/>
      <c r="J15" s="56" t="s">
        <v>74</v>
      </c>
      <c r="K15" s="58" t="str">
        <f>PROPER(Currency)&amp;"ON"</f>
        <v>SekON</v>
      </c>
      <c r="L15" s="54"/>
    </row>
    <row r="16" spans="2:12" ht="13.5" thickBot="1" x14ac:dyDescent="0.25">
      <c r="B16" s="25"/>
      <c r="C16" s="40" t="s">
        <v>41</v>
      </c>
      <c r="D16" s="39" t="str">
        <f>"_"&amp;Currency&amp;"YC"&amp;IndexTenor</f>
        <v>_SEKYC1M</v>
      </c>
      <c r="E16" s="23"/>
      <c r="F16" s="22"/>
      <c r="I16" s="53"/>
      <c r="J16" s="52"/>
      <c r="K16" s="52"/>
      <c r="L16" s="51"/>
    </row>
    <row r="17" spans="2:6" x14ac:dyDescent="0.2">
      <c r="B17" s="25"/>
      <c r="C17" s="34" t="s">
        <v>40</v>
      </c>
      <c r="D17" s="38">
        <v>2</v>
      </c>
      <c r="E17" s="23"/>
      <c r="F17" s="22"/>
    </row>
    <row r="18" spans="2:6" x14ac:dyDescent="0.2">
      <c r="B18" s="25"/>
      <c r="C18" s="34" t="s">
        <v>39</v>
      </c>
      <c r="D18" s="38" t="s">
        <v>113</v>
      </c>
      <c r="E18" s="23"/>
      <c r="F18" s="22"/>
    </row>
    <row r="19" spans="2:6" x14ac:dyDescent="0.2">
      <c r="B19" s="25"/>
      <c r="C19" s="34" t="s">
        <v>38</v>
      </c>
      <c r="D19" s="37"/>
      <c r="E19" s="23"/>
      <c r="F19" s="22"/>
    </row>
    <row r="20" spans="2:6" x14ac:dyDescent="0.2">
      <c r="B20" s="25"/>
      <c r="C20" s="34" t="s">
        <v>37</v>
      </c>
      <c r="D20" s="35" t="e">
        <f>NA()</f>
        <v>#N/A</v>
      </c>
      <c r="E20" s="23"/>
      <c r="F20" s="22"/>
    </row>
    <row r="21" spans="2:6" x14ac:dyDescent="0.2">
      <c r="B21" s="25"/>
      <c r="C21" s="34" t="s">
        <v>36</v>
      </c>
      <c r="D21" s="33" t="s">
        <v>35</v>
      </c>
      <c r="E21" s="23"/>
      <c r="F21" s="22"/>
    </row>
    <row r="22" spans="2:6" x14ac:dyDescent="0.2">
      <c r="B22" s="25"/>
      <c r="C22" s="32" t="s">
        <v>34</v>
      </c>
      <c r="D22" s="31" t="s">
        <v>33</v>
      </c>
      <c r="E22" s="23"/>
      <c r="F22" s="22"/>
    </row>
    <row r="23" spans="2:6" x14ac:dyDescent="0.2">
      <c r="B23" s="25"/>
      <c r="C23" s="30"/>
      <c r="D23" s="30"/>
      <c r="E23" s="23"/>
      <c r="F23" s="22"/>
    </row>
    <row r="24" spans="2:6" x14ac:dyDescent="0.2">
      <c r="B24" s="25"/>
      <c r="C24" s="29">
        <f>_xll.qlTermStructureReferenceDate(YieldCurve)</f>
        <v>42276</v>
      </c>
      <c r="D24" s="28">
        <f>MAX(_xll.ohPack(Selected!J1:J126))</f>
        <v>1.0051481899762555</v>
      </c>
      <c r="E24" s="23"/>
      <c r="F24" s="22"/>
    </row>
    <row r="25" spans="2:6" x14ac:dyDescent="0.2">
      <c r="B25" s="25"/>
      <c r="C25" s="27" t="e">
        <f ca="1">MAX(_xll.ohPack(Selected!I2:I126))</f>
        <v>#NAME?</v>
      </c>
      <c r="D25" s="26">
        <f>MIN(_xll.ohPack(Selected!J1:J126))</f>
        <v>0.52788391008130675</v>
      </c>
      <c r="E25" s="23"/>
      <c r="F25" s="22"/>
    </row>
    <row r="26" spans="2:6" x14ac:dyDescent="0.2">
      <c r="B26" s="25"/>
      <c r="C26" s="78" t="s">
        <v>24</v>
      </c>
      <c r="D26" s="79" t="str">
        <f>_xll.ohRangeRetrieveError(Selected!J1)</f>
        <v/>
      </c>
      <c r="E26" s="23"/>
      <c r="F26" s="22"/>
    </row>
    <row r="27" spans="2:6" ht="11.25" customHeight="1" x14ac:dyDescent="0.2">
      <c r="B27" s="25"/>
      <c r="C27" s="24" t="str">
        <f>[1]Stibor!$J$7</f>
        <v>SEK1M#0000</v>
      </c>
      <c r="D27" s="43" t="b">
        <f>_xll.qlRelinkableHandleLinkTo(C27,YieldCurve)</f>
        <v>1</v>
      </c>
      <c r="E27" s="23"/>
      <c r="F27" s="22"/>
    </row>
    <row r="28" spans="2:6" ht="12" thickBot="1" x14ac:dyDescent="0.25">
      <c r="B28" s="21"/>
      <c r="C28" s="20"/>
      <c r="D28" s="20"/>
      <c r="E28" s="20"/>
      <c r="F28" s="19"/>
    </row>
  </sheetData>
  <mergeCells count="3">
    <mergeCell ref="B2:F2"/>
    <mergeCell ref="I2:L2"/>
    <mergeCell ref="I9:L9"/>
  </mergeCells>
  <dataValidations count="10">
    <dataValidation type="list" allowBlank="1" showInputMessage="1" showErrorMessage="1" sqref="D22 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D65559 IX65558 ST65558 ACP65558 AML65558 AWH65558 BGD65558 BPZ65558 BZV65558 CJR65558 CTN65558 DDJ65558 DNF65558 DXB65558 EGX65558 EQT65558 FAP65558 FKL65558 FUH65558 GED65558 GNZ65558 GXV65558 HHR65558 HRN65558 IBJ65558 ILF65558 IVB65558 JEX65558 JOT65558 JYP65558 KIL65558 KSH65558 LCD65558 LLZ65558 LVV65558 MFR65558 MPN65558 MZJ65558 NJF65558 NTB65558 OCX65558 OMT65558 OWP65558 PGL65558 PQH65558 QAD65558 QJZ65558 QTV65558 RDR65558 RNN65558 RXJ65558 SHF65558 SRB65558 TAX65558 TKT65558 TUP65558 UEL65558 UOH65558 UYD65558 VHZ65558 VRV65558 WBR65558 WLN65558 WVJ65558 D131095 IX131094 ST131094 ACP131094 AML131094 AWH131094 BGD131094 BPZ131094 BZV131094 CJR131094 CTN131094 DDJ131094 DNF131094 DXB131094 EGX131094 EQT131094 FAP131094 FKL131094 FUH131094 GED131094 GNZ131094 GXV131094 HHR131094 HRN131094 IBJ131094 ILF131094 IVB131094 JEX131094 JOT131094 JYP131094 KIL131094 KSH131094 LCD131094 LLZ131094 LVV131094 MFR131094 MPN131094 MZJ131094 NJF131094 NTB131094 OCX131094 OMT131094 OWP131094 PGL131094 PQH131094 QAD131094 QJZ131094 QTV131094 RDR131094 RNN131094 RXJ131094 SHF131094 SRB131094 TAX131094 TKT131094 TUP131094 UEL131094 UOH131094 UYD131094 VHZ131094 VRV131094 WBR131094 WLN131094 WVJ131094 D196631 IX196630 ST196630 ACP196630 AML196630 AWH196630 BGD196630 BPZ196630 BZV196630 CJR196630 CTN196630 DDJ196630 DNF196630 DXB196630 EGX196630 EQT196630 FAP196630 FKL196630 FUH196630 GED196630 GNZ196630 GXV196630 HHR196630 HRN196630 IBJ196630 ILF196630 IVB196630 JEX196630 JOT196630 JYP196630 KIL196630 KSH196630 LCD196630 LLZ196630 LVV196630 MFR196630 MPN196630 MZJ196630 NJF196630 NTB196630 OCX196630 OMT196630 OWP196630 PGL196630 PQH196630 QAD196630 QJZ196630 QTV196630 RDR196630 RNN196630 RXJ196630 SHF196630 SRB196630 TAX196630 TKT196630 TUP196630 UEL196630 UOH196630 UYD196630 VHZ196630 VRV196630 WBR196630 WLN196630 WVJ196630 D262167 IX262166 ST262166 ACP262166 AML262166 AWH262166 BGD262166 BPZ262166 BZV262166 CJR262166 CTN262166 DDJ262166 DNF262166 DXB262166 EGX262166 EQT262166 FAP262166 FKL262166 FUH262166 GED262166 GNZ262166 GXV262166 HHR262166 HRN262166 IBJ262166 ILF262166 IVB262166 JEX262166 JOT262166 JYP262166 KIL262166 KSH262166 LCD262166 LLZ262166 LVV262166 MFR262166 MPN262166 MZJ262166 NJF262166 NTB262166 OCX262166 OMT262166 OWP262166 PGL262166 PQH262166 QAD262166 QJZ262166 QTV262166 RDR262166 RNN262166 RXJ262166 SHF262166 SRB262166 TAX262166 TKT262166 TUP262166 UEL262166 UOH262166 UYD262166 VHZ262166 VRV262166 WBR262166 WLN262166 WVJ262166 D327703 IX327702 ST327702 ACP327702 AML327702 AWH327702 BGD327702 BPZ327702 BZV327702 CJR327702 CTN327702 DDJ327702 DNF327702 DXB327702 EGX327702 EQT327702 FAP327702 FKL327702 FUH327702 GED327702 GNZ327702 GXV327702 HHR327702 HRN327702 IBJ327702 ILF327702 IVB327702 JEX327702 JOT327702 JYP327702 KIL327702 KSH327702 LCD327702 LLZ327702 LVV327702 MFR327702 MPN327702 MZJ327702 NJF327702 NTB327702 OCX327702 OMT327702 OWP327702 PGL327702 PQH327702 QAD327702 QJZ327702 QTV327702 RDR327702 RNN327702 RXJ327702 SHF327702 SRB327702 TAX327702 TKT327702 TUP327702 UEL327702 UOH327702 UYD327702 VHZ327702 VRV327702 WBR327702 WLN327702 WVJ327702 D393239 IX393238 ST393238 ACP393238 AML393238 AWH393238 BGD393238 BPZ393238 BZV393238 CJR393238 CTN393238 DDJ393238 DNF393238 DXB393238 EGX393238 EQT393238 FAP393238 FKL393238 FUH393238 GED393238 GNZ393238 GXV393238 HHR393238 HRN393238 IBJ393238 ILF393238 IVB393238 JEX393238 JOT393238 JYP393238 KIL393238 KSH393238 LCD393238 LLZ393238 LVV393238 MFR393238 MPN393238 MZJ393238 NJF393238 NTB393238 OCX393238 OMT393238 OWP393238 PGL393238 PQH393238 QAD393238 QJZ393238 QTV393238 RDR393238 RNN393238 RXJ393238 SHF393238 SRB393238 TAX393238 TKT393238 TUP393238 UEL393238 UOH393238 UYD393238 VHZ393238 VRV393238 WBR393238 WLN393238 WVJ393238 D458775 IX458774 ST458774 ACP458774 AML458774 AWH458774 BGD458774 BPZ458774 BZV458774 CJR458774 CTN458774 DDJ458774 DNF458774 DXB458774 EGX458774 EQT458774 FAP458774 FKL458774 FUH458774 GED458774 GNZ458774 GXV458774 HHR458774 HRN458774 IBJ458774 ILF458774 IVB458774 JEX458774 JOT458774 JYP458774 KIL458774 KSH458774 LCD458774 LLZ458774 LVV458774 MFR458774 MPN458774 MZJ458774 NJF458774 NTB458774 OCX458774 OMT458774 OWP458774 PGL458774 PQH458774 QAD458774 QJZ458774 QTV458774 RDR458774 RNN458774 RXJ458774 SHF458774 SRB458774 TAX458774 TKT458774 TUP458774 UEL458774 UOH458774 UYD458774 VHZ458774 VRV458774 WBR458774 WLN458774 WVJ458774 D524311 IX524310 ST524310 ACP524310 AML524310 AWH524310 BGD524310 BPZ524310 BZV524310 CJR524310 CTN524310 DDJ524310 DNF524310 DXB524310 EGX524310 EQT524310 FAP524310 FKL524310 FUH524310 GED524310 GNZ524310 GXV524310 HHR524310 HRN524310 IBJ524310 ILF524310 IVB524310 JEX524310 JOT524310 JYP524310 KIL524310 KSH524310 LCD524310 LLZ524310 LVV524310 MFR524310 MPN524310 MZJ524310 NJF524310 NTB524310 OCX524310 OMT524310 OWP524310 PGL524310 PQH524310 QAD524310 QJZ524310 QTV524310 RDR524310 RNN524310 RXJ524310 SHF524310 SRB524310 TAX524310 TKT524310 TUP524310 UEL524310 UOH524310 UYD524310 VHZ524310 VRV524310 WBR524310 WLN524310 WVJ524310 D589847 IX589846 ST589846 ACP589846 AML589846 AWH589846 BGD589846 BPZ589846 BZV589846 CJR589846 CTN589846 DDJ589846 DNF589846 DXB589846 EGX589846 EQT589846 FAP589846 FKL589846 FUH589846 GED589846 GNZ589846 GXV589846 HHR589846 HRN589846 IBJ589846 ILF589846 IVB589846 JEX589846 JOT589846 JYP589846 KIL589846 KSH589846 LCD589846 LLZ589846 LVV589846 MFR589846 MPN589846 MZJ589846 NJF589846 NTB589846 OCX589846 OMT589846 OWP589846 PGL589846 PQH589846 QAD589846 QJZ589846 QTV589846 RDR589846 RNN589846 RXJ589846 SHF589846 SRB589846 TAX589846 TKT589846 TUP589846 UEL589846 UOH589846 UYD589846 VHZ589846 VRV589846 WBR589846 WLN589846 WVJ589846 D655383 IX655382 ST655382 ACP655382 AML655382 AWH655382 BGD655382 BPZ655382 BZV655382 CJR655382 CTN655382 DDJ655382 DNF655382 DXB655382 EGX655382 EQT655382 FAP655382 FKL655382 FUH655382 GED655382 GNZ655382 GXV655382 HHR655382 HRN655382 IBJ655382 ILF655382 IVB655382 JEX655382 JOT655382 JYP655382 KIL655382 KSH655382 LCD655382 LLZ655382 LVV655382 MFR655382 MPN655382 MZJ655382 NJF655382 NTB655382 OCX655382 OMT655382 OWP655382 PGL655382 PQH655382 QAD655382 QJZ655382 QTV655382 RDR655382 RNN655382 RXJ655382 SHF655382 SRB655382 TAX655382 TKT655382 TUP655382 UEL655382 UOH655382 UYD655382 VHZ655382 VRV655382 WBR655382 WLN655382 WVJ655382 D720919 IX720918 ST720918 ACP720918 AML720918 AWH720918 BGD720918 BPZ720918 BZV720918 CJR720918 CTN720918 DDJ720918 DNF720918 DXB720918 EGX720918 EQT720918 FAP720918 FKL720918 FUH720918 GED720918 GNZ720918 GXV720918 HHR720918 HRN720918 IBJ720918 ILF720918 IVB720918 JEX720918 JOT720918 JYP720918 KIL720918 KSH720918 LCD720918 LLZ720918 LVV720918 MFR720918 MPN720918 MZJ720918 NJF720918 NTB720918 OCX720918 OMT720918 OWP720918 PGL720918 PQH720918 QAD720918 QJZ720918 QTV720918 RDR720918 RNN720918 RXJ720918 SHF720918 SRB720918 TAX720918 TKT720918 TUP720918 UEL720918 UOH720918 UYD720918 VHZ720918 VRV720918 WBR720918 WLN720918 WVJ720918 D786455 IX786454 ST786454 ACP786454 AML786454 AWH786454 BGD786454 BPZ786454 BZV786454 CJR786454 CTN786454 DDJ786454 DNF786454 DXB786454 EGX786454 EQT786454 FAP786454 FKL786454 FUH786454 GED786454 GNZ786454 GXV786454 HHR786454 HRN786454 IBJ786454 ILF786454 IVB786454 JEX786454 JOT786454 JYP786454 KIL786454 KSH786454 LCD786454 LLZ786454 LVV786454 MFR786454 MPN786454 MZJ786454 NJF786454 NTB786454 OCX786454 OMT786454 OWP786454 PGL786454 PQH786454 QAD786454 QJZ786454 QTV786454 RDR786454 RNN786454 RXJ786454 SHF786454 SRB786454 TAX786454 TKT786454 TUP786454 UEL786454 UOH786454 UYD786454 VHZ786454 VRV786454 WBR786454 WLN786454 WVJ786454 D851991 IX851990 ST851990 ACP851990 AML851990 AWH851990 BGD851990 BPZ851990 BZV851990 CJR851990 CTN851990 DDJ851990 DNF851990 DXB851990 EGX851990 EQT851990 FAP851990 FKL851990 FUH851990 GED851990 GNZ851990 GXV851990 HHR851990 HRN851990 IBJ851990 ILF851990 IVB851990 JEX851990 JOT851990 JYP851990 KIL851990 KSH851990 LCD851990 LLZ851990 LVV851990 MFR851990 MPN851990 MZJ851990 NJF851990 NTB851990 OCX851990 OMT851990 OWP851990 PGL851990 PQH851990 QAD851990 QJZ851990 QTV851990 RDR851990 RNN851990 RXJ851990 SHF851990 SRB851990 TAX851990 TKT851990 TUP851990 UEL851990 UOH851990 UYD851990 VHZ851990 VRV851990 WBR851990 WLN851990 WVJ851990 D917527 IX917526 ST917526 ACP917526 AML917526 AWH917526 BGD917526 BPZ917526 BZV917526 CJR917526 CTN917526 DDJ917526 DNF917526 DXB917526 EGX917526 EQT917526 FAP917526 FKL917526 FUH917526 GED917526 GNZ917526 GXV917526 HHR917526 HRN917526 IBJ917526 ILF917526 IVB917526 JEX917526 JOT917526 JYP917526 KIL917526 KSH917526 LCD917526 LLZ917526 LVV917526 MFR917526 MPN917526 MZJ917526 NJF917526 NTB917526 OCX917526 OMT917526 OWP917526 PGL917526 PQH917526 QAD917526 QJZ917526 QTV917526 RDR917526 RNN917526 RXJ917526 SHF917526 SRB917526 TAX917526 TKT917526 TUP917526 UEL917526 UOH917526 UYD917526 VHZ917526 VRV917526 WBR917526 WLN917526 WVJ917526 D983063 IX983062 ST983062 ACP983062 AML983062 AWH983062 BGD983062 BPZ983062 BZV983062 CJR983062 CTN983062 DDJ983062 DNF983062 DXB983062 EGX983062 EQT983062 FAP983062 FKL983062 FUH983062 GED983062 GNZ983062 GXV983062 HHR983062 HRN983062 IBJ983062 ILF983062 IVB983062 JEX983062 JOT983062 JYP983062 KIL983062 KSH983062 LCD983062 LLZ983062 LVV983062 MFR983062 MPN983062 MZJ983062 NJF983062 NTB983062 OCX983062 OMT983062 OWP983062 PGL983062 PQH983062 QAD983062 QJZ983062 QTV983062 RDR983062 RNN983062 RXJ983062 SHF983062 SRB983062 TAX983062 TKT983062 TUP983062 UEL983062 UOH983062 UYD983062 VHZ983062 VRV983062 WBR983062 WLN983062 WVJ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0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D131076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D196612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D262148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D327684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D393220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D458756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D524292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D589828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D655364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D720900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D786436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D851972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D917508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D983044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"1D,1W,1M,2M,3M,6M,1Y"</formula1>
    </dataValidation>
    <dataValidation type="list" allowBlank="1" showInputMessage="1" showErrorMessage="1" sqref="D21 IX21 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D65558 IX65557 ST65557 ACP65557 AML65557 AWH65557 BGD65557 BPZ65557 BZV65557 CJR65557 CTN65557 DDJ65557 DNF65557 DXB65557 EGX65557 EQT65557 FAP65557 FKL65557 FUH65557 GED65557 GNZ65557 GXV65557 HHR65557 HRN65557 IBJ65557 ILF65557 IVB65557 JEX65557 JOT65557 JYP65557 KIL65557 KSH65557 LCD65557 LLZ65557 LVV65557 MFR65557 MPN65557 MZJ65557 NJF65557 NTB65557 OCX65557 OMT65557 OWP65557 PGL65557 PQH65557 QAD65557 QJZ65557 QTV65557 RDR65557 RNN65557 RXJ65557 SHF65557 SRB65557 TAX65557 TKT65557 TUP65557 UEL65557 UOH65557 UYD65557 VHZ65557 VRV65557 WBR65557 WLN65557 WVJ65557 D131094 IX131093 ST131093 ACP131093 AML131093 AWH131093 BGD131093 BPZ131093 BZV131093 CJR131093 CTN131093 DDJ131093 DNF131093 DXB131093 EGX131093 EQT131093 FAP131093 FKL131093 FUH131093 GED131093 GNZ131093 GXV131093 HHR131093 HRN131093 IBJ131093 ILF131093 IVB131093 JEX131093 JOT131093 JYP131093 KIL131093 KSH131093 LCD131093 LLZ131093 LVV131093 MFR131093 MPN131093 MZJ131093 NJF131093 NTB131093 OCX131093 OMT131093 OWP131093 PGL131093 PQH131093 QAD131093 QJZ131093 QTV131093 RDR131093 RNN131093 RXJ131093 SHF131093 SRB131093 TAX131093 TKT131093 TUP131093 UEL131093 UOH131093 UYD131093 VHZ131093 VRV131093 WBR131093 WLN131093 WVJ131093 D196630 IX196629 ST196629 ACP196629 AML196629 AWH196629 BGD196629 BPZ196629 BZV196629 CJR196629 CTN196629 DDJ196629 DNF196629 DXB196629 EGX196629 EQT196629 FAP196629 FKL196629 FUH196629 GED196629 GNZ196629 GXV196629 HHR196629 HRN196629 IBJ196629 ILF196629 IVB196629 JEX196629 JOT196629 JYP196629 KIL196629 KSH196629 LCD196629 LLZ196629 LVV196629 MFR196629 MPN196629 MZJ196629 NJF196629 NTB196629 OCX196629 OMT196629 OWP196629 PGL196629 PQH196629 QAD196629 QJZ196629 QTV196629 RDR196629 RNN196629 RXJ196629 SHF196629 SRB196629 TAX196629 TKT196629 TUP196629 UEL196629 UOH196629 UYD196629 VHZ196629 VRV196629 WBR196629 WLN196629 WVJ196629 D262166 IX262165 ST262165 ACP262165 AML262165 AWH262165 BGD262165 BPZ262165 BZV262165 CJR262165 CTN262165 DDJ262165 DNF262165 DXB262165 EGX262165 EQT262165 FAP262165 FKL262165 FUH262165 GED262165 GNZ262165 GXV262165 HHR262165 HRN262165 IBJ262165 ILF262165 IVB262165 JEX262165 JOT262165 JYP262165 KIL262165 KSH262165 LCD262165 LLZ262165 LVV262165 MFR262165 MPN262165 MZJ262165 NJF262165 NTB262165 OCX262165 OMT262165 OWP262165 PGL262165 PQH262165 QAD262165 QJZ262165 QTV262165 RDR262165 RNN262165 RXJ262165 SHF262165 SRB262165 TAX262165 TKT262165 TUP262165 UEL262165 UOH262165 UYD262165 VHZ262165 VRV262165 WBR262165 WLN262165 WVJ262165 D327702 IX327701 ST327701 ACP327701 AML327701 AWH327701 BGD327701 BPZ327701 BZV327701 CJR327701 CTN327701 DDJ327701 DNF327701 DXB327701 EGX327701 EQT327701 FAP327701 FKL327701 FUH327701 GED327701 GNZ327701 GXV327701 HHR327701 HRN327701 IBJ327701 ILF327701 IVB327701 JEX327701 JOT327701 JYP327701 KIL327701 KSH327701 LCD327701 LLZ327701 LVV327701 MFR327701 MPN327701 MZJ327701 NJF327701 NTB327701 OCX327701 OMT327701 OWP327701 PGL327701 PQH327701 QAD327701 QJZ327701 QTV327701 RDR327701 RNN327701 RXJ327701 SHF327701 SRB327701 TAX327701 TKT327701 TUP327701 UEL327701 UOH327701 UYD327701 VHZ327701 VRV327701 WBR327701 WLN327701 WVJ327701 D393238 IX393237 ST393237 ACP393237 AML393237 AWH393237 BGD393237 BPZ393237 BZV393237 CJR393237 CTN393237 DDJ393237 DNF393237 DXB393237 EGX393237 EQT393237 FAP393237 FKL393237 FUH393237 GED393237 GNZ393237 GXV393237 HHR393237 HRN393237 IBJ393237 ILF393237 IVB393237 JEX393237 JOT393237 JYP393237 KIL393237 KSH393237 LCD393237 LLZ393237 LVV393237 MFR393237 MPN393237 MZJ393237 NJF393237 NTB393237 OCX393237 OMT393237 OWP393237 PGL393237 PQH393237 QAD393237 QJZ393237 QTV393237 RDR393237 RNN393237 RXJ393237 SHF393237 SRB393237 TAX393237 TKT393237 TUP393237 UEL393237 UOH393237 UYD393237 VHZ393237 VRV393237 WBR393237 WLN393237 WVJ393237 D458774 IX458773 ST458773 ACP458773 AML458773 AWH458773 BGD458773 BPZ458773 BZV458773 CJR458773 CTN458773 DDJ458773 DNF458773 DXB458773 EGX458773 EQT458773 FAP458773 FKL458773 FUH458773 GED458773 GNZ458773 GXV458773 HHR458773 HRN458773 IBJ458773 ILF458773 IVB458773 JEX458773 JOT458773 JYP458773 KIL458773 KSH458773 LCD458773 LLZ458773 LVV458773 MFR458773 MPN458773 MZJ458773 NJF458773 NTB458773 OCX458773 OMT458773 OWP458773 PGL458773 PQH458773 QAD458773 QJZ458773 QTV458773 RDR458773 RNN458773 RXJ458773 SHF458773 SRB458773 TAX458773 TKT458773 TUP458773 UEL458773 UOH458773 UYD458773 VHZ458773 VRV458773 WBR458773 WLN458773 WVJ458773 D524310 IX524309 ST524309 ACP524309 AML524309 AWH524309 BGD524309 BPZ524309 BZV524309 CJR524309 CTN524309 DDJ524309 DNF524309 DXB524309 EGX524309 EQT524309 FAP524309 FKL524309 FUH524309 GED524309 GNZ524309 GXV524309 HHR524309 HRN524309 IBJ524309 ILF524309 IVB524309 JEX524309 JOT524309 JYP524309 KIL524309 KSH524309 LCD524309 LLZ524309 LVV524309 MFR524309 MPN524309 MZJ524309 NJF524309 NTB524309 OCX524309 OMT524309 OWP524309 PGL524309 PQH524309 QAD524309 QJZ524309 QTV524309 RDR524309 RNN524309 RXJ524309 SHF524309 SRB524309 TAX524309 TKT524309 TUP524309 UEL524309 UOH524309 UYD524309 VHZ524309 VRV524309 WBR524309 WLN524309 WVJ524309 D589846 IX589845 ST589845 ACP589845 AML589845 AWH589845 BGD589845 BPZ589845 BZV589845 CJR589845 CTN589845 DDJ589845 DNF589845 DXB589845 EGX589845 EQT589845 FAP589845 FKL589845 FUH589845 GED589845 GNZ589845 GXV589845 HHR589845 HRN589845 IBJ589845 ILF589845 IVB589845 JEX589845 JOT589845 JYP589845 KIL589845 KSH589845 LCD589845 LLZ589845 LVV589845 MFR589845 MPN589845 MZJ589845 NJF589845 NTB589845 OCX589845 OMT589845 OWP589845 PGL589845 PQH589845 QAD589845 QJZ589845 QTV589845 RDR589845 RNN589845 RXJ589845 SHF589845 SRB589845 TAX589845 TKT589845 TUP589845 UEL589845 UOH589845 UYD589845 VHZ589845 VRV589845 WBR589845 WLN589845 WVJ589845 D655382 IX655381 ST655381 ACP655381 AML655381 AWH655381 BGD655381 BPZ655381 BZV655381 CJR655381 CTN655381 DDJ655381 DNF655381 DXB655381 EGX655381 EQT655381 FAP655381 FKL655381 FUH655381 GED655381 GNZ655381 GXV655381 HHR655381 HRN655381 IBJ655381 ILF655381 IVB655381 JEX655381 JOT655381 JYP655381 KIL655381 KSH655381 LCD655381 LLZ655381 LVV655381 MFR655381 MPN655381 MZJ655381 NJF655381 NTB655381 OCX655381 OMT655381 OWP655381 PGL655381 PQH655381 QAD655381 QJZ655381 QTV655381 RDR655381 RNN655381 RXJ655381 SHF655381 SRB655381 TAX655381 TKT655381 TUP655381 UEL655381 UOH655381 UYD655381 VHZ655381 VRV655381 WBR655381 WLN655381 WVJ655381 D720918 IX720917 ST720917 ACP720917 AML720917 AWH720917 BGD720917 BPZ720917 BZV720917 CJR720917 CTN720917 DDJ720917 DNF720917 DXB720917 EGX720917 EQT720917 FAP720917 FKL720917 FUH720917 GED720917 GNZ720917 GXV720917 HHR720917 HRN720917 IBJ720917 ILF720917 IVB720917 JEX720917 JOT720917 JYP720917 KIL720917 KSH720917 LCD720917 LLZ720917 LVV720917 MFR720917 MPN720917 MZJ720917 NJF720917 NTB720917 OCX720917 OMT720917 OWP720917 PGL720917 PQH720917 QAD720917 QJZ720917 QTV720917 RDR720917 RNN720917 RXJ720917 SHF720917 SRB720917 TAX720917 TKT720917 TUP720917 UEL720917 UOH720917 UYD720917 VHZ720917 VRV720917 WBR720917 WLN720917 WVJ720917 D786454 IX786453 ST786453 ACP786453 AML786453 AWH786453 BGD786453 BPZ786453 BZV786453 CJR786453 CTN786453 DDJ786453 DNF786453 DXB786453 EGX786453 EQT786453 FAP786453 FKL786453 FUH786453 GED786453 GNZ786453 GXV786453 HHR786453 HRN786453 IBJ786453 ILF786453 IVB786453 JEX786453 JOT786453 JYP786453 KIL786453 KSH786453 LCD786453 LLZ786453 LVV786453 MFR786453 MPN786453 MZJ786453 NJF786453 NTB786453 OCX786453 OMT786453 OWP786453 PGL786453 PQH786453 QAD786453 QJZ786453 QTV786453 RDR786453 RNN786453 RXJ786453 SHF786453 SRB786453 TAX786453 TKT786453 TUP786453 UEL786453 UOH786453 UYD786453 VHZ786453 VRV786453 WBR786453 WLN786453 WVJ786453 D851990 IX851989 ST851989 ACP851989 AML851989 AWH851989 BGD851989 BPZ851989 BZV851989 CJR851989 CTN851989 DDJ851989 DNF851989 DXB851989 EGX851989 EQT851989 FAP851989 FKL851989 FUH851989 GED851989 GNZ851989 GXV851989 HHR851989 HRN851989 IBJ851989 ILF851989 IVB851989 JEX851989 JOT851989 JYP851989 KIL851989 KSH851989 LCD851989 LLZ851989 LVV851989 MFR851989 MPN851989 MZJ851989 NJF851989 NTB851989 OCX851989 OMT851989 OWP851989 PGL851989 PQH851989 QAD851989 QJZ851989 QTV851989 RDR851989 RNN851989 RXJ851989 SHF851989 SRB851989 TAX851989 TKT851989 TUP851989 UEL851989 UOH851989 UYD851989 VHZ851989 VRV851989 WBR851989 WLN851989 WVJ851989 D917526 IX917525 ST917525 ACP917525 AML917525 AWH917525 BGD917525 BPZ917525 BZV917525 CJR917525 CTN917525 DDJ917525 DNF917525 DXB917525 EGX917525 EQT917525 FAP917525 FKL917525 FUH917525 GED917525 GNZ917525 GXV917525 HHR917525 HRN917525 IBJ917525 ILF917525 IVB917525 JEX917525 JOT917525 JYP917525 KIL917525 KSH917525 LCD917525 LLZ917525 LVV917525 MFR917525 MPN917525 MZJ917525 NJF917525 NTB917525 OCX917525 OMT917525 OWP917525 PGL917525 PQH917525 QAD917525 QJZ917525 QTV917525 RDR917525 RNN917525 RXJ917525 SHF917525 SRB917525 TAX917525 TKT917525 TUP917525 UEL917525 UOH917525 UYD917525 VHZ917525 VRV917525 WBR917525 WLN917525 WVJ917525 D983062 IX983061 ST983061 ACP983061 AML983061 AWH983061 BGD983061 BPZ983061 BZV983061 CJR983061 CTN983061 DDJ983061 DNF983061 DXB983061 EGX983061 EQT983061 FAP983061 FKL983061 FUH983061 GED983061 GNZ983061 GXV983061 HHR983061 HRN983061 IBJ983061 ILF983061 IVB983061 JEX983061 JOT983061 JYP983061 KIL983061 KSH983061 LCD983061 LLZ983061 LVV983061 MFR983061 MPN983061 MZJ983061 NJF983061 NTB983061 OCX983061 OMT983061 OWP983061 PGL983061 PQH983061 QAD983061 QJZ983061 QTV983061 RDR983061 RNN983061 RXJ983061 SHF983061 SRB983061 TAX983061 TKT983061 TUP983061 UEL983061 UOH983061 UYD983061 VHZ983061 VRV983061 WBR983061 WLN983061 WVJ983061">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3 IX65552 ST65552 ACP65552 AML65552 AWH65552 BGD65552 BPZ65552 BZV65552 CJR65552 CTN65552 DDJ65552 DNF65552 DXB65552 EGX65552 EQT65552 FAP65552 FKL65552 FUH65552 GED65552 GNZ65552 GXV65552 HHR65552 HRN65552 IBJ65552 ILF65552 IVB65552 JEX65552 JOT65552 JYP65552 KIL65552 KSH65552 LCD65552 LLZ65552 LVV65552 MFR65552 MPN65552 MZJ65552 NJF65552 NTB65552 OCX65552 OMT65552 OWP65552 PGL65552 PQH65552 QAD65552 QJZ65552 QTV65552 RDR65552 RNN65552 RXJ65552 SHF65552 SRB65552 TAX65552 TKT65552 TUP65552 UEL65552 UOH65552 UYD65552 VHZ65552 VRV65552 WBR65552 WLN65552 WVJ65552 D131089 IX131088 ST131088 ACP131088 AML131088 AWH131088 BGD131088 BPZ131088 BZV131088 CJR131088 CTN131088 DDJ131088 DNF131088 DXB131088 EGX131088 EQT131088 FAP131088 FKL131088 FUH131088 GED131088 GNZ131088 GXV131088 HHR131088 HRN131088 IBJ131088 ILF131088 IVB131088 JEX131088 JOT131088 JYP131088 KIL131088 KSH131088 LCD131088 LLZ131088 LVV131088 MFR131088 MPN131088 MZJ131088 NJF131088 NTB131088 OCX131088 OMT131088 OWP131088 PGL131088 PQH131088 QAD131088 QJZ131088 QTV131088 RDR131088 RNN131088 RXJ131088 SHF131088 SRB131088 TAX131088 TKT131088 TUP131088 UEL131088 UOH131088 UYD131088 VHZ131088 VRV131088 WBR131088 WLN131088 WVJ131088 D196625 IX196624 ST196624 ACP196624 AML196624 AWH196624 BGD196624 BPZ196624 BZV196624 CJR196624 CTN196624 DDJ196624 DNF196624 DXB196624 EGX196624 EQT196624 FAP196624 FKL196624 FUH196624 GED196624 GNZ196624 GXV196624 HHR196624 HRN196624 IBJ196624 ILF196624 IVB196624 JEX196624 JOT196624 JYP196624 KIL196624 KSH196624 LCD196624 LLZ196624 LVV196624 MFR196624 MPN196624 MZJ196624 NJF196624 NTB196624 OCX196624 OMT196624 OWP196624 PGL196624 PQH196624 QAD196624 QJZ196624 QTV196624 RDR196624 RNN196624 RXJ196624 SHF196624 SRB196624 TAX196624 TKT196624 TUP196624 UEL196624 UOH196624 UYD196624 VHZ196624 VRV196624 WBR196624 WLN196624 WVJ196624 D262161 IX262160 ST262160 ACP262160 AML262160 AWH262160 BGD262160 BPZ262160 BZV262160 CJR262160 CTN262160 DDJ262160 DNF262160 DXB262160 EGX262160 EQT262160 FAP262160 FKL262160 FUH262160 GED262160 GNZ262160 GXV262160 HHR262160 HRN262160 IBJ262160 ILF262160 IVB262160 JEX262160 JOT262160 JYP262160 KIL262160 KSH262160 LCD262160 LLZ262160 LVV262160 MFR262160 MPN262160 MZJ262160 NJF262160 NTB262160 OCX262160 OMT262160 OWP262160 PGL262160 PQH262160 QAD262160 QJZ262160 QTV262160 RDR262160 RNN262160 RXJ262160 SHF262160 SRB262160 TAX262160 TKT262160 TUP262160 UEL262160 UOH262160 UYD262160 VHZ262160 VRV262160 WBR262160 WLN262160 WVJ262160 D327697 IX327696 ST327696 ACP327696 AML327696 AWH327696 BGD327696 BPZ327696 BZV327696 CJR327696 CTN327696 DDJ327696 DNF327696 DXB327696 EGX327696 EQT327696 FAP327696 FKL327696 FUH327696 GED327696 GNZ327696 GXV327696 HHR327696 HRN327696 IBJ327696 ILF327696 IVB327696 JEX327696 JOT327696 JYP327696 KIL327696 KSH327696 LCD327696 LLZ327696 LVV327696 MFR327696 MPN327696 MZJ327696 NJF327696 NTB327696 OCX327696 OMT327696 OWP327696 PGL327696 PQH327696 QAD327696 QJZ327696 QTV327696 RDR327696 RNN327696 RXJ327696 SHF327696 SRB327696 TAX327696 TKT327696 TUP327696 UEL327696 UOH327696 UYD327696 VHZ327696 VRV327696 WBR327696 WLN327696 WVJ327696 D393233 IX393232 ST393232 ACP393232 AML393232 AWH393232 BGD393232 BPZ393232 BZV393232 CJR393232 CTN393232 DDJ393232 DNF393232 DXB393232 EGX393232 EQT393232 FAP393232 FKL393232 FUH393232 GED393232 GNZ393232 GXV393232 HHR393232 HRN393232 IBJ393232 ILF393232 IVB393232 JEX393232 JOT393232 JYP393232 KIL393232 KSH393232 LCD393232 LLZ393232 LVV393232 MFR393232 MPN393232 MZJ393232 NJF393232 NTB393232 OCX393232 OMT393232 OWP393232 PGL393232 PQH393232 QAD393232 QJZ393232 QTV393232 RDR393232 RNN393232 RXJ393232 SHF393232 SRB393232 TAX393232 TKT393232 TUP393232 UEL393232 UOH393232 UYD393232 VHZ393232 VRV393232 WBR393232 WLN393232 WVJ393232 D458769 IX458768 ST458768 ACP458768 AML458768 AWH458768 BGD458768 BPZ458768 BZV458768 CJR458768 CTN458768 DDJ458768 DNF458768 DXB458768 EGX458768 EQT458768 FAP458768 FKL458768 FUH458768 GED458768 GNZ458768 GXV458768 HHR458768 HRN458768 IBJ458768 ILF458768 IVB458768 JEX458768 JOT458768 JYP458768 KIL458768 KSH458768 LCD458768 LLZ458768 LVV458768 MFR458768 MPN458768 MZJ458768 NJF458768 NTB458768 OCX458768 OMT458768 OWP458768 PGL458768 PQH458768 QAD458768 QJZ458768 QTV458768 RDR458768 RNN458768 RXJ458768 SHF458768 SRB458768 TAX458768 TKT458768 TUP458768 UEL458768 UOH458768 UYD458768 VHZ458768 VRV458768 WBR458768 WLN458768 WVJ458768 D524305 IX524304 ST524304 ACP524304 AML524304 AWH524304 BGD524304 BPZ524304 BZV524304 CJR524304 CTN524304 DDJ524304 DNF524304 DXB524304 EGX524304 EQT524304 FAP524304 FKL524304 FUH524304 GED524304 GNZ524304 GXV524304 HHR524304 HRN524304 IBJ524304 ILF524304 IVB524304 JEX524304 JOT524304 JYP524304 KIL524304 KSH524304 LCD524304 LLZ524304 LVV524304 MFR524304 MPN524304 MZJ524304 NJF524304 NTB524304 OCX524304 OMT524304 OWP524304 PGL524304 PQH524304 QAD524304 QJZ524304 QTV524304 RDR524304 RNN524304 RXJ524304 SHF524304 SRB524304 TAX524304 TKT524304 TUP524304 UEL524304 UOH524304 UYD524304 VHZ524304 VRV524304 WBR524304 WLN524304 WVJ524304 D589841 IX589840 ST589840 ACP589840 AML589840 AWH589840 BGD589840 BPZ589840 BZV589840 CJR589840 CTN589840 DDJ589840 DNF589840 DXB589840 EGX589840 EQT589840 FAP589840 FKL589840 FUH589840 GED589840 GNZ589840 GXV589840 HHR589840 HRN589840 IBJ589840 ILF589840 IVB589840 JEX589840 JOT589840 JYP589840 KIL589840 KSH589840 LCD589840 LLZ589840 LVV589840 MFR589840 MPN589840 MZJ589840 NJF589840 NTB589840 OCX589840 OMT589840 OWP589840 PGL589840 PQH589840 QAD589840 QJZ589840 QTV589840 RDR589840 RNN589840 RXJ589840 SHF589840 SRB589840 TAX589840 TKT589840 TUP589840 UEL589840 UOH589840 UYD589840 VHZ589840 VRV589840 WBR589840 WLN589840 WVJ589840 D655377 IX655376 ST655376 ACP655376 AML655376 AWH655376 BGD655376 BPZ655376 BZV655376 CJR655376 CTN655376 DDJ655376 DNF655376 DXB655376 EGX655376 EQT655376 FAP655376 FKL655376 FUH655376 GED655376 GNZ655376 GXV655376 HHR655376 HRN655376 IBJ655376 ILF655376 IVB655376 JEX655376 JOT655376 JYP655376 KIL655376 KSH655376 LCD655376 LLZ655376 LVV655376 MFR655376 MPN655376 MZJ655376 NJF655376 NTB655376 OCX655376 OMT655376 OWP655376 PGL655376 PQH655376 QAD655376 QJZ655376 QTV655376 RDR655376 RNN655376 RXJ655376 SHF655376 SRB655376 TAX655376 TKT655376 TUP655376 UEL655376 UOH655376 UYD655376 VHZ655376 VRV655376 WBR655376 WLN655376 WVJ655376 D720913 IX720912 ST720912 ACP720912 AML720912 AWH720912 BGD720912 BPZ720912 BZV720912 CJR720912 CTN720912 DDJ720912 DNF720912 DXB720912 EGX720912 EQT720912 FAP720912 FKL720912 FUH720912 GED720912 GNZ720912 GXV720912 HHR720912 HRN720912 IBJ720912 ILF720912 IVB720912 JEX720912 JOT720912 JYP720912 KIL720912 KSH720912 LCD720912 LLZ720912 LVV720912 MFR720912 MPN720912 MZJ720912 NJF720912 NTB720912 OCX720912 OMT720912 OWP720912 PGL720912 PQH720912 QAD720912 QJZ720912 QTV720912 RDR720912 RNN720912 RXJ720912 SHF720912 SRB720912 TAX720912 TKT720912 TUP720912 UEL720912 UOH720912 UYD720912 VHZ720912 VRV720912 WBR720912 WLN720912 WVJ720912 D786449 IX786448 ST786448 ACP786448 AML786448 AWH786448 BGD786448 BPZ786448 BZV786448 CJR786448 CTN786448 DDJ786448 DNF786448 DXB786448 EGX786448 EQT786448 FAP786448 FKL786448 FUH786448 GED786448 GNZ786448 GXV786448 HHR786448 HRN786448 IBJ786448 ILF786448 IVB786448 JEX786448 JOT786448 JYP786448 KIL786448 KSH786448 LCD786448 LLZ786448 LVV786448 MFR786448 MPN786448 MZJ786448 NJF786448 NTB786448 OCX786448 OMT786448 OWP786448 PGL786448 PQH786448 QAD786448 QJZ786448 QTV786448 RDR786448 RNN786448 RXJ786448 SHF786448 SRB786448 TAX786448 TKT786448 TUP786448 UEL786448 UOH786448 UYD786448 VHZ786448 VRV786448 WBR786448 WLN786448 WVJ786448 D851985 IX851984 ST851984 ACP851984 AML851984 AWH851984 BGD851984 BPZ851984 BZV851984 CJR851984 CTN851984 DDJ851984 DNF851984 DXB851984 EGX851984 EQT851984 FAP851984 FKL851984 FUH851984 GED851984 GNZ851984 GXV851984 HHR851984 HRN851984 IBJ851984 ILF851984 IVB851984 JEX851984 JOT851984 JYP851984 KIL851984 KSH851984 LCD851984 LLZ851984 LVV851984 MFR851984 MPN851984 MZJ851984 NJF851984 NTB851984 OCX851984 OMT851984 OWP851984 PGL851984 PQH851984 QAD851984 QJZ851984 QTV851984 RDR851984 RNN851984 RXJ851984 SHF851984 SRB851984 TAX851984 TKT851984 TUP851984 UEL851984 UOH851984 UYD851984 VHZ851984 VRV851984 WBR851984 WLN851984 WVJ851984 D917521 IX917520 ST917520 ACP917520 AML917520 AWH917520 BGD917520 BPZ917520 BZV917520 CJR917520 CTN917520 DDJ917520 DNF917520 DXB917520 EGX917520 EQT917520 FAP917520 FKL917520 FUH917520 GED917520 GNZ917520 GXV917520 HHR917520 HRN917520 IBJ917520 ILF917520 IVB917520 JEX917520 JOT917520 JYP917520 KIL917520 KSH917520 LCD917520 LLZ917520 LVV917520 MFR917520 MPN917520 MZJ917520 NJF917520 NTB917520 OCX917520 OMT917520 OWP917520 PGL917520 PQH917520 QAD917520 QJZ917520 QTV917520 RDR917520 RNN917520 RXJ917520 SHF917520 SRB917520 TAX917520 TKT917520 TUP917520 UEL917520 UOH917520 UYD917520 VHZ917520 VRV917520 WBR917520 WLN917520 WVJ917520 D983057 IX983056 ST983056 ACP983056 AML983056 AWH983056 BGD983056 BPZ983056 BZV983056 CJR983056 CTN983056 DDJ983056 DNF983056 DXB983056 EGX983056 EQT983056 FAP983056 FKL983056 FUH983056 GED983056 GNZ983056 GXV983056 HHR983056 HRN983056 IBJ983056 ILF983056 IVB983056 JEX983056 JOT983056 JYP983056 KIL983056 KSH983056 LCD983056 LLZ983056 LVV983056 MFR983056 MPN983056 MZJ983056 NJF983056 NTB983056 OCX983056 OMT983056 OWP983056 PGL983056 PQH983056 QAD983056 QJZ983056 QTV983056 RDR983056 RNN983056 RXJ983056 SHF983056 SRB983056 TAX983056 TKT983056 TUP983056 UEL983056 UOH983056 UYD983056 VHZ983056 VRV983056 WBR983056 WLN983056 WVJ983056">
      <formula1>"Actual/Actual (ISDA),Actual/360,30/360 (Bond Basis),30E/360 (Eurobond Basis),Actual/365 (Fixed),Actual/Actual (ISMA),Actual/Actual (AFB),'1/1,30/360 (Italian),Simple"</formula1>
    </dataValidation>
    <dataValidation type="list" allowBlank="1" showInputMessage="1" showErrorMessage="1" sqref="WVJ983041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38 IX65537 ST65537 ACP65537 AML65537 AWH65537 BGD65537 BPZ65537 BZV65537 CJR65537 CTN65537 DDJ65537 DNF65537 DXB65537 EGX65537 EQT65537 FAP65537 FKL65537 FUH65537 GED65537 GNZ65537 GXV65537 HHR65537 HRN65537 IBJ65537 ILF65537 IVB65537 JEX65537 JOT65537 JYP65537 KIL65537 KSH65537 LCD65537 LLZ65537 LVV65537 MFR65537 MPN65537 MZJ65537 NJF65537 NTB65537 OCX65537 OMT65537 OWP65537 PGL65537 PQH65537 QAD65537 QJZ65537 QTV65537 RDR65537 RNN65537 RXJ65537 SHF65537 SRB65537 TAX65537 TKT65537 TUP65537 UEL65537 UOH65537 UYD65537 VHZ65537 VRV65537 WBR65537 WLN65537 WVJ65537 D131074 IX131073 ST131073 ACP131073 AML131073 AWH131073 BGD131073 BPZ131073 BZV131073 CJR131073 CTN131073 DDJ131073 DNF131073 DXB131073 EGX131073 EQT131073 FAP131073 FKL131073 FUH131073 GED131073 GNZ131073 GXV131073 HHR131073 HRN131073 IBJ131073 ILF131073 IVB131073 JEX131073 JOT131073 JYP131073 KIL131073 KSH131073 LCD131073 LLZ131073 LVV131073 MFR131073 MPN131073 MZJ131073 NJF131073 NTB131073 OCX131073 OMT131073 OWP131073 PGL131073 PQH131073 QAD131073 QJZ131073 QTV131073 RDR131073 RNN131073 RXJ131073 SHF131073 SRB131073 TAX131073 TKT131073 TUP131073 UEL131073 UOH131073 UYD131073 VHZ131073 VRV131073 WBR131073 WLN131073 WVJ131073 D196610 IX196609 ST196609 ACP196609 AML196609 AWH196609 BGD196609 BPZ196609 BZV196609 CJR196609 CTN196609 DDJ196609 DNF196609 DXB196609 EGX196609 EQT196609 FAP196609 FKL196609 FUH196609 GED196609 GNZ196609 GXV196609 HHR196609 HRN196609 IBJ196609 ILF196609 IVB196609 JEX196609 JOT196609 JYP196609 KIL196609 KSH196609 LCD196609 LLZ196609 LVV196609 MFR196609 MPN196609 MZJ196609 NJF196609 NTB196609 OCX196609 OMT196609 OWP196609 PGL196609 PQH196609 QAD196609 QJZ196609 QTV196609 RDR196609 RNN196609 RXJ196609 SHF196609 SRB196609 TAX196609 TKT196609 TUP196609 UEL196609 UOH196609 UYD196609 VHZ196609 VRV196609 WBR196609 WLN196609 WVJ196609 D262146 IX262145 ST262145 ACP262145 AML262145 AWH262145 BGD262145 BPZ262145 BZV262145 CJR262145 CTN262145 DDJ262145 DNF262145 DXB262145 EGX262145 EQT262145 FAP262145 FKL262145 FUH262145 GED262145 GNZ262145 GXV262145 HHR262145 HRN262145 IBJ262145 ILF262145 IVB262145 JEX262145 JOT262145 JYP262145 KIL262145 KSH262145 LCD262145 LLZ262145 LVV262145 MFR262145 MPN262145 MZJ262145 NJF262145 NTB262145 OCX262145 OMT262145 OWP262145 PGL262145 PQH262145 QAD262145 QJZ262145 QTV262145 RDR262145 RNN262145 RXJ262145 SHF262145 SRB262145 TAX262145 TKT262145 TUP262145 UEL262145 UOH262145 UYD262145 VHZ262145 VRV262145 WBR262145 WLN262145 WVJ262145 D327682 IX327681 ST327681 ACP327681 AML327681 AWH327681 BGD327681 BPZ327681 BZV327681 CJR327681 CTN327681 DDJ327681 DNF327681 DXB327681 EGX327681 EQT327681 FAP327681 FKL327681 FUH327681 GED327681 GNZ327681 GXV327681 HHR327681 HRN327681 IBJ327681 ILF327681 IVB327681 JEX327681 JOT327681 JYP327681 KIL327681 KSH327681 LCD327681 LLZ327681 LVV327681 MFR327681 MPN327681 MZJ327681 NJF327681 NTB327681 OCX327681 OMT327681 OWP327681 PGL327681 PQH327681 QAD327681 QJZ327681 QTV327681 RDR327681 RNN327681 RXJ327681 SHF327681 SRB327681 TAX327681 TKT327681 TUP327681 UEL327681 UOH327681 UYD327681 VHZ327681 VRV327681 WBR327681 WLN327681 WVJ327681 D393218 IX393217 ST393217 ACP393217 AML393217 AWH393217 BGD393217 BPZ393217 BZV393217 CJR393217 CTN393217 DDJ393217 DNF393217 DXB393217 EGX393217 EQT393217 FAP393217 FKL393217 FUH393217 GED393217 GNZ393217 GXV393217 HHR393217 HRN393217 IBJ393217 ILF393217 IVB393217 JEX393217 JOT393217 JYP393217 KIL393217 KSH393217 LCD393217 LLZ393217 LVV393217 MFR393217 MPN393217 MZJ393217 NJF393217 NTB393217 OCX393217 OMT393217 OWP393217 PGL393217 PQH393217 QAD393217 QJZ393217 QTV393217 RDR393217 RNN393217 RXJ393217 SHF393217 SRB393217 TAX393217 TKT393217 TUP393217 UEL393217 UOH393217 UYD393217 VHZ393217 VRV393217 WBR393217 WLN393217 WVJ393217 D458754 IX458753 ST458753 ACP458753 AML458753 AWH458753 BGD458753 BPZ458753 BZV458753 CJR458753 CTN458753 DDJ458753 DNF458753 DXB458753 EGX458753 EQT458753 FAP458753 FKL458753 FUH458753 GED458753 GNZ458753 GXV458753 HHR458753 HRN458753 IBJ458753 ILF458753 IVB458753 JEX458753 JOT458753 JYP458753 KIL458753 KSH458753 LCD458753 LLZ458753 LVV458753 MFR458753 MPN458753 MZJ458753 NJF458753 NTB458753 OCX458753 OMT458753 OWP458753 PGL458753 PQH458753 QAD458753 QJZ458753 QTV458753 RDR458753 RNN458753 RXJ458753 SHF458753 SRB458753 TAX458753 TKT458753 TUP458753 UEL458753 UOH458753 UYD458753 VHZ458753 VRV458753 WBR458753 WLN458753 WVJ458753 D524290 IX524289 ST524289 ACP524289 AML524289 AWH524289 BGD524289 BPZ524289 BZV524289 CJR524289 CTN524289 DDJ524289 DNF524289 DXB524289 EGX524289 EQT524289 FAP524289 FKL524289 FUH524289 GED524289 GNZ524289 GXV524289 HHR524289 HRN524289 IBJ524289 ILF524289 IVB524289 JEX524289 JOT524289 JYP524289 KIL524289 KSH524289 LCD524289 LLZ524289 LVV524289 MFR524289 MPN524289 MZJ524289 NJF524289 NTB524289 OCX524289 OMT524289 OWP524289 PGL524289 PQH524289 QAD524289 QJZ524289 QTV524289 RDR524289 RNN524289 RXJ524289 SHF524289 SRB524289 TAX524289 TKT524289 TUP524289 UEL524289 UOH524289 UYD524289 VHZ524289 VRV524289 WBR524289 WLN524289 WVJ524289 D589826 IX589825 ST589825 ACP589825 AML589825 AWH589825 BGD589825 BPZ589825 BZV589825 CJR589825 CTN589825 DDJ589825 DNF589825 DXB589825 EGX589825 EQT589825 FAP589825 FKL589825 FUH589825 GED589825 GNZ589825 GXV589825 HHR589825 HRN589825 IBJ589825 ILF589825 IVB589825 JEX589825 JOT589825 JYP589825 KIL589825 KSH589825 LCD589825 LLZ589825 LVV589825 MFR589825 MPN589825 MZJ589825 NJF589825 NTB589825 OCX589825 OMT589825 OWP589825 PGL589825 PQH589825 QAD589825 QJZ589825 QTV589825 RDR589825 RNN589825 RXJ589825 SHF589825 SRB589825 TAX589825 TKT589825 TUP589825 UEL589825 UOH589825 UYD589825 VHZ589825 VRV589825 WBR589825 WLN589825 WVJ589825 D655362 IX655361 ST655361 ACP655361 AML655361 AWH655361 BGD655361 BPZ655361 BZV655361 CJR655361 CTN655361 DDJ655361 DNF655361 DXB655361 EGX655361 EQT655361 FAP655361 FKL655361 FUH655361 GED655361 GNZ655361 GXV655361 HHR655361 HRN655361 IBJ655361 ILF655361 IVB655361 JEX655361 JOT655361 JYP655361 KIL655361 KSH655361 LCD655361 LLZ655361 LVV655361 MFR655361 MPN655361 MZJ655361 NJF655361 NTB655361 OCX655361 OMT655361 OWP655361 PGL655361 PQH655361 QAD655361 QJZ655361 QTV655361 RDR655361 RNN655361 RXJ655361 SHF655361 SRB655361 TAX655361 TKT655361 TUP655361 UEL655361 UOH655361 UYD655361 VHZ655361 VRV655361 WBR655361 WLN655361 WVJ655361 D720898 IX720897 ST720897 ACP720897 AML720897 AWH720897 BGD720897 BPZ720897 BZV720897 CJR720897 CTN720897 DDJ720897 DNF720897 DXB720897 EGX720897 EQT720897 FAP720897 FKL720897 FUH720897 GED720897 GNZ720897 GXV720897 HHR720897 HRN720897 IBJ720897 ILF720897 IVB720897 JEX720897 JOT720897 JYP720897 KIL720897 KSH720897 LCD720897 LLZ720897 LVV720897 MFR720897 MPN720897 MZJ720897 NJF720897 NTB720897 OCX720897 OMT720897 OWP720897 PGL720897 PQH720897 QAD720897 QJZ720897 QTV720897 RDR720897 RNN720897 RXJ720897 SHF720897 SRB720897 TAX720897 TKT720897 TUP720897 UEL720897 UOH720897 UYD720897 VHZ720897 VRV720897 WBR720897 WLN720897 WVJ720897 D786434 IX786433 ST786433 ACP786433 AML786433 AWH786433 BGD786433 BPZ786433 BZV786433 CJR786433 CTN786433 DDJ786433 DNF786433 DXB786433 EGX786433 EQT786433 FAP786433 FKL786433 FUH786433 GED786433 GNZ786433 GXV786433 HHR786433 HRN786433 IBJ786433 ILF786433 IVB786433 JEX786433 JOT786433 JYP786433 KIL786433 KSH786433 LCD786433 LLZ786433 LVV786433 MFR786433 MPN786433 MZJ786433 NJF786433 NTB786433 OCX786433 OMT786433 OWP786433 PGL786433 PQH786433 QAD786433 QJZ786433 QTV786433 RDR786433 RNN786433 RXJ786433 SHF786433 SRB786433 TAX786433 TKT786433 TUP786433 UEL786433 UOH786433 UYD786433 VHZ786433 VRV786433 WBR786433 WLN786433 WVJ786433 D851970 IX851969 ST851969 ACP851969 AML851969 AWH851969 BGD851969 BPZ851969 BZV851969 CJR851969 CTN851969 DDJ851969 DNF851969 DXB851969 EGX851969 EQT851969 FAP851969 FKL851969 FUH851969 GED851969 GNZ851969 GXV851969 HHR851969 HRN851969 IBJ851969 ILF851969 IVB851969 JEX851969 JOT851969 JYP851969 KIL851969 KSH851969 LCD851969 LLZ851969 LVV851969 MFR851969 MPN851969 MZJ851969 NJF851969 NTB851969 OCX851969 OMT851969 OWP851969 PGL851969 PQH851969 QAD851969 QJZ851969 QTV851969 RDR851969 RNN851969 RXJ851969 SHF851969 SRB851969 TAX851969 TKT851969 TUP851969 UEL851969 UOH851969 UYD851969 VHZ851969 VRV851969 WBR851969 WLN851969 WVJ851969 D917506 IX917505 ST917505 ACP917505 AML917505 AWH917505 BGD917505 BPZ917505 BZV917505 CJR917505 CTN917505 DDJ917505 DNF917505 DXB917505 EGX917505 EQT917505 FAP917505 FKL917505 FUH917505 GED917505 GNZ917505 GXV917505 HHR917505 HRN917505 IBJ917505 ILF917505 IVB917505 JEX917505 JOT917505 JYP917505 KIL917505 KSH917505 LCD917505 LLZ917505 LVV917505 MFR917505 MPN917505 MZJ917505 NJF917505 NTB917505 OCX917505 OMT917505 OWP917505 PGL917505 PQH917505 QAD917505 QJZ917505 QTV917505 RDR917505 RNN917505 RXJ917505 SHF917505 SRB917505 TAX917505 TKT917505 TUP917505 UEL917505 UOH917505 UYD917505 VHZ917505 VRV917505 WBR917505 WLN917505 WVJ917505 D983042 IX983041 ST983041 ACP983041 AML983041 AWH983041 BGD983041 BPZ983041 BZV983041 CJR983041 CTN983041 DDJ983041 DNF983041 DXB983041 EGX983041 EQT983041 FAP983041 FKL983041 FUH983041 GED983041 GNZ983041 GXV983041 HHR983041 HRN983041 IBJ983041 ILF983041 IVB983041 JEX983041 JOT983041 JYP983041 KIL983041 KSH983041 LCD983041 LLZ983041 LVV983041 MFR983041 MPN983041 MZJ983041 NJF983041 NTB983041 OCX983041 OMT983041 OWP983041 PGL983041 PQH983041 QAD983041 QJZ983041 QTV983041 RDR983041 RNN983041 RXJ983041 SHF983041 SRB983041 TAX983041 TKT983041 TUP983041 UEL983041 UOH983041 UYD983041 VHZ983041 VRV983041 WBR983041 WLN983041">
      <formula1>"EUR,USD,GBP,JPY,CHF"</formula1>
    </dataValidation>
    <dataValidation type="list" allowBlank="1" showInputMessage="1" showErrorMessage="1" sqref="WVJ983055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2 IX65551 ST65551 ACP65551 AML65551 AWH65551 BGD65551 BPZ65551 BZV65551 CJR65551 CTN65551 DDJ65551 DNF65551 DXB65551 EGX65551 EQT65551 FAP65551 FKL65551 FUH65551 GED65551 GNZ65551 GXV65551 HHR65551 HRN65551 IBJ65551 ILF65551 IVB65551 JEX65551 JOT65551 JYP65551 KIL65551 KSH65551 LCD65551 LLZ65551 LVV65551 MFR65551 MPN65551 MZJ65551 NJF65551 NTB65551 OCX65551 OMT65551 OWP65551 PGL65551 PQH65551 QAD65551 QJZ65551 QTV65551 RDR65551 RNN65551 RXJ65551 SHF65551 SRB65551 TAX65551 TKT65551 TUP65551 UEL65551 UOH65551 UYD65551 VHZ65551 VRV65551 WBR65551 WLN65551 WVJ65551 D131088 IX131087 ST131087 ACP131087 AML131087 AWH131087 BGD131087 BPZ131087 BZV131087 CJR131087 CTN131087 DDJ131087 DNF131087 DXB131087 EGX131087 EQT131087 FAP131087 FKL131087 FUH131087 GED131087 GNZ131087 GXV131087 HHR131087 HRN131087 IBJ131087 ILF131087 IVB131087 JEX131087 JOT131087 JYP131087 KIL131087 KSH131087 LCD131087 LLZ131087 LVV131087 MFR131087 MPN131087 MZJ131087 NJF131087 NTB131087 OCX131087 OMT131087 OWP131087 PGL131087 PQH131087 QAD131087 QJZ131087 QTV131087 RDR131087 RNN131087 RXJ131087 SHF131087 SRB131087 TAX131087 TKT131087 TUP131087 UEL131087 UOH131087 UYD131087 VHZ131087 VRV131087 WBR131087 WLN131087 WVJ131087 D196624 IX196623 ST196623 ACP196623 AML196623 AWH196623 BGD196623 BPZ196623 BZV196623 CJR196623 CTN196623 DDJ196623 DNF196623 DXB196623 EGX196623 EQT196623 FAP196623 FKL196623 FUH196623 GED196623 GNZ196623 GXV196623 HHR196623 HRN196623 IBJ196623 ILF196623 IVB196623 JEX196623 JOT196623 JYP196623 KIL196623 KSH196623 LCD196623 LLZ196623 LVV196623 MFR196623 MPN196623 MZJ196623 NJF196623 NTB196623 OCX196623 OMT196623 OWP196623 PGL196623 PQH196623 QAD196623 QJZ196623 QTV196623 RDR196623 RNN196623 RXJ196623 SHF196623 SRB196623 TAX196623 TKT196623 TUP196623 UEL196623 UOH196623 UYD196623 VHZ196623 VRV196623 WBR196623 WLN196623 WVJ196623 D262160 IX262159 ST262159 ACP262159 AML262159 AWH262159 BGD262159 BPZ262159 BZV262159 CJR262159 CTN262159 DDJ262159 DNF262159 DXB262159 EGX262159 EQT262159 FAP262159 FKL262159 FUH262159 GED262159 GNZ262159 GXV262159 HHR262159 HRN262159 IBJ262159 ILF262159 IVB262159 JEX262159 JOT262159 JYP262159 KIL262159 KSH262159 LCD262159 LLZ262159 LVV262159 MFR262159 MPN262159 MZJ262159 NJF262159 NTB262159 OCX262159 OMT262159 OWP262159 PGL262159 PQH262159 QAD262159 QJZ262159 QTV262159 RDR262159 RNN262159 RXJ262159 SHF262159 SRB262159 TAX262159 TKT262159 TUP262159 UEL262159 UOH262159 UYD262159 VHZ262159 VRV262159 WBR262159 WLN262159 WVJ262159 D327696 IX327695 ST327695 ACP327695 AML327695 AWH327695 BGD327695 BPZ327695 BZV327695 CJR327695 CTN327695 DDJ327695 DNF327695 DXB327695 EGX327695 EQT327695 FAP327695 FKL327695 FUH327695 GED327695 GNZ327695 GXV327695 HHR327695 HRN327695 IBJ327695 ILF327695 IVB327695 JEX327695 JOT327695 JYP327695 KIL327695 KSH327695 LCD327695 LLZ327695 LVV327695 MFR327695 MPN327695 MZJ327695 NJF327695 NTB327695 OCX327695 OMT327695 OWP327695 PGL327695 PQH327695 QAD327695 QJZ327695 QTV327695 RDR327695 RNN327695 RXJ327695 SHF327695 SRB327695 TAX327695 TKT327695 TUP327695 UEL327695 UOH327695 UYD327695 VHZ327695 VRV327695 WBR327695 WLN327695 WVJ327695 D393232 IX393231 ST393231 ACP393231 AML393231 AWH393231 BGD393231 BPZ393231 BZV393231 CJR393231 CTN393231 DDJ393231 DNF393231 DXB393231 EGX393231 EQT393231 FAP393231 FKL393231 FUH393231 GED393231 GNZ393231 GXV393231 HHR393231 HRN393231 IBJ393231 ILF393231 IVB393231 JEX393231 JOT393231 JYP393231 KIL393231 KSH393231 LCD393231 LLZ393231 LVV393231 MFR393231 MPN393231 MZJ393231 NJF393231 NTB393231 OCX393231 OMT393231 OWP393231 PGL393231 PQH393231 QAD393231 QJZ393231 QTV393231 RDR393231 RNN393231 RXJ393231 SHF393231 SRB393231 TAX393231 TKT393231 TUP393231 UEL393231 UOH393231 UYD393231 VHZ393231 VRV393231 WBR393231 WLN393231 WVJ393231 D458768 IX458767 ST458767 ACP458767 AML458767 AWH458767 BGD458767 BPZ458767 BZV458767 CJR458767 CTN458767 DDJ458767 DNF458767 DXB458767 EGX458767 EQT458767 FAP458767 FKL458767 FUH458767 GED458767 GNZ458767 GXV458767 HHR458767 HRN458767 IBJ458767 ILF458767 IVB458767 JEX458767 JOT458767 JYP458767 KIL458767 KSH458767 LCD458767 LLZ458767 LVV458767 MFR458767 MPN458767 MZJ458767 NJF458767 NTB458767 OCX458767 OMT458767 OWP458767 PGL458767 PQH458767 QAD458767 QJZ458767 QTV458767 RDR458767 RNN458767 RXJ458767 SHF458767 SRB458767 TAX458767 TKT458767 TUP458767 UEL458767 UOH458767 UYD458767 VHZ458767 VRV458767 WBR458767 WLN458767 WVJ458767 D524304 IX524303 ST524303 ACP524303 AML524303 AWH524303 BGD524303 BPZ524303 BZV524303 CJR524303 CTN524303 DDJ524303 DNF524303 DXB524303 EGX524303 EQT524303 FAP524303 FKL524303 FUH524303 GED524303 GNZ524303 GXV524303 HHR524303 HRN524303 IBJ524303 ILF524303 IVB524303 JEX524303 JOT524303 JYP524303 KIL524303 KSH524303 LCD524303 LLZ524303 LVV524303 MFR524303 MPN524303 MZJ524303 NJF524303 NTB524303 OCX524303 OMT524303 OWP524303 PGL524303 PQH524303 QAD524303 QJZ524303 QTV524303 RDR524303 RNN524303 RXJ524303 SHF524303 SRB524303 TAX524303 TKT524303 TUP524303 UEL524303 UOH524303 UYD524303 VHZ524303 VRV524303 WBR524303 WLN524303 WVJ524303 D589840 IX589839 ST589839 ACP589839 AML589839 AWH589839 BGD589839 BPZ589839 BZV589839 CJR589839 CTN589839 DDJ589839 DNF589839 DXB589839 EGX589839 EQT589839 FAP589839 FKL589839 FUH589839 GED589839 GNZ589839 GXV589839 HHR589839 HRN589839 IBJ589839 ILF589839 IVB589839 JEX589839 JOT589839 JYP589839 KIL589839 KSH589839 LCD589839 LLZ589839 LVV589839 MFR589839 MPN589839 MZJ589839 NJF589839 NTB589839 OCX589839 OMT589839 OWP589839 PGL589839 PQH589839 QAD589839 QJZ589839 QTV589839 RDR589839 RNN589839 RXJ589839 SHF589839 SRB589839 TAX589839 TKT589839 TUP589839 UEL589839 UOH589839 UYD589839 VHZ589839 VRV589839 WBR589839 WLN589839 WVJ589839 D655376 IX655375 ST655375 ACP655375 AML655375 AWH655375 BGD655375 BPZ655375 BZV655375 CJR655375 CTN655375 DDJ655375 DNF655375 DXB655375 EGX655375 EQT655375 FAP655375 FKL655375 FUH655375 GED655375 GNZ655375 GXV655375 HHR655375 HRN655375 IBJ655375 ILF655375 IVB655375 JEX655375 JOT655375 JYP655375 KIL655375 KSH655375 LCD655375 LLZ655375 LVV655375 MFR655375 MPN655375 MZJ655375 NJF655375 NTB655375 OCX655375 OMT655375 OWP655375 PGL655375 PQH655375 QAD655375 QJZ655375 QTV655375 RDR655375 RNN655375 RXJ655375 SHF655375 SRB655375 TAX655375 TKT655375 TUP655375 UEL655375 UOH655375 UYD655375 VHZ655375 VRV655375 WBR655375 WLN655375 WVJ655375 D720912 IX720911 ST720911 ACP720911 AML720911 AWH720911 BGD720911 BPZ720911 BZV720911 CJR720911 CTN720911 DDJ720911 DNF720911 DXB720911 EGX720911 EQT720911 FAP720911 FKL720911 FUH720911 GED720911 GNZ720911 GXV720911 HHR720911 HRN720911 IBJ720911 ILF720911 IVB720911 JEX720911 JOT720911 JYP720911 KIL720911 KSH720911 LCD720911 LLZ720911 LVV720911 MFR720911 MPN720911 MZJ720911 NJF720911 NTB720911 OCX720911 OMT720911 OWP720911 PGL720911 PQH720911 QAD720911 QJZ720911 QTV720911 RDR720911 RNN720911 RXJ720911 SHF720911 SRB720911 TAX720911 TKT720911 TUP720911 UEL720911 UOH720911 UYD720911 VHZ720911 VRV720911 WBR720911 WLN720911 WVJ720911 D786448 IX786447 ST786447 ACP786447 AML786447 AWH786447 BGD786447 BPZ786447 BZV786447 CJR786447 CTN786447 DDJ786447 DNF786447 DXB786447 EGX786447 EQT786447 FAP786447 FKL786447 FUH786447 GED786447 GNZ786447 GXV786447 HHR786447 HRN786447 IBJ786447 ILF786447 IVB786447 JEX786447 JOT786447 JYP786447 KIL786447 KSH786447 LCD786447 LLZ786447 LVV786447 MFR786447 MPN786447 MZJ786447 NJF786447 NTB786447 OCX786447 OMT786447 OWP786447 PGL786447 PQH786447 QAD786447 QJZ786447 QTV786447 RDR786447 RNN786447 RXJ786447 SHF786447 SRB786447 TAX786447 TKT786447 TUP786447 UEL786447 UOH786447 UYD786447 VHZ786447 VRV786447 WBR786447 WLN786447 WVJ786447 D851984 IX851983 ST851983 ACP851983 AML851983 AWH851983 BGD851983 BPZ851983 BZV851983 CJR851983 CTN851983 DDJ851983 DNF851983 DXB851983 EGX851983 EQT851983 FAP851983 FKL851983 FUH851983 GED851983 GNZ851983 GXV851983 HHR851983 HRN851983 IBJ851983 ILF851983 IVB851983 JEX851983 JOT851983 JYP851983 KIL851983 KSH851983 LCD851983 LLZ851983 LVV851983 MFR851983 MPN851983 MZJ851983 NJF851983 NTB851983 OCX851983 OMT851983 OWP851983 PGL851983 PQH851983 QAD851983 QJZ851983 QTV851983 RDR851983 RNN851983 RXJ851983 SHF851983 SRB851983 TAX851983 TKT851983 TUP851983 UEL851983 UOH851983 UYD851983 VHZ851983 VRV851983 WBR851983 WLN851983 WVJ851983 D917520 IX917519 ST917519 ACP917519 AML917519 AWH917519 BGD917519 BPZ917519 BZV917519 CJR917519 CTN917519 DDJ917519 DNF917519 DXB917519 EGX917519 EQT917519 FAP917519 FKL917519 FUH917519 GED917519 GNZ917519 GXV917519 HHR917519 HRN917519 IBJ917519 ILF917519 IVB917519 JEX917519 JOT917519 JYP917519 KIL917519 KSH917519 LCD917519 LLZ917519 LVV917519 MFR917519 MPN917519 MZJ917519 NJF917519 NTB917519 OCX917519 OMT917519 OWP917519 PGL917519 PQH917519 QAD917519 QJZ917519 QTV917519 RDR917519 RNN917519 RXJ917519 SHF917519 SRB917519 TAX917519 TKT917519 TUP917519 UEL917519 UOH917519 UYD917519 VHZ917519 VRV917519 WBR917519 WLN917519 WVJ917519 D983056 IX983055 ST983055 ACP983055 AML983055 AWH983055 BGD983055 BPZ983055 BZV983055 CJR983055 CTN983055 DDJ983055 DNF983055 DXB983055 EGX983055 EQT983055 FAP983055 FKL983055 FUH983055 GED983055 GNZ983055 GXV983055 HHR983055 HRN983055 IBJ983055 ILF983055 IVB983055 JEX983055 JOT983055 JYP983055 KIL983055 KSH983055 LCD983055 LLZ983055 LVV983055 MFR983055 MPN983055 MZJ983055 NJF983055 NTB983055 OCX983055 OMT983055 OWP983055 PGL983055 PQH983055 QAD983055 QJZ983055 QTV983055 RDR983055 RNN983055 RXJ983055 SHF983055 SRB983055 TAX983055 TKT983055 TUP983055 UEL983055 UOH983055 UYD983055 VHZ983055 VRV983055 WBR983055 WLN983055">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"ibor,Libor"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"EUR,USD,GBP,JPY,CHF,AUD,CNY,CNH,HKD,RMB,SEK,PLN,HUF,CZK"</formula1>
    </dataValidation>
    <dataValidation type="list" allowBlank="1" showInputMessage="1" showErrorMessage="1" sqref="D18">
      <formula1>"NullCalendar,Australia,China,HongKong::HKEx,Sweden,CzechRepublic::PSE,Poland,Hungary"</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0"/>
  <sheetViews>
    <sheetView topLeftCell="C1" workbookViewId="0">
      <selection activeCell="C1" sqref="C1"/>
    </sheetView>
  </sheetViews>
  <sheetFormatPr defaultColWidth="11.28515625" defaultRowHeight="11.25" outlineLevelCol="1" x14ac:dyDescent="0.2"/>
  <cols>
    <col min="1" max="1" width="2.7109375" style="50" hidden="1" customWidth="1" outlineLevel="1"/>
    <col min="2" max="2" width="15.140625" style="2" hidden="1" customWidth="1" outlineLevel="1"/>
    <col min="3" max="3" width="26.5703125" style="2" bestFit="1" customWidth="1" collapsed="1"/>
    <col min="4" max="4" width="9" style="2" bestFit="1" customWidth="1"/>
    <col min="5" max="5" width="11" style="2" bestFit="1" customWidth="1"/>
    <col min="6" max="6" width="8" style="2" bestFit="1" customWidth="1"/>
    <col min="7" max="8" width="11.28515625" style="2"/>
    <col min="9" max="10" width="17.28515625" style="2" bestFit="1" customWidth="1"/>
    <col min="11" max="16384" width="11.28515625" style="50"/>
  </cols>
  <sheetData>
    <row r="1" spans="2:12" ht="24.75" customHeight="1" x14ac:dyDescent="0.2">
      <c r="B1" s="71" t="s">
        <v>23</v>
      </c>
      <c r="C1" s="71" t="s">
        <v>106</v>
      </c>
      <c r="D1" s="71" t="s">
        <v>22</v>
      </c>
      <c r="E1" s="71" t="s">
        <v>21</v>
      </c>
      <c r="F1" s="71" t="s">
        <v>20</v>
      </c>
      <c r="G1" s="71" t="s">
        <v>19</v>
      </c>
      <c r="H1" s="71" t="s">
        <v>18</v>
      </c>
      <c r="I1" s="71" t="s">
        <v>17</v>
      </c>
      <c r="J1" s="71" t="s">
        <v>16</v>
      </c>
    </row>
    <row r="2" spans="2:12" x14ac:dyDescent="0.2">
      <c r="B2" s="170" t="str">
        <f>'Synthetic Deposits'!K3</f>
        <v>obj_0025a#0000</v>
      </c>
      <c r="C2" s="143" t="str">
        <f>_xll.qlRateHelperQuoteName(B2)</f>
        <v>SEKSND_SYNTH1M_Quote</v>
      </c>
      <c r="D2" s="165" t="e">
        <f>_xll.qlRateHelperQuoteValue($B2,Trigger)</f>
        <v>#NUM!</v>
      </c>
      <c r="E2" s="165"/>
      <c r="F2" s="166" t="b">
        <v>0</v>
      </c>
      <c r="G2" s="166">
        <v>10</v>
      </c>
      <c r="H2" s="166">
        <v>1</v>
      </c>
      <c r="I2" s="167">
        <f>_xll.qlRateHelperEarliestDate($B2,Trigger)</f>
        <v>42276</v>
      </c>
      <c r="J2" s="168" t="e">
        <f ca="1">_xll.qlRateHelperLatestDate($B2,Trigger)</f>
        <v>#NAME?</v>
      </c>
    </row>
    <row r="3" spans="2:12" x14ac:dyDescent="0.2">
      <c r="B3" s="169" t="str">
        <f>'Synthetic Deposits'!K4</f>
        <v>obj_0025d#0000</v>
      </c>
      <c r="C3" s="72" t="str">
        <f>_xll.qlRateHelperQuoteName(B3)</f>
        <v>SEKSWD_SYNTH1M_Quote</v>
      </c>
      <c r="D3" s="73" t="e">
        <f>_xll.qlRateHelperQuoteValue($B3,Trigger)</f>
        <v>#NUM!</v>
      </c>
      <c r="E3" s="73"/>
      <c r="F3" s="74" t="b">
        <v>1</v>
      </c>
      <c r="G3" s="74">
        <v>10</v>
      </c>
      <c r="H3" s="74">
        <v>1</v>
      </c>
      <c r="I3" s="76">
        <f>_xll.qlRateHelperEarliestDate($B3,Trigger)</f>
        <v>42276</v>
      </c>
      <c r="J3" s="77" t="e">
        <f ca="1">_xll.qlRateHelperLatestDate($B3,Trigger)</f>
        <v>#NAME?</v>
      </c>
    </row>
    <row r="4" spans="2:12" x14ac:dyDescent="0.2">
      <c r="B4" s="169" t="str">
        <f>'Synthetic Deposits'!K5</f>
        <v>obj_0025b#0000</v>
      </c>
      <c r="C4" s="72" t="str">
        <f>_xll.qlRateHelperQuoteName(B4)</f>
        <v>SEK2WD_SYNTH1M_Quote</v>
      </c>
      <c r="D4" s="73" t="e">
        <f>_xll.qlRateHelperQuoteValue($B4,Trigger)</f>
        <v>#NUM!</v>
      </c>
      <c r="E4" s="73"/>
      <c r="F4" s="74" t="b">
        <v>1</v>
      </c>
      <c r="G4" s="74">
        <v>10</v>
      </c>
      <c r="H4" s="74">
        <v>1</v>
      </c>
      <c r="I4" s="76">
        <f>_xll.qlRateHelperEarliestDate($B4,Trigger)</f>
        <v>42276</v>
      </c>
      <c r="J4" s="77" t="e">
        <f ca="1">_xll.qlRateHelperLatestDate($B4,Trigger)</f>
        <v>#NAME?</v>
      </c>
    </row>
    <row r="5" spans="2:12" x14ac:dyDescent="0.2">
      <c r="B5" s="169" t="str">
        <f>'Synthetic Deposits'!K6</f>
        <v>obj_0025c#0000</v>
      </c>
      <c r="C5" s="72" t="str">
        <f>_xll.qlRateHelperQuoteName(B5)</f>
        <v>SEK3WD_SYNTH1M_Quote</v>
      </c>
      <c r="D5" s="73" t="e">
        <f>_xll.qlRateHelperQuoteValue($B5,Trigger)</f>
        <v>#NUM!</v>
      </c>
      <c r="E5" s="73"/>
      <c r="F5" s="74" t="b">
        <v>1</v>
      </c>
      <c r="G5" s="74">
        <v>10</v>
      </c>
      <c r="H5" s="74">
        <v>1</v>
      </c>
      <c r="I5" s="76">
        <f>_xll.qlRateHelperEarliestDate($B5,Trigger)</f>
        <v>42276</v>
      </c>
      <c r="J5" s="77" t="e">
        <f ca="1">_xll.qlRateHelperLatestDate($B5,Trigger)</f>
        <v>#NAME?</v>
      </c>
    </row>
    <row r="6" spans="2:12" x14ac:dyDescent="0.2">
      <c r="B6" s="169" t="str">
        <f>'Synthetic Deposits'!K7</f>
        <v>obj_00259#0000</v>
      </c>
      <c r="C6" s="72" t="str">
        <f>_xll.qlRateHelperQuoteName(B6)</f>
        <v>SEK1MD_SYNTH1M_Quote</v>
      </c>
      <c r="D6" s="73" t="e">
        <f>_xll.qlRateHelperQuoteValue($B6,Trigger)</f>
        <v>#NUM!</v>
      </c>
      <c r="E6" s="73"/>
      <c r="F6" s="74" t="b">
        <v>1</v>
      </c>
      <c r="G6" s="74">
        <v>10</v>
      </c>
      <c r="H6" s="74">
        <v>1</v>
      </c>
      <c r="I6" s="76">
        <f>_xll.qlRateHelperEarliestDate($B6,Trigger)</f>
        <v>42276</v>
      </c>
      <c r="J6" s="77" t="e">
        <f ca="1">_xll.qlRateHelperLatestDate($B6,Trigger)</f>
        <v>#NAME?</v>
      </c>
    </row>
    <row r="7" spans="2:12" x14ac:dyDescent="0.2">
      <c r="B7" s="169" t="str">
        <f>SwapsFromBasis!L5</f>
        <v>obj_002ac#0000</v>
      </c>
      <c r="C7" s="143" t="str">
        <f>_xll.qlRateHelperQuoteName(B7)</f>
        <v>SEKAB3S1Y_Quote</v>
      </c>
      <c r="D7" s="165">
        <f>_xll.qlRateHelperQuoteValue($B7,Trigger)</f>
        <v>-2.9749999999999998E-3</v>
      </c>
      <c r="E7" s="165"/>
      <c r="F7" s="166" t="b">
        <v>1</v>
      </c>
      <c r="G7" s="166">
        <v>50</v>
      </c>
      <c r="H7" s="166">
        <v>1</v>
      </c>
      <c r="I7" s="167">
        <f>_xll.qlRateHelperEarliestDate($B7,Trigger)</f>
        <v>42276</v>
      </c>
      <c r="J7" s="168" t="e">
        <f ca="1">_xll.qlRateHelperLatestDate($B7,Trigger)</f>
        <v>#NAME?</v>
      </c>
    </row>
    <row r="8" spans="2:12" x14ac:dyDescent="0.2">
      <c r="B8" s="169" t="str">
        <f>SwapsFromBasis!L6</f>
        <v>obj_002be#0000</v>
      </c>
      <c r="C8" s="72" t="str">
        <f>_xll.qlRateHelperQuoteName(B8)</f>
        <v>SEKAB3S15M_Quote</v>
      </c>
      <c r="D8" s="73" t="e">
        <f>_xll.qlRateHelperQuoteValue($B8,Trigger)</f>
        <v>#NUM!</v>
      </c>
      <c r="E8" s="73" t="e">
        <f>_xll.qlSwapRateHelperSpread($B8,Trigger)</f>
        <v>#NUM!</v>
      </c>
      <c r="F8" s="74" t="b">
        <f>IF(ISERROR(E8),FALSE,TRUE)</f>
        <v>0</v>
      </c>
      <c r="G8" s="74">
        <v>50</v>
      </c>
      <c r="H8" s="74">
        <v>1</v>
      </c>
      <c r="I8" s="76">
        <f>_xll.qlRateHelperEarliestDate($B8,Trigger)</f>
        <v>42276</v>
      </c>
      <c r="J8" s="77" t="e">
        <f ca="1">_xll.qlRateHelperLatestDate($B8,Trigger)</f>
        <v>#NAME?</v>
      </c>
      <c r="L8" s="75"/>
    </row>
    <row r="9" spans="2:12" x14ac:dyDescent="0.2">
      <c r="B9" s="169" t="str">
        <f>SwapsFromBasis!L7</f>
        <v>obj_002bb#0000</v>
      </c>
      <c r="C9" s="72" t="str">
        <f>_xll.qlRateHelperQuoteName(B9)</f>
        <v>SEKAB3S18M_Quote</v>
      </c>
      <c r="D9" s="73" t="e">
        <f>_xll.qlRateHelperQuoteValue($B9,Trigger)</f>
        <v>#NUM!</v>
      </c>
      <c r="E9" s="73" t="e">
        <f>_xll.qlSwapRateHelperSpread($B9,Trigger)</f>
        <v>#NUM!</v>
      </c>
      <c r="F9" s="74" t="b">
        <f t="shared" ref="F9:F28" si="0">IF(ISERROR(E9),FALSE,TRUE)</f>
        <v>0</v>
      </c>
      <c r="G9" s="74">
        <v>50</v>
      </c>
      <c r="H9" s="74">
        <v>1</v>
      </c>
      <c r="I9" s="76">
        <f>_xll.qlRateHelperEarliestDate($B9,Trigger)</f>
        <v>42276</v>
      </c>
      <c r="J9" s="77" t="e">
        <f ca="1">_xll.qlRateHelperLatestDate($B9,Trigger)</f>
        <v>#NAME?</v>
      </c>
      <c r="L9" s="75"/>
    </row>
    <row r="10" spans="2:12" x14ac:dyDescent="0.2">
      <c r="B10" s="169" t="str">
        <f>SwapsFromBasis!L8</f>
        <v>obj_002b8#0000</v>
      </c>
      <c r="C10" s="72" t="str">
        <f>_xll.qlRateHelperQuoteName(B10)</f>
        <v>SEKAB3S21M_Quote</v>
      </c>
      <c r="D10" s="73" t="e">
        <f>_xll.qlRateHelperQuoteValue($B10,Trigger)</f>
        <v>#NUM!</v>
      </c>
      <c r="E10" s="73" t="e">
        <f>_xll.qlSwapRateHelperSpread($B10,Trigger)</f>
        <v>#NUM!</v>
      </c>
      <c r="F10" s="74" t="b">
        <f t="shared" si="0"/>
        <v>0</v>
      </c>
      <c r="G10" s="74">
        <v>50</v>
      </c>
      <c r="H10" s="74">
        <v>1</v>
      </c>
      <c r="I10" s="76">
        <f>_xll.qlRateHelperEarliestDate($B10,Trigger)</f>
        <v>42276</v>
      </c>
      <c r="J10" s="77" t="e">
        <f ca="1">_xll.qlRateHelperLatestDate($B10,Trigger)</f>
        <v>#NAME?</v>
      </c>
      <c r="L10" s="75"/>
    </row>
    <row r="11" spans="2:12" x14ac:dyDescent="0.2">
      <c r="B11" s="169" t="str">
        <f>SwapsFromBasis!L9</f>
        <v>obj_002b5#0000</v>
      </c>
      <c r="C11" s="72" t="str">
        <f>_xll.qlRateHelperQuoteName(B11)</f>
        <v>SEKAB3S2Y_Quote</v>
      </c>
      <c r="D11" s="73">
        <f>_xll.qlRateHelperQuoteValue($B11,Trigger)</f>
        <v>-1.6250000000000001E-3</v>
      </c>
      <c r="E11" s="73">
        <f>_xll.qlSwapRateHelperSpread($B11,Trigger)</f>
        <v>9.2400000000000002E-4</v>
      </c>
      <c r="F11" s="74" t="b">
        <f t="shared" si="0"/>
        <v>1</v>
      </c>
      <c r="G11" s="74">
        <v>50</v>
      </c>
      <c r="H11" s="74">
        <v>1</v>
      </c>
      <c r="I11" s="76">
        <f>_xll.qlRateHelperEarliestDate($B11,Trigger)</f>
        <v>42276</v>
      </c>
      <c r="J11" s="77" t="e">
        <f ca="1">_xll.qlRateHelperLatestDate($B11,Trigger)</f>
        <v>#NAME?</v>
      </c>
      <c r="L11" s="75"/>
    </row>
    <row r="12" spans="2:12" x14ac:dyDescent="0.2">
      <c r="B12" s="169" t="str">
        <f>SwapsFromBasis!L10</f>
        <v>obj_002b2#0000</v>
      </c>
      <c r="C12" s="72" t="str">
        <f>_xll.qlRateHelperQuoteName(B12)</f>
        <v>SEKAB3S3Y_Quote</v>
      </c>
      <c r="D12" s="73">
        <f>_xll.qlRateHelperQuoteValue($B12,Trigger)</f>
        <v>3.7500000000000001E-4</v>
      </c>
      <c r="E12" s="73">
        <f>_xll.qlSwapRateHelperSpread($B12,Trigger)</f>
        <v>9.810000000000001E-4</v>
      </c>
      <c r="F12" s="74" t="b">
        <f t="shared" si="0"/>
        <v>1</v>
      </c>
      <c r="G12" s="74">
        <v>50</v>
      </c>
      <c r="H12" s="74">
        <v>1</v>
      </c>
      <c r="I12" s="76">
        <f>_xll.qlRateHelperEarliestDate($B12,Trigger)</f>
        <v>42276</v>
      </c>
      <c r="J12" s="77" t="e">
        <f ca="1">_xll.qlRateHelperLatestDate($B12,Trigger)</f>
        <v>#NAME?</v>
      </c>
      <c r="L12" s="75"/>
    </row>
    <row r="13" spans="2:12" x14ac:dyDescent="0.2">
      <c r="B13" s="169" t="str">
        <f>SwapsFromBasis!L11</f>
        <v>obj_002c4#0000</v>
      </c>
      <c r="C13" s="72" t="str">
        <f>_xll.qlRateHelperQuoteName(B13)</f>
        <v>SEKAB3S4Y_Quote</v>
      </c>
      <c r="D13" s="73">
        <f>_xll.qlRateHelperQuoteValue($B13,Trigger)</f>
        <v>2.65E-3</v>
      </c>
      <c r="E13" s="73">
        <f>_xll.qlSwapRateHelperSpread($B13,Trigger)</f>
        <v>1.0070000000000001E-3</v>
      </c>
      <c r="F13" s="74" t="b">
        <f t="shared" si="0"/>
        <v>1</v>
      </c>
      <c r="G13" s="74">
        <v>50</v>
      </c>
      <c r="H13" s="74">
        <v>1</v>
      </c>
      <c r="I13" s="76">
        <f>_xll.qlRateHelperEarliestDate($B13,Trigger)</f>
        <v>42276</v>
      </c>
      <c r="J13" s="77" t="e">
        <f ca="1">_xll.qlRateHelperLatestDate($B13,Trigger)</f>
        <v>#NAME?</v>
      </c>
      <c r="L13" s="75"/>
    </row>
    <row r="14" spans="2:12" x14ac:dyDescent="0.2">
      <c r="B14" s="169" t="str">
        <f>SwapsFromBasis!L12</f>
        <v>obj_002c2#0000</v>
      </c>
      <c r="C14" s="72" t="str">
        <f>_xll.qlRateHelperQuoteName(B14)</f>
        <v>SEKAB3S5Y_Quote</v>
      </c>
      <c r="D14" s="73">
        <f>_xll.qlRateHelperQuoteValue($B14,Trigger)</f>
        <v>5.1249999999999993E-3</v>
      </c>
      <c r="E14" s="73">
        <f>_xll.qlSwapRateHelperSpread($B14,Trigger)</f>
        <v>1.01E-3</v>
      </c>
      <c r="F14" s="74" t="b">
        <f t="shared" si="0"/>
        <v>1</v>
      </c>
      <c r="G14" s="74">
        <v>50</v>
      </c>
      <c r="H14" s="74">
        <v>1</v>
      </c>
      <c r="I14" s="76">
        <f>_xll.qlRateHelperEarliestDate($B14,Trigger)</f>
        <v>42276</v>
      </c>
      <c r="J14" s="77" t="e">
        <f ca="1">_xll.qlRateHelperLatestDate($B14,Trigger)</f>
        <v>#NAME?</v>
      </c>
      <c r="L14" s="75"/>
    </row>
    <row r="15" spans="2:12" x14ac:dyDescent="0.2">
      <c r="B15" s="169" t="str">
        <f>SwapsFromBasis!L13</f>
        <v>obj_002c0#0000</v>
      </c>
      <c r="C15" s="72" t="str">
        <f>_xll.qlRateHelperQuoteName(B15)</f>
        <v>SEKAB3S6Y_Quote</v>
      </c>
      <c r="D15" s="73">
        <f>_xll.qlRateHelperQuoteValue($B15,Trigger)</f>
        <v>7.4249999999999993E-3</v>
      </c>
      <c r="E15" s="73">
        <f>_xll.qlSwapRateHelperSpread($B15,Trigger)</f>
        <v>1.01E-3</v>
      </c>
      <c r="F15" s="74" t="b">
        <f t="shared" si="0"/>
        <v>1</v>
      </c>
      <c r="G15" s="74">
        <v>50</v>
      </c>
      <c r="H15" s="74">
        <v>1</v>
      </c>
      <c r="I15" s="76">
        <f>_xll.qlRateHelperEarliestDate($B15,Trigger)</f>
        <v>42276</v>
      </c>
      <c r="J15" s="77" t="e">
        <f ca="1">_xll.qlRateHelperLatestDate($B15,Trigger)</f>
        <v>#NAME?</v>
      </c>
      <c r="L15" s="75"/>
    </row>
    <row r="16" spans="2:12" x14ac:dyDescent="0.2">
      <c r="B16" s="169" t="str">
        <f>SwapsFromBasis!L14</f>
        <v>obj_002bd#0000</v>
      </c>
      <c r="C16" s="72" t="str">
        <f>_xll.qlRateHelperQuoteName(B16)</f>
        <v>SEKAB3S7Y_Quote</v>
      </c>
      <c r="D16" s="73">
        <f>_xll.qlRateHelperQuoteValue($B16,Trigger)</f>
        <v>9.4750000000000008E-3</v>
      </c>
      <c r="E16" s="73">
        <f>_xll.qlSwapRateHelperSpread($B16,Trigger)</f>
        <v>1.0089999999999999E-3</v>
      </c>
      <c r="F16" s="74" t="b">
        <f t="shared" si="0"/>
        <v>1</v>
      </c>
      <c r="G16" s="74">
        <v>50</v>
      </c>
      <c r="H16" s="74">
        <v>1</v>
      </c>
      <c r="I16" s="76">
        <f>_xll.qlRateHelperEarliestDate($B16,Trigger)</f>
        <v>42276</v>
      </c>
      <c r="J16" s="77" t="e">
        <f ca="1">_xll.qlRateHelperLatestDate($B16,Trigger)</f>
        <v>#NAME?</v>
      </c>
      <c r="L16" s="75"/>
    </row>
    <row r="17" spans="2:12" x14ac:dyDescent="0.2">
      <c r="B17" s="169" t="str">
        <f>SwapsFromBasis!L15</f>
        <v>obj_002ba#0000</v>
      </c>
      <c r="C17" s="72" t="str">
        <f>_xll.qlRateHelperQuoteName(B17)</f>
        <v>SEKAB3S8Y_Quote</v>
      </c>
      <c r="D17" s="73">
        <f>_xll.qlRateHelperQuoteValue($B17,Trigger)</f>
        <v>1.1200000000000002E-2</v>
      </c>
      <c r="E17" s="73">
        <f>_xll.qlSwapRateHelperSpread($B17,Trigger)</f>
        <v>1.008E-3</v>
      </c>
      <c r="F17" s="74" t="b">
        <f t="shared" si="0"/>
        <v>1</v>
      </c>
      <c r="G17" s="74">
        <v>50</v>
      </c>
      <c r="H17" s="74">
        <v>1</v>
      </c>
      <c r="I17" s="76">
        <f>_xll.qlRateHelperEarliestDate($B17,Trigger)</f>
        <v>42276</v>
      </c>
      <c r="J17" s="77" t="e">
        <f ca="1">_xll.qlRateHelperLatestDate($B17,Trigger)</f>
        <v>#NAME?</v>
      </c>
      <c r="L17" s="75"/>
    </row>
    <row r="18" spans="2:12" x14ac:dyDescent="0.2">
      <c r="B18" s="169" t="str">
        <f>SwapsFromBasis!L16</f>
        <v>obj_002b7#0000</v>
      </c>
      <c r="C18" s="72" t="str">
        <f>_xll.qlRateHelperQuoteName(B18)</f>
        <v>SEKAB3S9Y_Quote</v>
      </c>
      <c r="D18" s="73">
        <f>_xll.qlRateHelperQuoteValue($B18,Trigger)</f>
        <v>1.2600000000000002E-2</v>
      </c>
      <c r="E18" s="73">
        <f>_xll.qlSwapRateHelperSpread($B18,Trigger)</f>
        <v>1.0059999999999999E-3</v>
      </c>
      <c r="F18" s="74" t="b">
        <f t="shared" si="0"/>
        <v>1</v>
      </c>
      <c r="G18" s="74">
        <v>50</v>
      </c>
      <c r="H18" s="74">
        <v>1</v>
      </c>
      <c r="I18" s="76">
        <f>_xll.qlRateHelperEarliestDate($B18,Trigger)</f>
        <v>42276</v>
      </c>
      <c r="J18" s="77" t="e">
        <f ca="1">_xll.qlRateHelperLatestDate($B18,Trigger)</f>
        <v>#NAME?</v>
      </c>
      <c r="L18" s="75"/>
    </row>
    <row r="19" spans="2:12" x14ac:dyDescent="0.2">
      <c r="B19" s="169" t="str">
        <f>SwapsFromBasis!L17</f>
        <v>obj_002b4#0000</v>
      </c>
      <c r="C19" s="72" t="str">
        <f>_xll.qlRateHelperQuoteName(B19)</f>
        <v>SEKAB3S10Y_Quote</v>
      </c>
      <c r="D19" s="73">
        <f>_xll.qlRateHelperQuoteValue($B19,Trigger)</f>
        <v>1.3824999999999999E-2</v>
      </c>
      <c r="E19" s="73">
        <f>_xll.qlSwapRateHelperSpread($B19,Trigger)</f>
        <v>1.0039999999999999E-3</v>
      </c>
      <c r="F19" s="74" t="b">
        <f t="shared" si="0"/>
        <v>1</v>
      </c>
      <c r="G19" s="74">
        <v>50</v>
      </c>
      <c r="H19" s="74">
        <v>1</v>
      </c>
      <c r="I19" s="76">
        <f>_xll.qlRateHelperEarliestDate($B19,Trigger)</f>
        <v>42276</v>
      </c>
      <c r="J19" s="77" t="e">
        <f ca="1">_xll.qlRateHelperLatestDate($B19,Trigger)</f>
        <v>#NAME?</v>
      </c>
      <c r="L19" s="75"/>
    </row>
    <row r="20" spans="2:12" x14ac:dyDescent="0.2">
      <c r="B20" s="169" t="str">
        <f>SwapsFromBasis!L18</f>
        <v>obj_002b1#0000</v>
      </c>
      <c r="C20" s="72" t="str">
        <f>_xll.qlRateHelperQuoteName(B20)</f>
        <v>SEKAB3S12Y_Quote</v>
      </c>
      <c r="D20" s="73">
        <f>_xll.qlRateHelperQuoteValue($B20,Trigger)</f>
        <v>1.5824999999999999E-2</v>
      </c>
      <c r="E20" s="73">
        <f>_xll.qlSwapRateHelperSpread($B20,Trigger)</f>
        <v>1E-3</v>
      </c>
      <c r="F20" s="74" t="b">
        <f t="shared" si="0"/>
        <v>1</v>
      </c>
      <c r="G20" s="74">
        <v>50</v>
      </c>
      <c r="H20" s="74">
        <v>1</v>
      </c>
      <c r="I20" s="76">
        <f>_xll.qlRateHelperEarliestDate($B20,Trigger)</f>
        <v>42276</v>
      </c>
      <c r="J20" s="77" t="e">
        <f ca="1">_xll.qlRateHelperLatestDate($B20,Trigger)</f>
        <v>#NAME?</v>
      </c>
      <c r="L20" s="75"/>
    </row>
    <row r="21" spans="2:12" x14ac:dyDescent="0.2">
      <c r="B21" s="169" t="str">
        <f>SwapsFromBasis!L19</f>
        <v>obj_002c3#0000</v>
      </c>
      <c r="C21" s="72" t="str">
        <f>_xll.qlRateHelperQuoteName(B21)</f>
        <v>SEKAB3S15Y_Quote</v>
      </c>
      <c r="D21" s="73">
        <f>_xll.qlRateHelperQuoteValue($B21,Trigger)</f>
        <v>1.8075000000000001E-2</v>
      </c>
      <c r="E21" s="73">
        <f>_xll.qlSwapRateHelperSpread($B21,Trigger)</f>
        <v>9.77E-4</v>
      </c>
      <c r="F21" s="74" t="b">
        <f t="shared" si="0"/>
        <v>1</v>
      </c>
      <c r="G21" s="74">
        <v>50</v>
      </c>
      <c r="H21" s="74">
        <v>1</v>
      </c>
      <c r="I21" s="76">
        <f>_xll.qlRateHelperEarliestDate($B21,Trigger)</f>
        <v>42276</v>
      </c>
      <c r="J21" s="77" t="e">
        <f ca="1">_xll.qlRateHelperLatestDate($B21,Trigger)</f>
        <v>#NAME?</v>
      </c>
      <c r="L21" s="75"/>
    </row>
    <row r="22" spans="2:12" x14ac:dyDescent="0.2">
      <c r="B22" s="169" t="str">
        <f>SwapsFromBasis!L20</f>
        <v>obj_002c1#0000</v>
      </c>
      <c r="C22" s="72" t="str">
        <f>_xll.qlRateHelperQuoteName(B22)</f>
        <v>SEKAB3S20Y_Quote</v>
      </c>
      <c r="D22" s="73">
        <f>_xll.qlRateHelperQuoteValue($B22,Trigger)</f>
        <v>2.0175000000000002E-2</v>
      </c>
      <c r="E22" s="73">
        <f>_xll.qlSwapRateHelperSpread($B22,Trigger)</f>
        <v>9.2699999999999998E-4</v>
      </c>
      <c r="F22" s="74" t="b">
        <f t="shared" si="0"/>
        <v>1</v>
      </c>
      <c r="G22" s="74">
        <v>50</v>
      </c>
      <c r="H22" s="74">
        <v>1</v>
      </c>
      <c r="I22" s="76">
        <f>_xll.qlRateHelperEarliestDate($B22,Trigger)</f>
        <v>42276</v>
      </c>
      <c r="J22" s="77" t="e">
        <f ca="1">_xll.qlRateHelperLatestDate($B22,Trigger)</f>
        <v>#NAME?</v>
      </c>
      <c r="L22" s="75"/>
    </row>
    <row r="23" spans="2:12" x14ac:dyDescent="0.2">
      <c r="B23" s="169" t="str">
        <f>SwapsFromBasis!L21</f>
        <v>obj_002bf#0000</v>
      </c>
      <c r="C23" s="72" t="str">
        <f>_xll.qlRateHelperQuoteName(B23)</f>
        <v>SEKAB3S25Y_Quote</v>
      </c>
      <c r="D23" s="73">
        <f>_xll.qlRateHelperQuoteValue($B23,Trigger)</f>
        <v>2.1075E-2</v>
      </c>
      <c r="E23" s="73">
        <f>_xll.qlSwapRateHelperSpread($B23,Trigger)</f>
        <v>8.8599999999999996E-4</v>
      </c>
      <c r="F23" s="74" t="b">
        <f t="shared" si="0"/>
        <v>1</v>
      </c>
      <c r="G23" s="74">
        <v>50</v>
      </c>
      <c r="H23" s="74">
        <v>1</v>
      </c>
      <c r="I23" s="76">
        <f>_xll.qlRateHelperEarliestDate($B23,Trigger)</f>
        <v>42276</v>
      </c>
      <c r="J23" s="77" t="e">
        <f ca="1">_xll.qlRateHelperLatestDate($B23,Trigger)</f>
        <v>#NAME?</v>
      </c>
      <c r="L23" s="75"/>
    </row>
    <row r="24" spans="2:12" x14ac:dyDescent="0.2">
      <c r="B24" s="169" t="str">
        <f>SwapsFromBasis!L22</f>
        <v>obj_002bc#0000</v>
      </c>
      <c r="C24" s="72" t="str">
        <f>_xll.qlRateHelperQuoteName(B24)</f>
        <v>SEKAB3S27Y_Quote</v>
      </c>
      <c r="D24" s="73" t="e">
        <f>_xll.qlRateHelperQuoteValue($B24,Trigger)</f>
        <v>#NUM!</v>
      </c>
      <c r="E24" s="73" t="e">
        <f>_xll.qlSwapRateHelperSpread($B24,Trigger)</f>
        <v>#NUM!</v>
      </c>
      <c r="F24" s="74" t="b">
        <f t="shared" si="0"/>
        <v>0</v>
      </c>
      <c r="G24" s="74">
        <v>50</v>
      </c>
      <c r="H24" s="74">
        <v>1</v>
      </c>
      <c r="I24" s="76">
        <f>_xll.qlRateHelperEarliestDate($B24,Trigger)</f>
        <v>42276</v>
      </c>
      <c r="J24" s="77" t="e">
        <f ca="1">_xll.qlRateHelperLatestDate($B24,Trigger)</f>
        <v>#NAME?</v>
      </c>
      <c r="L24" s="75"/>
    </row>
    <row r="25" spans="2:12" x14ac:dyDescent="0.2">
      <c r="B25" s="169" t="str">
        <f>SwapsFromBasis!L23</f>
        <v>obj_002b9#0000</v>
      </c>
      <c r="C25" s="72" t="str">
        <f>_xll.qlRateHelperQuoteName(B25)</f>
        <v>SEKAB3S30Y_Quote</v>
      </c>
      <c r="D25" s="73">
        <f>_xll.qlRateHelperQuoteValue($B25,Trigger)</f>
        <v>2.1375000000000002E-2</v>
      </c>
      <c r="E25" s="73">
        <f>_xll.qlSwapRateHelperSpread($B25,Trigger)</f>
        <v>8.6099999999999989E-4</v>
      </c>
      <c r="F25" s="74" t="b">
        <f t="shared" si="0"/>
        <v>1</v>
      </c>
      <c r="G25" s="74">
        <v>50</v>
      </c>
      <c r="H25" s="74">
        <v>1</v>
      </c>
      <c r="I25" s="76">
        <f>_xll.qlRateHelperEarliestDate($B25,Trigger)</f>
        <v>42276</v>
      </c>
      <c r="J25" s="77" t="e">
        <f ca="1">_xll.qlRateHelperLatestDate($B25,Trigger)</f>
        <v>#NAME?</v>
      </c>
      <c r="L25" s="75"/>
    </row>
    <row r="26" spans="2:12" x14ac:dyDescent="0.2">
      <c r="B26" s="169" t="str">
        <f>SwapsFromBasis!L24</f>
        <v>obj_002b6#0000</v>
      </c>
      <c r="C26" s="72" t="str">
        <f>_xll.qlRateHelperQuoteName(B26)</f>
        <v>SEKAB3S35Y_Quote</v>
      </c>
      <c r="D26" s="73" t="e">
        <f>_xll.qlRateHelperQuoteValue($B26,Trigger)</f>
        <v>#NUM!</v>
      </c>
      <c r="E26" s="73" t="e">
        <f>_xll.qlSwapRateHelperSpread($B26,Trigger)</f>
        <v>#NUM!</v>
      </c>
      <c r="F26" s="74" t="b">
        <f t="shared" si="0"/>
        <v>0</v>
      </c>
      <c r="G26" s="74">
        <v>50</v>
      </c>
      <c r="H26" s="74">
        <v>1</v>
      </c>
      <c r="I26" s="76">
        <f>_xll.qlRateHelperEarliestDate($B26,Trigger)</f>
        <v>42276</v>
      </c>
      <c r="J26" s="77" t="e">
        <f ca="1">_xll.qlRateHelperLatestDate($B26,Trigger)</f>
        <v>#NAME?</v>
      </c>
      <c r="L26" s="75"/>
    </row>
    <row r="27" spans="2:12" x14ac:dyDescent="0.2">
      <c r="B27" s="169" t="str">
        <f>SwapsFromBasis!L25</f>
        <v>obj_002b3#0000</v>
      </c>
      <c r="C27" s="72" t="str">
        <f>_xll.qlRateHelperQuoteName(B27)</f>
        <v>SEKAB3S40Y_Quote</v>
      </c>
      <c r="D27" s="73" t="e">
        <f>_xll.qlRateHelperQuoteValue($B27,Trigger)</f>
        <v>#NUM!</v>
      </c>
      <c r="E27" s="73" t="e">
        <f>_xll.qlSwapRateHelperSpread($B27,Trigger)</f>
        <v>#NUM!</v>
      </c>
      <c r="F27" s="74" t="b">
        <f t="shared" si="0"/>
        <v>0</v>
      </c>
      <c r="G27" s="74">
        <v>50</v>
      </c>
      <c r="H27" s="74">
        <v>1</v>
      </c>
      <c r="I27" s="76">
        <f>_xll.qlRateHelperEarliestDate($B27,Trigger)</f>
        <v>42276</v>
      </c>
      <c r="J27" s="77" t="e">
        <f ca="1">_xll.qlRateHelperLatestDate($B27,Trigger)</f>
        <v>#NAME?</v>
      </c>
      <c r="L27" s="75"/>
    </row>
    <row r="28" spans="2:12" x14ac:dyDescent="0.2">
      <c r="B28" s="226" t="str">
        <f>SwapsFromBasis!L26</f>
        <v>obj_002b0#0000</v>
      </c>
      <c r="C28" s="227" t="str">
        <f>_xll.qlRateHelperQuoteName(B28)</f>
        <v>SEKAB3S50Y_Quote</v>
      </c>
      <c r="D28" s="228" t="e">
        <f>_xll.qlRateHelperQuoteValue($B28,Trigger)</f>
        <v>#NUM!</v>
      </c>
      <c r="E28" s="228" t="e">
        <f>_xll.qlSwapRateHelperSpread($B28,Trigger)</f>
        <v>#NUM!</v>
      </c>
      <c r="F28" s="229" t="b">
        <f t="shared" si="0"/>
        <v>0</v>
      </c>
      <c r="G28" s="229">
        <v>50</v>
      </c>
      <c r="H28" s="229">
        <v>1</v>
      </c>
      <c r="I28" s="230">
        <f>_xll.qlRateHelperEarliestDate($B28,Trigger)</f>
        <v>42276</v>
      </c>
      <c r="J28" s="231" t="e">
        <f ca="1">_xll.qlRateHelperLatestDate($B28,Trigger)</f>
        <v>#NAME?</v>
      </c>
      <c r="L28" s="75"/>
    </row>
    <row r="29" spans="2:12" x14ac:dyDescent="0.2">
      <c r="B29" s="164"/>
      <c r="C29" s="164"/>
      <c r="D29" s="164"/>
      <c r="E29" s="164"/>
      <c r="F29" s="164"/>
      <c r="G29" s="164"/>
      <c r="H29" s="164"/>
      <c r="I29" s="164"/>
      <c r="J29" s="164"/>
      <c r="L29" s="75"/>
    </row>
    <row r="30" spans="2:12" x14ac:dyDescent="0.2">
      <c r="L30" s="75"/>
    </row>
    <row r="31" spans="2:12" x14ac:dyDescent="0.2">
      <c r="L31" s="75"/>
    </row>
    <row r="32" spans="2:12" x14ac:dyDescent="0.2">
      <c r="L32" s="75"/>
    </row>
    <row r="33" spans="12:12" x14ac:dyDescent="0.2">
      <c r="L33" s="75"/>
    </row>
    <row r="34" spans="12:12" x14ac:dyDescent="0.2">
      <c r="L34" s="75"/>
    </row>
    <row r="35" spans="12:12" x14ac:dyDescent="0.2">
      <c r="L35" s="75"/>
    </row>
    <row r="36" spans="12:12" x14ac:dyDescent="0.2">
      <c r="L36" s="75"/>
    </row>
    <row r="37" spans="12:12" x14ac:dyDescent="0.2">
      <c r="L37" s="75"/>
    </row>
    <row r="38" spans="12:12" x14ac:dyDescent="0.2">
      <c r="L38" s="75"/>
    </row>
    <row r="39" spans="12:12" x14ac:dyDescent="0.2">
      <c r="L39" s="75"/>
    </row>
    <row r="40" spans="12:12" x14ac:dyDescent="0.2">
      <c r="L40" s="7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39" bestFit="1" customWidth="1" collapsed="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45" t="s">
        <v>32</v>
      </c>
      <c r="B1" s="246"/>
      <c r="D1" s="114" t="s">
        <v>31</v>
      </c>
      <c r="E1" s="140" t="s">
        <v>107</v>
      </c>
      <c r="F1" s="18" t="s">
        <v>30</v>
      </c>
      <c r="G1" s="18"/>
      <c r="H1" s="18" t="s">
        <v>17</v>
      </c>
      <c r="I1" s="17" t="s">
        <v>16</v>
      </c>
      <c r="J1" s="3">
        <f t="array" ref="J1:J126">_xll.qlPiecewiseYieldCurveData(YieldCurve)</f>
        <v>1</v>
      </c>
    </row>
    <row r="2" spans="1:10" x14ac:dyDescent="0.2">
      <c r="A2" s="16" t="s">
        <v>29</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obj_0025d</v>
      </c>
      <c r="E2" s="141" t="str">
        <f>_xll.qlRateHelperQuoteName($D2)</f>
        <v>SEKSWD_SYNTH1M_Quote</v>
      </c>
      <c r="F2" s="10">
        <f>_xll.qlRateHelperRate($D2)</f>
        <v>-3.5490000000000001E-3</v>
      </c>
      <c r="G2" s="10" t="str">
        <f>IF(ISERROR(_xll.qlSwapRateHelperSpread($D2)),IF(ISERROR(_xll.qlFuturesRateHelperConvexityAdjustment($D2)),"--",_xll.qlFuturesRateHelperConvexityAdjustment($D2)),_xll.qlSwapRateHelperSpread($D2))</f>
        <v>--</v>
      </c>
      <c r="H2" s="9">
        <f>_xll.qlRateHelperEarliestDate($D2)</f>
        <v>42276</v>
      </c>
      <c r="I2" s="8" t="e">
        <f ca="1">_xll.qlRateHelperLatestDate($D2)</f>
        <v>#NAME?</v>
      </c>
      <c r="J2" s="3">
        <v>1.0000690130958116</v>
      </c>
    </row>
    <row r="3" spans="1:10" x14ac:dyDescent="0.2">
      <c r="A3" s="12" t="s">
        <v>28</v>
      </c>
      <c r="B3" s="14">
        <v>1</v>
      </c>
      <c r="D3" s="11" t="str">
        <v>obj_0025b</v>
      </c>
      <c r="E3" s="141" t="str">
        <f>_xll.qlRateHelperQuoteName($D3)</f>
        <v>SEK2WD_SYNTH1M_Quote</v>
      </c>
      <c r="F3" s="10">
        <f>_xll.qlRateHelperRate($D3)</f>
        <v>-3.5639999999999999E-3</v>
      </c>
      <c r="G3" s="10" t="str">
        <f>IF(ISERROR(_xll.qlSwapRateHelperSpread($D3)),IF(ISERROR(_xll.qlFuturesRateHelperConvexityAdjustment($D3)),"--",_xll.qlFuturesRateHelperConvexityAdjustment($D3)),_xll.qlSwapRateHelperSpread($D3))</f>
        <v>--</v>
      </c>
      <c r="H3" s="9">
        <f>_xll.qlRateHelperEarliestDate($D3)</f>
        <v>42276</v>
      </c>
      <c r="I3" s="8" t="e">
        <f ca="1">_xll.qlRateHelperLatestDate($D3)</f>
        <v>#NAME?</v>
      </c>
      <c r="J3" s="3">
        <v>1.0001386192126296</v>
      </c>
    </row>
    <row r="4" spans="1:10" x14ac:dyDescent="0.2">
      <c r="A4" s="12" t="s">
        <v>27</v>
      </c>
      <c r="B4" s="14">
        <v>2</v>
      </c>
      <c r="D4" s="11" t="str">
        <v>obj_0025c</v>
      </c>
      <c r="E4" s="141" t="str">
        <f>_xll.qlRateHelperQuoteName($D4)</f>
        <v>SEK3WD_SYNTH1M_Quote</v>
      </c>
      <c r="F4" s="10">
        <f>_xll.qlRateHelperRate($D4)</f>
        <v>-3.591E-3</v>
      </c>
      <c r="G4" s="10" t="str">
        <f>IF(ISERROR(_xll.qlSwapRateHelperSpread($D4)),IF(ISERROR(_xll.qlFuturesRateHelperConvexityAdjustment($D4)),"--",_xll.qlFuturesRateHelperConvexityAdjustment($D4)),_xll.qlSwapRateHelperSpread($D4))</f>
        <v>--</v>
      </c>
      <c r="H4" s="9">
        <f>_xll.qlRateHelperEarliestDate($D4)</f>
        <v>42276</v>
      </c>
      <c r="I4" s="8" t="e">
        <f ca="1">_xll.qlRateHelperLatestDate($D4)</f>
        <v>#NAME?</v>
      </c>
      <c r="J4" s="3">
        <v>1.0002095188890177</v>
      </c>
    </row>
    <row r="5" spans="1:10" x14ac:dyDescent="0.2">
      <c r="A5" s="12" t="s">
        <v>26</v>
      </c>
      <c r="B5" s="13" t="s">
        <v>25</v>
      </c>
      <c r="D5" s="11" t="str">
        <v>obj_00259</v>
      </c>
      <c r="E5" s="141" t="str">
        <f>_xll.qlRateHelperQuoteName($D5)</f>
        <v>SEK1MD_SYNTH1M_Quote</v>
      </c>
      <c r="F5" s="10">
        <f>_xll.qlRateHelperRate($D5)</f>
        <v>-3.64E-3</v>
      </c>
      <c r="G5" s="10" t="str">
        <f>IF(ISERROR(_xll.qlSwapRateHelperSpread($D5)),IF(ISERROR(_xll.qlFuturesRateHelperConvexityAdjustment($D5)),"--",_xll.qlFuturesRateHelperConvexityAdjustment($D5)),_xll.qlSwapRateHelperSpread($D5))</f>
        <v>--</v>
      </c>
      <c r="H5" s="9">
        <f>_xll.qlRateHelperEarliestDate($D5)</f>
        <v>42276</v>
      </c>
      <c r="I5" s="8" t="e">
        <f ca="1">_xll.qlRateHelperLatestDate($D5)</f>
        <v>#NAME?</v>
      </c>
      <c r="J5" s="3">
        <v>1.0003034253722802</v>
      </c>
    </row>
    <row r="6" spans="1:10" x14ac:dyDescent="0.2">
      <c r="A6" s="50"/>
      <c r="B6" s="50"/>
      <c r="D6" s="11" t="str">
        <v>obj_002ac</v>
      </c>
      <c r="E6" s="141" t="str">
        <f>_xll.qlRateHelperQuoteName($D6)</f>
        <v>SEKAB3S1Y_Quote</v>
      </c>
      <c r="F6" s="10">
        <f>_xll.qlRateHelperRate($D6)</f>
        <v>-2.9749999999999998E-3</v>
      </c>
      <c r="G6" s="10">
        <f>IF(ISERROR(_xll.qlSwapRateHelperSpread($D6)),IF(ISERROR(_xll.qlFuturesRateHelperConvexityAdjustment($D6)),"--",_xll.qlFuturesRateHelperConvexityAdjustment($D6)),_xll.qlSwapRateHelperSpread($D6))</f>
        <v>8.0000000000000004E-4</v>
      </c>
      <c r="H6" s="9">
        <f>_xll.qlRateHelperEarliestDate($D6)</f>
        <v>42276</v>
      </c>
      <c r="I6" s="8" t="e">
        <f ca="1">_xll.qlRateHelperLatestDate($D6)</f>
        <v>#NAME?</v>
      </c>
      <c r="J6" s="3">
        <v>1.0038015905444455</v>
      </c>
    </row>
    <row r="7" spans="1:10" x14ac:dyDescent="0.2">
      <c r="A7" s="50"/>
      <c r="B7" s="50"/>
      <c r="D7" s="11" t="str">
        <v>obj_002b5</v>
      </c>
      <c r="E7" s="141" t="str">
        <f>_xll.qlRateHelperQuoteName($D7)</f>
        <v>SEKAB3S2Y_Quote</v>
      </c>
      <c r="F7" s="10">
        <f>_xll.qlRateHelperRate($D7)</f>
        <v>-1.6250000000000001E-3</v>
      </c>
      <c r="G7" s="10">
        <f>IF(ISERROR(_xll.qlSwapRateHelperSpread($D7)),IF(ISERROR(_xll.qlFuturesRateHelperConvexityAdjustment($D7)),"--",_xll.qlFuturesRateHelperConvexityAdjustment($D7)),_xll.qlSwapRateHelperSpread($D7))</f>
        <v>9.2400000000000002E-4</v>
      </c>
      <c r="H7" s="9">
        <f>_xll.qlRateHelperEarliestDate($D7)</f>
        <v>42276</v>
      </c>
      <c r="I7" s="8" t="e">
        <f ca="1">_xll.qlRateHelperLatestDate($D7)</f>
        <v>#NAME?</v>
      </c>
      <c r="J7" s="3">
        <v>1.0051481899762555</v>
      </c>
    </row>
    <row r="8" spans="1:10" x14ac:dyDescent="0.2">
      <c r="A8" s="50"/>
      <c r="B8" s="50"/>
      <c r="D8" s="11" t="str">
        <v>obj_002b2</v>
      </c>
      <c r="E8" s="141" t="str">
        <f>_xll.qlRateHelperQuoteName($D8)</f>
        <v>SEKAB3S3Y_Quote</v>
      </c>
      <c r="F8" s="10">
        <f>_xll.qlRateHelperRate($D8)</f>
        <v>3.7500000000000001E-4</v>
      </c>
      <c r="G8" s="10">
        <f>IF(ISERROR(_xll.qlSwapRateHelperSpread($D8)),IF(ISERROR(_xll.qlFuturesRateHelperConvexityAdjustment($D8)),"--",_xll.qlFuturesRateHelperConvexityAdjustment($D8)),_xll.qlSwapRateHelperSpread($D8))</f>
        <v>9.810000000000001E-4</v>
      </c>
      <c r="H8" s="9">
        <f>_xll.qlRateHelperEarliestDate($D8)</f>
        <v>42276</v>
      </c>
      <c r="I8" s="8" t="e">
        <f ca="1">_xll.qlRateHelperLatestDate($D8)</f>
        <v>#NAME?</v>
      </c>
      <c r="J8" s="3">
        <v>1.0018696609849245</v>
      </c>
    </row>
    <row r="9" spans="1:10" x14ac:dyDescent="0.2">
      <c r="A9" s="50"/>
      <c r="D9" s="11" t="str">
        <v>obj_002c4</v>
      </c>
      <c r="E9" s="141" t="str">
        <f>_xll.qlRateHelperQuoteName($D9)</f>
        <v>SEKAB3S4Y_Quote</v>
      </c>
      <c r="F9" s="10">
        <f>_xll.qlRateHelperRate($D9)</f>
        <v>2.65E-3</v>
      </c>
      <c r="G9" s="10">
        <f>IF(ISERROR(_xll.qlSwapRateHelperSpread($D9)),IF(ISERROR(_xll.qlFuturesRateHelperConvexityAdjustment($D9)),"--",_xll.qlFuturesRateHelperConvexityAdjustment($D9)),_xll.qlSwapRateHelperSpread($D9))</f>
        <v>1.0070000000000001E-3</v>
      </c>
      <c r="H9" s="9">
        <f>_xll.qlRateHelperEarliestDate($D9)</f>
        <v>42276</v>
      </c>
      <c r="I9" s="8" t="e">
        <f ca="1">_xll.qlRateHelperLatestDate($D9)</f>
        <v>#NAME?</v>
      </c>
      <c r="J9" s="3">
        <v>0.99348995456088929</v>
      </c>
    </row>
    <row r="10" spans="1:10" x14ac:dyDescent="0.2">
      <c r="D10" s="11" t="str">
        <v>obj_002c2</v>
      </c>
      <c r="E10" s="141" t="str">
        <f>_xll.qlRateHelperQuoteName($D10)</f>
        <v>SEKAB3S5Y_Quote</v>
      </c>
      <c r="F10" s="10">
        <f>_xll.qlRateHelperRate($D10)</f>
        <v>5.1249999999999993E-3</v>
      </c>
      <c r="G10" s="10">
        <f>IF(ISERROR(_xll.qlSwapRateHelperSpread($D10)),IF(ISERROR(_xll.qlFuturesRateHelperConvexityAdjustment($D10)),"--",_xll.qlFuturesRateHelperConvexityAdjustment($D10)),_xll.qlSwapRateHelperSpread($D10))</f>
        <v>1.01E-3</v>
      </c>
      <c r="H10" s="9">
        <f>_xll.qlRateHelperEarliestDate($D10)</f>
        <v>42276</v>
      </c>
      <c r="I10" s="8" t="e">
        <f ca="1">_xll.qlRateHelperLatestDate($D10)</f>
        <v>#NAME?</v>
      </c>
      <c r="J10" s="3">
        <v>0.97960335581227775</v>
      </c>
    </row>
    <row r="11" spans="1:10" x14ac:dyDescent="0.2">
      <c r="D11" s="11" t="str">
        <v>obj_002c0</v>
      </c>
      <c r="E11" s="141" t="str">
        <f>_xll.qlRateHelperQuoteName($D11)</f>
        <v>SEKAB3S6Y_Quote</v>
      </c>
      <c r="F11" s="10">
        <f>_xll.qlRateHelperRate($D11)</f>
        <v>7.4249999999999993E-3</v>
      </c>
      <c r="G11" s="10">
        <f>IF(ISERROR(_xll.qlSwapRateHelperSpread($D11)),IF(ISERROR(_xll.qlFuturesRateHelperConvexityAdjustment($D11)),"--",_xll.qlFuturesRateHelperConvexityAdjustment($D11)),_xll.qlSwapRateHelperSpread($D11))</f>
        <v>1.01E-3</v>
      </c>
      <c r="H11" s="9">
        <f>_xll.qlRateHelperEarliestDate($D11)</f>
        <v>42276</v>
      </c>
      <c r="I11" s="8" t="e">
        <f ca="1">_xll.qlRateHelperLatestDate($D11)</f>
        <v>#NAME?</v>
      </c>
      <c r="J11" s="3">
        <v>0.9620093964758698</v>
      </c>
    </row>
    <row r="12" spans="1:10" x14ac:dyDescent="0.2">
      <c r="D12" s="11" t="str">
        <v>obj_002bd</v>
      </c>
      <c r="E12" s="141" t="str">
        <f>_xll.qlRateHelperQuoteName($D12)</f>
        <v>SEKAB3S7Y_Quote</v>
      </c>
      <c r="F12" s="10">
        <f>_xll.qlRateHelperRate($D12)</f>
        <v>9.4750000000000008E-3</v>
      </c>
      <c r="G12" s="10">
        <f>IF(ISERROR(_xll.qlSwapRateHelperSpread($D12)),IF(ISERROR(_xll.qlFuturesRateHelperConvexityAdjustment($D12)),"--",_xll.qlFuturesRateHelperConvexityAdjustment($D12)),_xll.qlSwapRateHelperSpread($D12))</f>
        <v>1.0089999999999999E-3</v>
      </c>
      <c r="H12" s="9">
        <f>_xll.qlRateHelperEarliestDate($D12)</f>
        <v>42276</v>
      </c>
      <c r="I12" s="8" t="e">
        <f ca="1">_xll.qlRateHelperLatestDate($D12)</f>
        <v>#NAME?</v>
      </c>
      <c r="J12" s="3">
        <v>0.94188263056674404</v>
      </c>
    </row>
    <row r="13" spans="1:10" x14ac:dyDescent="0.2">
      <c r="D13" s="11" t="str">
        <v>obj_002ba</v>
      </c>
      <c r="E13" s="141" t="str">
        <f>_xll.qlRateHelperQuoteName($D13)</f>
        <v>SEKAB3S8Y_Quote</v>
      </c>
      <c r="F13" s="10">
        <f>_xll.qlRateHelperRate($D13)</f>
        <v>1.1200000000000002E-2</v>
      </c>
      <c r="G13" s="10">
        <f>IF(ISERROR(_xll.qlSwapRateHelperSpread($D13)),IF(ISERROR(_xll.qlFuturesRateHelperConvexityAdjustment($D13)),"--",_xll.qlFuturesRateHelperConvexityAdjustment($D13)),_xll.qlSwapRateHelperSpread($D13))</f>
        <v>1.008E-3</v>
      </c>
      <c r="H13" s="9">
        <f>_xll.qlRateHelperEarliestDate($D13)</f>
        <v>42276</v>
      </c>
      <c r="I13" s="8" t="e">
        <f ca="1">_xll.qlRateHelperLatestDate($D13)</f>
        <v>#NAME?</v>
      </c>
      <c r="J13" s="3">
        <v>0.92065374536797762</v>
      </c>
    </row>
    <row r="14" spans="1:10" x14ac:dyDescent="0.2">
      <c r="D14" s="11" t="str">
        <v>obj_002b7</v>
      </c>
      <c r="E14" s="141" t="str">
        <f>_xll.qlRateHelperQuoteName($D14)</f>
        <v>SEKAB3S9Y_Quote</v>
      </c>
      <c r="F14" s="10">
        <f>_xll.qlRateHelperRate($D14)</f>
        <v>1.2600000000000002E-2</v>
      </c>
      <c r="G14" s="10">
        <f>IF(ISERROR(_xll.qlSwapRateHelperSpread($D14)),IF(ISERROR(_xll.qlFuturesRateHelperConvexityAdjustment($D14)),"--",_xll.qlFuturesRateHelperConvexityAdjustment($D14)),_xll.qlSwapRateHelperSpread($D14))</f>
        <v>1.0059999999999999E-3</v>
      </c>
      <c r="H14" s="9">
        <f>_xll.qlRateHelperEarliestDate($D14)</f>
        <v>42276</v>
      </c>
      <c r="I14" s="8" t="e">
        <f ca="1">_xll.qlRateHelperLatestDate($D14)</f>
        <v>#NAME?</v>
      </c>
      <c r="J14" s="3">
        <v>0.89929420812874161</v>
      </c>
    </row>
    <row r="15" spans="1:10" x14ac:dyDescent="0.2">
      <c r="D15" s="11" t="str">
        <v>obj_002b4</v>
      </c>
      <c r="E15" s="141" t="str">
        <f>_xll.qlRateHelperQuoteName($D15)</f>
        <v>SEKAB3S10Y_Quote</v>
      </c>
      <c r="F15" s="10">
        <f>_xll.qlRateHelperRate($D15)</f>
        <v>1.3824999999999999E-2</v>
      </c>
      <c r="G15" s="10">
        <f>IF(ISERROR(_xll.qlSwapRateHelperSpread($D15)),IF(ISERROR(_xll.qlFuturesRateHelperConvexityAdjustment($D15)),"--",_xll.qlFuturesRateHelperConvexityAdjustment($D15)),_xll.qlSwapRateHelperSpread($D15))</f>
        <v>1.0039999999999999E-3</v>
      </c>
      <c r="H15" s="9">
        <f>_xll.qlRateHelperEarliestDate($D15)</f>
        <v>42276</v>
      </c>
      <c r="I15" s="8" t="e">
        <f ca="1">_xll.qlRateHelperLatestDate($D15)</f>
        <v>#NAME?</v>
      </c>
      <c r="J15" s="3">
        <v>0.87742675074593335</v>
      </c>
    </row>
    <row r="16" spans="1:10" x14ac:dyDescent="0.2">
      <c r="D16" s="11" t="str">
        <v>obj_002b1</v>
      </c>
      <c r="E16" s="141" t="str">
        <f>_xll.qlRateHelperQuoteName($D16)</f>
        <v>SEKAB3S12Y_Quote</v>
      </c>
      <c r="F16" s="10">
        <f>_xll.qlRateHelperRate($D16)</f>
        <v>1.5824999999999999E-2</v>
      </c>
      <c r="G16" s="10">
        <f>IF(ISERROR(_xll.qlSwapRateHelperSpread($D16)),IF(ISERROR(_xll.qlFuturesRateHelperConvexityAdjustment($D16)),"--",_xll.qlFuturesRateHelperConvexityAdjustment($D16)),_xll.qlSwapRateHelperSpread($D16))</f>
        <v>1E-3</v>
      </c>
      <c r="H16" s="9">
        <f>_xll.qlRateHelperEarliestDate($D16)</f>
        <v>42276</v>
      </c>
      <c r="I16" s="8" t="e">
        <f ca="1">_xll.qlRateHelperLatestDate($D16)</f>
        <v>#NAME?</v>
      </c>
      <c r="J16" s="3">
        <v>0.83326086725193926</v>
      </c>
    </row>
    <row r="17" spans="4:10" x14ac:dyDescent="0.2">
      <c r="D17" s="11" t="str">
        <v>obj_002c3</v>
      </c>
      <c r="E17" s="141" t="str">
        <f>_xll.qlRateHelperQuoteName($D17)</f>
        <v>SEKAB3S15Y_Quote</v>
      </c>
      <c r="F17" s="10">
        <f>_xll.qlRateHelperRate($D17)</f>
        <v>1.8075000000000001E-2</v>
      </c>
      <c r="G17" s="10">
        <f>IF(ISERROR(_xll.qlSwapRateHelperSpread($D17)),IF(ISERROR(_xll.qlFuturesRateHelperConvexityAdjustment($D17)),"--",_xll.qlFuturesRateHelperConvexityAdjustment($D17)),_xll.qlSwapRateHelperSpread($D17))</f>
        <v>9.77E-4</v>
      </c>
      <c r="H17" s="9">
        <f>_xll.qlRateHelperEarliestDate($D17)</f>
        <v>42276</v>
      </c>
      <c r="I17" s="8" t="e">
        <f ca="1">_xll.qlRateHelperLatestDate($D17)</f>
        <v>#NAME?</v>
      </c>
      <c r="J17" s="3">
        <v>0.76722041590407009</v>
      </c>
    </row>
    <row r="18" spans="4:10" x14ac:dyDescent="0.2">
      <c r="D18" s="11" t="str">
        <v>obj_002c1</v>
      </c>
      <c r="E18" s="141" t="str">
        <f>_xll.qlRateHelperQuoteName($D18)</f>
        <v>SEKAB3S20Y_Quote</v>
      </c>
      <c r="F18" s="10">
        <f>_xll.qlRateHelperRate($D18)</f>
        <v>2.0175000000000002E-2</v>
      </c>
      <c r="G18" s="10">
        <f>IF(ISERROR(_xll.qlSwapRateHelperSpread($D18)),IF(ISERROR(_xll.qlFuturesRateHelperConvexityAdjustment($D18)),"--",_xll.qlFuturesRateHelperConvexityAdjustment($D18)),_xll.qlSwapRateHelperSpread($D18))</f>
        <v>9.2699999999999998E-4</v>
      </c>
      <c r="H18" s="9">
        <f>_xll.qlRateHelperEarliestDate($D18)</f>
        <v>42276</v>
      </c>
      <c r="I18" s="8" t="e">
        <f ca="1">_xll.qlRateHelperLatestDate($D18)</f>
        <v>#NAME?</v>
      </c>
      <c r="J18" s="3">
        <v>0.66996368176091436</v>
      </c>
    </row>
    <row r="19" spans="4:10" x14ac:dyDescent="0.2">
      <c r="D19" s="11" t="str">
        <v>obj_002bf</v>
      </c>
      <c r="E19" s="141" t="str">
        <f>_xll.qlRateHelperQuoteName($D19)</f>
        <v>SEKAB3S25Y_Quote</v>
      </c>
      <c r="F19" s="10">
        <f>_xll.qlRateHelperRate($D19)</f>
        <v>2.1075E-2</v>
      </c>
      <c r="G19" s="10">
        <f>IF(ISERROR(_xll.qlSwapRateHelperSpread($D19)),IF(ISERROR(_xll.qlFuturesRateHelperConvexityAdjustment($D19)),"--",_xll.qlFuturesRateHelperConvexityAdjustment($D19)),_xll.qlSwapRateHelperSpread($D19))</f>
        <v>8.8599999999999996E-4</v>
      </c>
      <c r="H19" s="9">
        <f>_xll.qlRateHelperEarliestDate($D19)</f>
        <v>42276</v>
      </c>
      <c r="I19" s="8" t="e">
        <f ca="1">_xll.qlRateHelperLatestDate($D19)</f>
        <v>#NAME?</v>
      </c>
      <c r="J19" s="3">
        <v>0.59112627557444497</v>
      </c>
    </row>
    <row r="20" spans="4:10" x14ac:dyDescent="0.2">
      <c r="D20" s="11" t="str">
        <v>obj_002b9</v>
      </c>
      <c r="E20" s="141" t="str">
        <f>_xll.qlRateHelperQuoteName($D20)</f>
        <v>SEKAB3S30Y_Quote</v>
      </c>
      <c r="F20" s="10">
        <f>_xll.qlRateHelperRate($D20)</f>
        <v>2.1375000000000002E-2</v>
      </c>
      <c r="G20" s="10">
        <f>IF(ISERROR(_xll.qlSwapRateHelperSpread($D20)),IF(ISERROR(_xll.qlFuturesRateHelperConvexityAdjustment($D20)),"--",_xll.qlFuturesRateHelperConvexityAdjustment($D20)),_xll.qlSwapRateHelperSpread($D20))</f>
        <v>8.6099999999999989E-4</v>
      </c>
      <c r="H20" s="9">
        <f>_xll.qlRateHelperEarliestDate($D20)</f>
        <v>42276</v>
      </c>
      <c r="I20" s="8" t="e">
        <f ca="1">_xll.qlRateHelperLatestDate($D20)</f>
        <v>#NAME?</v>
      </c>
      <c r="J20" s="3">
        <v>0.52788391008130675</v>
      </c>
    </row>
    <row r="21" spans="4:10" x14ac:dyDescent="0.2">
      <c r="D21" s="11" t="e">
        <v>#N/A</v>
      </c>
      <c r="E21" s="14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 ca="1">_xll.qlRateHelperLatestDate($D21)</f>
        <v>#NAME?</v>
      </c>
      <c r="J21" s="3" t="e">
        <v>#N/A</v>
      </c>
    </row>
    <row r="22" spans="4:10" x14ac:dyDescent="0.2">
      <c r="D22" s="11" t="e">
        <v>#N/A</v>
      </c>
      <c r="E22" s="14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 ca="1">_xll.qlRateHelperLatestDate($D22)</f>
        <v>#NAME?</v>
      </c>
      <c r="J22" s="3" t="e">
        <v>#N/A</v>
      </c>
    </row>
    <row r="23" spans="4:10" x14ac:dyDescent="0.2">
      <c r="D23" s="11" t="e">
        <v>#N/A</v>
      </c>
      <c r="E23" s="14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 ca="1">_xll.qlRateHelperLatestDate($D23)</f>
        <v>#NAME?</v>
      </c>
      <c r="J23" s="3" t="e">
        <v>#N/A</v>
      </c>
    </row>
    <row r="24" spans="4:10" x14ac:dyDescent="0.2">
      <c r="D24" s="11" t="e">
        <v>#N/A</v>
      </c>
      <c r="E24" s="14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 ca="1">_xll.qlRateHelperLatestDate($D24)</f>
        <v>#NAME?</v>
      </c>
      <c r="J24" s="3" t="e">
        <v>#N/A</v>
      </c>
    </row>
    <row r="25" spans="4:10" x14ac:dyDescent="0.2">
      <c r="D25" s="11" t="e">
        <v>#N/A</v>
      </c>
      <c r="E25" s="14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 ca="1">_xll.qlRateHelperLatestDate($D25)</f>
        <v>#NAME?</v>
      </c>
      <c r="J25" s="3" t="e">
        <v>#N/A</v>
      </c>
    </row>
    <row r="26" spans="4:10" x14ac:dyDescent="0.2">
      <c r="D26" s="11" t="e">
        <v>#N/A</v>
      </c>
      <c r="E26" s="14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 ca="1">_xll.qlRateHelperLatestDate($D26)</f>
        <v>#NAME?</v>
      </c>
      <c r="J26" s="3" t="e">
        <v>#N/A</v>
      </c>
    </row>
    <row r="27" spans="4:10" x14ac:dyDescent="0.2">
      <c r="D27" s="11" t="e">
        <v>#N/A</v>
      </c>
      <c r="E27" s="14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 ca="1">_xll.qlRateHelperLatestDate($D27)</f>
        <v>#NAME?</v>
      </c>
      <c r="J27" s="3" t="e">
        <v>#N/A</v>
      </c>
    </row>
    <row r="28" spans="4:10" x14ac:dyDescent="0.2">
      <c r="D28" s="11" t="e">
        <v>#N/A</v>
      </c>
      <c r="E28" s="14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 ca="1">_xll.qlRateHelperLatestDate($D28)</f>
        <v>#NAME?</v>
      </c>
      <c r="J28" s="3" t="e">
        <v>#N/A</v>
      </c>
    </row>
    <row r="29" spans="4:10" x14ac:dyDescent="0.2">
      <c r="D29" s="11" t="e">
        <v>#N/A</v>
      </c>
      <c r="E29" s="14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 ca="1">_xll.qlRateHelperLatestDate($D29)</f>
        <v>#NAME?</v>
      </c>
      <c r="J29" s="3" t="e">
        <v>#N/A</v>
      </c>
    </row>
    <row r="30" spans="4:10" x14ac:dyDescent="0.2">
      <c r="D30" s="11" t="e">
        <v>#N/A</v>
      </c>
      <c r="E30" s="14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 ca="1">_xll.qlRateHelperLatestDate($D30)</f>
        <v>#NAME?</v>
      </c>
      <c r="J30" s="3" t="e">
        <v>#N/A</v>
      </c>
    </row>
    <row r="31" spans="4:10" x14ac:dyDescent="0.2">
      <c r="D31" s="11" t="e">
        <v>#N/A</v>
      </c>
      <c r="E31" s="14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 ca="1">_xll.qlRateHelperLatestDate($D31)</f>
        <v>#NAME?</v>
      </c>
      <c r="J31" s="3" t="e">
        <v>#N/A</v>
      </c>
    </row>
    <row r="32" spans="4:10" x14ac:dyDescent="0.2">
      <c r="D32" s="11" t="e">
        <v>#N/A</v>
      </c>
      <c r="E32" s="14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 ca="1">_xll.qlRateHelperLatestDate($D32)</f>
        <v>#NAME?</v>
      </c>
      <c r="J32" s="3" t="e">
        <v>#N/A</v>
      </c>
    </row>
    <row r="33" spans="4:10" x14ac:dyDescent="0.2">
      <c r="D33" s="11" t="e">
        <v>#N/A</v>
      </c>
      <c r="E33" s="14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 ca="1">_xll.qlRateHelperLatestDate($D33)</f>
        <v>#NAME?</v>
      </c>
      <c r="J33" s="3" t="e">
        <v>#N/A</v>
      </c>
    </row>
    <row r="34" spans="4:10" x14ac:dyDescent="0.2">
      <c r="D34" s="11" t="e">
        <v>#N/A</v>
      </c>
      <c r="E34" s="14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 ca="1">_xll.qlRateHelperLatestDate($D34)</f>
        <v>#NAME?</v>
      </c>
      <c r="J34" s="3" t="e">
        <v>#N/A</v>
      </c>
    </row>
    <row r="35" spans="4:10" x14ac:dyDescent="0.2">
      <c r="D35" s="11" t="e">
        <v>#N/A</v>
      </c>
      <c r="E35" s="14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 ca="1">_xll.qlRateHelperLatestDate($D35)</f>
        <v>#NAME?</v>
      </c>
      <c r="J35" s="3" t="e">
        <v>#N/A</v>
      </c>
    </row>
    <row r="36" spans="4:10" x14ac:dyDescent="0.2">
      <c r="D36" s="11" t="e">
        <v>#N/A</v>
      </c>
      <c r="E36" s="14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 ca="1">_xll.qlRateHelperLatestDate($D36)</f>
        <v>#NAME?</v>
      </c>
      <c r="J36" s="3" t="e">
        <v>#N/A</v>
      </c>
    </row>
    <row r="37" spans="4:10" x14ac:dyDescent="0.2">
      <c r="D37" s="11" t="e">
        <v>#N/A</v>
      </c>
      <c r="E37" s="14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 ca="1">_xll.qlRateHelperLatestDate($D37)</f>
        <v>#NAME?</v>
      </c>
      <c r="J37" s="3" t="e">
        <v>#N/A</v>
      </c>
    </row>
    <row r="38" spans="4:10" x14ac:dyDescent="0.2">
      <c r="D38" s="11" t="e">
        <v>#N/A</v>
      </c>
      <c r="E38" s="14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 ca="1">_xll.qlRateHelperLatestDate($D38)</f>
        <v>#NAME?</v>
      </c>
      <c r="J38" s="3" t="e">
        <v>#N/A</v>
      </c>
    </row>
    <row r="39" spans="4:10" x14ac:dyDescent="0.2">
      <c r="D39" s="11" t="e">
        <v>#N/A</v>
      </c>
      <c r="E39" s="14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 ca="1">_xll.qlRateHelperLatestDate($D39)</f>
        <v>#NAME?</v>
      </c>
      <c r="J39" s="3" t="e">
        <v>#N/A</v>
      </c>
    </row>
    <row r="40" spans="4:10" x14ac:dyDescent="0.2">
      <c r="D40" s="11" t="e">
        <v>#N/A</v>
      </c>
      <c r="E40" s="14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 ca="1">_xll.qlRateHelperLatestDate($D40)</f>
        <v>#NAME?</v>
      </c>
      <c r="J40" s="3" t="e">
        <v>#N/A</v>
      </c>
    </row>
    <row r="41" spans="4:10" x14ac:dyDescent="0.2">
      <c r="D41" s="11" t="e">
        <v>#N/A</v>
      </c>
      <c r="E41" s="14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 ca="1">_xll.qlRateHelperLatestDate($D41)</f>
        <v>#NAME?</v>
      </c>
      <c r="J41" s="3" t="e">
        <v>#N/A</v>
      </c>
    </row>
    <row r="42" spans="4:10" x14ac:dyDescent="0.2">
      <c r="D42" s="11" t="e">
        <v>#N/A</v>
      </c>
      <c r="E42" s="14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 ca="1">_xll.qlRateHelperLatestDate($D42)</f>
        <v>#NAME?</v>
      </c>
      <c r="J42" s="3" t="e">
        <v>#N/A</v>
      </c>
    </row>
    <row r="43" spans="4:10" x14ac:dyDescent="0.2">
      <c r="D43" s="11" t="e">
        <v>#N/A</v>
      </c>
      <c r="E43" s="14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 ca="1">_xll.qlRateHelperLatestDate($D43)</f>
        <v>#NAME?</v>
      </c>
      <c r="J43" s="3" t="e">
        <v>#N/A</v>
      </c>
    </row>
    <row r="44" spans="4:10" x14ac:dyDescent="0.2">
      <c r="D44" s="11" t="e">
        <v>#N/A</v>
      </c>
      <c r="E44" s="14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 ca="1">_xll.qlRateHelperLatestDate($D44)</f>
        <v>#NAME?</v>
      </c>
      <c r="J44" s="3" t="e">
        <v>#N/A</v>
      </c>
    </row>
    <row r="45" spans="4:10" x14ac:dyDescent="0.2">
      <c r="D45" s="11" t="e">
        <v>#N/A</v>
      </c>
      <c r="E45" s="14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 ca="1">_xll.qlRateHelperLatestDate($D45)</f>
        <v>#NAME?</v>
      </c>
      <c r="J45" s="3" t="e">
        <v>#N/A</v>
      </c>
    </row>
    <row r="46" spans="4:10" x14ac:dyDescent="0.2">
      <c r="D46" s="11" t="e">
        <v>#N/A</v>
      </c>
      <c r="E46" s="14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 ca="1">_xll.qlRateHelperLatestDate($D46)</f>
        <v>#NAME?</v>
      </c>
      <c r="J46" s="3" t="e">
        <v>#N/A</v>
      </c>
    </row>
    <row r="47" spans="4:10" x14ac:dyDescent="0.2">
      <c r="D47" s="11" t="e">
        <v>#N/A</v>
      </c>
      <c r="E47" s="14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 ca="1">_xll.qlRateHelperLatestDate($D47)</f>
        <v>#NAME?</v>
      </c>
      <c r="J47" s="3" t="e">
        <v>#N/A</v>
      </c>
    </row>
    <row r="48" spans="4:10" x14ac:dyDescent="0.2">
      <c r="D48" s="11" t="e">
        <v>#N/A</v>
      </c>
      <c r="E48" s="14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 ca="1">_xll.qlRateHelperLatestDate($D48)</f>
        <v>#NAME?</v>
      </c>
      <c r="J48" s="3" t="e">
        <v>#N/A</v>
      </c>
    </row>
    <row r="49" spans="4:10" x14ac:dyDescent="0.2">
      <c r="D49" s="11" t="e">
        <v>#N/A</v>
      </c>
      <c r="E49" s="14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 ca="1">_xll.qlRateHelperLatestDate($D49)</f>
        <v>#NAME?</v>
      </c>
      <c r="J49" s="3" t="e">
        <v>#N/A</v>
      </c>
    </row>
    <row r="50" spans="4:10" x14ac:dyDescent="0.2">
      <c r="D50" s="11" t="e">
        <v>#N/A</v>
      </c>
      <c r="E50" s="14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 ca="1">_xll.qlRateHelperLatestDate($D50)</f>
        <v>#NAME?</v>
      </c>
      <c r="J50" s="3" t="e">
        <v>#N/A</v>
      </c>
    </row>
    <row r="51" spans="4:10" x14ac:dyDescent="0.2">
      <c r="D51" s="11" t="e">
        <v>#N/A</v>
      </c>
      <c r="E51" s="14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 ca="1">_xll.qlRateHelperLatestDate($D51)</f>
        <v>#NAME?</v>
      </c>
      <c r="J51" s="3" t="e">
        <v>#N/A</v>
      </c>
    </row>
    <row r="52" spans="4:10" x14ac:dyDescent="0.2">
      <c r="D52" s="11" t="e">
        <v>#N/A</v>
      </c>
      <c r="E52" s="14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 ca="1">_xll.qlRateHelperLatestDate($D52)</f>
        <v>#NAME?</v>
      </c>
      <c r="J52" s="3" t="e">
        <v>#N/A</v>
      </c>
    </row>
    <row r="53" spans="4:10" x14ac:dyDescent="0.2">
      <c r="D53" s="11" t="e">
        <v>#N/A</v>
      </c>
      <c r="E53" s="14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 ca="1">_xll.qlRateHelperLatestDate($D53)</f>
        <v>#NAME?</v>
      </c>
      <c r="J53" s="3" t="e">
        <v>#N/A</v>
      </c>
    </row>
    <row r="54" spans="4:10" x14ac:dyDescent="0.2">
      <c r="D54" s="11" t="e">
        <v>#N/A</v>
      </c>
      <c r="E54" s="14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 ca="1">_xll.qlRateHelperLatestDate($D54)</f>
        <v>#NAME?</v>
      </c>
      <c r="J54" s="3" t="e">
        <v>#N/A</v>
      </c>
    </row>
    <row r="55" spans="4:10" x14ac:dyDescent="0.2">
      <c r="D55" s="11" t="e">
        <v>#N/A</v>
      </c>
      <c r="E55" s="14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 ca="1">_xll.qlRateHelperLatestDate($D55)</f>
        <v>#NAME?</v>
      </c>
      <c r="J55" s="3" t="e">
        <v>#N/A</v>
      </c>
    </row>
    <row r="56" spans="4:10" x14ac:dyDescent="0.2">
      <c r="D56" s="11" t="e">
        <v>#N/A</v>
      </c>
      <c r="E56" s="14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 ca="1">_xll.qlRateHelperLatestDate($D56)</f>
        <v>#NAME?</v>
      </c>
      <c r="J56" s="3" t="e">
        <v>#N/A</v>
      </c>
    </row>
    <row r="57" spans="4:10" x14ac:dyDescent="0.2">
      <c r="D57" s="11" t="e">
        <v>#N/A</v>
      </c>
      <c r="E57" s="14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 ca="1">_xll.qlRateHelperLatestDate($D57)</f>
        <v>#NAME?</v>
      </c>
      <c r="J57" s="3" t="e">
        <v>#N/A</v>
      </c>
    </row>
    <row r="58" spans="4:10" x14ac:dyDescent="0.2">
      <c r="D58" s="11" t="e">
        <v>#N/A</v>
      </c>
      <c r="E58" s="14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 ca="1">_xll.qlRateHelperLatestDate($D58)</f>
        <v>#NAME?</v>
      </c>
      <c r="J58" s="3" t="e">
        <v>#N/A</v>
      </c>
    </row>
    <row r="59" spans="4:10" x14ac:dyDescent="0.2">
      <c r="D59" s="11" t="e">
        <v>#N/A</v>
      </c>
      <c r="E59" s="14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 ca="1">_xll.qlRateHelperLatestDate($D59)</f>
        <v>#NAME?</v>
      </c>
      <c r="J59" s="3" t="e">
        <v>#N/A</v>
      </c>
    </row>
    <row r="60" spans="4:10" x14ac:dyDescent="0.2">
      <c r="D60" s="11" t="e">
        <v>#N/A</v>
      </c>
      <c r="E60" s="14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 ca="1">_xll.qlRateHelperLatestDate($D60)</f>
        <v>#NAME?</v>
      </c>
      <c r="J60" s="3" t="e">
        <v>#N/A</v>
      </c>
    </row>
    <row r="61" spans="4:10" x14ac:dyDescent="0.2">
      <c r="D61" s="11" t="e">
        <v>#N/A</v>
      </c>
      <c r="E61" s="14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 ca="1">_xll.qlRateHelperLatestDate($D61)</f>
        <v>#NAME?</v>
      </c>
      <c r="J61" s="3" t="e">
        <v>#N/A</v>
      </c>
    </row>
    <row r="62" spans="4:10" x14ac:dyDescent="0.2">
      <c r="D62" s="11" t="e">
        <v>#N/A</v>
      </c>
      <c r="E62" s="14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 ca="1">_xll.qlRateHelperLatestDate($D62)</f>
        <v>#NAME?</v>
      </c>
      <c r="J62" s="3" t="e">
        <v>#N/A</v>
      </c>
    </row>
    <row r="63" spans="4:10" x14ac:dyDescent="0.2">
      <c r="D63" s="11" t="e">
        <v>#N/A</v>
      </c>
      <c r="E63" s="14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 ca="1">_xll.qlRateHelperLatestDate($D63)</f>
        <v>#NAME?</v>
      </c>
      <c r="J63" s="3" t="e">
        <v>#N/A</v>
      </c>
    </row>
    <row r="64" spans="4:10" x14ac:dyDescent="0.2">
      <c r="D64" s="11" t="e">
        <v>#N/A</v>
      </c>
      <c r="E64" s="14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 ca="1">_xll.qlRateHelperLatestDate($D64)</f>
        <v>#NAME?</v>
      </c>
      <c r="J64" s="3" t="e">
        <v>#N/A</v>
      </c>
    </row>
    <row r="65" spans="4:10" x14ac:dyDescent="0.2">
      <c r="D65" s="11" t="e">
        <v>#N/A</v>
      </c>
      <c r="E65" s="14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 ca="1">_xll.qlRateHelperLatestDate($D65)</f>
        <v>#NAME?</v>
      </c>
      <c r="J65" s="3" t="e">
        <v>#N/A</v>
      </c>
    </row>
    <row r="66" spans="4:10" x14ac:dyDescent="0.2">
      <c r="D66" s="11" t="e">
        <v>#N/A</v>
      </c>
      <c r="E66" s="14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 ca="1">_xll.qlRateHelperLatestDate($D66)</f>
        <v>#NAME?</v>
      </c>
      <c r="J66" s="3" t="e">
        <v>#N/A</v>
      </c>
    </row>
    <row r="67" spans="4:10" x14ac:dyDescent="0.2">
      <c r="D67" s="11" t="e">
        <v>#N/A</v>
      </c>
      <c r="E67" s="14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 ca="1">_xll.qlRateHelperLatestDate($D67)</f>
        <v>#NAME?</v>
      </c>
      <c r="J67" s="3" t="e">
        <v>#N/A</v>
      </c>
    </row>
    <row r="68" spans="4:10" x14ac:dyDescent="0.2">
      <c r="D68" s="11" t="e">
        <v>#N/A</v>
      </c>
      <c r="E68" s="14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 ca="1">_xll.qlRateHelperLatestDate($D68)</f>
        <v>#NAME?</v>
      </c>
      <c r="J68" s="3" t="e">
        <v>#N/A</v>
      </c>
    </row>
    <row r="69" spans="4:10" x14ac:dyDescent="0.2">
      <c r="D69" s="11" t="e">
        <v>#N/A</v>
      </c>
      <c r="E69" s="14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 ca="1">_xll.qlRateHelperLatestDate($D69)</f>
        <v>#NAME?</v>
      </c>
      <c r="J69" s="3" t="e">
        <v>#N/A</v>
      </c>
    </row>
    <row r="70" spans="4:10" x14ac:dyDescent="0.2">
      <c r="D70" s="11" t="e">
        <v>#N/A</v>
      </c>
      <c r="E70" s="14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 ca="1">_xll.qlRateHelperLatestDate($D70)</f>
        <v>#NAME?</v>
      </c>
      <c r="J70" s="3" t="e">
        <v>#N/A</v>
      </c>
    </row>
    <row r="71" spans="4:10" x14ac:dyDescent="0.2">
      <c r="D71" s="11" t="e">
        <v>#N/A</v>
      </c>
      <c r="E71" s="14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 ca="1">_xll.qlRateHelperLatestDate($D71)</f>
        <v>#NAME?</v>
      </c>
      <c r="J71" s="3" t="e">
        <v>#N/A</v>
      </c>
    </row>
    <row r="72" spans="4:10" x14ac:dyDescent="0.2">
      <c r="D72" s="11" t="e">
        <v>#N/A</v>
      </c>
      <c r="E72" s="14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 ca="1">_xll.qlRateHelperLatestDate($D72)</f>
        <v>#NAME?</v>
      </c>
      <c r="J72" s="3" t="e">
        <v>#N/A</v>
      </c>
    </row>
    <row r="73" spans="4:10" x14ac:dyDescent="0.2">
      <c r="D73" s="11" t="e">
        <v>#N/A</v>
      </c>
      <c r="E73" s="14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 ca="1">_xll.qlRateHelperLatestDate($D73)</f>
        <v>#NAME?</v>
      </c>
      <c r="J73" s="3" t="e">
        <v>#N/A</v>
      </c>
    </row>
    <row r="74" spans="4:10" x14ac:dyDescent="0.2">
      <c r="D74" s="11" t="e">
        <v>#N/A</v>
      </c>
      <c r="E74" s="14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 ca="1">_xll.qlRateHelperLatestDate($D74)</f>
        <v>#NAME?</v>
      </c>
      <c r="J74" s="3" t="e">
        <v>#N/A</v>
      </c>
    </row>
    <row r="75" spans="4:10" x14ac:dyDescent="0.2">
      <c r="D75" s="11" t="e">
        <v>#N/A</v>
      </c>
      <c r="E75" s="14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 ca="1">_xll.qlRateHelperLatestDate($D75)</f>
        <v>#NAME?</v>
      </c>
      <c r="J75" s="3" t="e">
        <v>#N/A</v>
      </c>
    </row>
    <row r="76" spans="4:10" x14ac:dyDescent="0.2">
      <c r="D76" s="11" t="e">
        <v>#N/A</v>
      </c>
      <c r="E76" s="14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 ca="1">_xll.qlRateHelperLatestDate($D76)</f>
        <v>#NAME?</v>
      </c>
      <c r="J76" s="3" t="e">
        <v>#N/A</v>
      </c>
    </row>
    <row r="77" spans="4:10" x14ac:dyDescent="0.2">
      <c r="D77" s="11" t="e">
        <v>#N/A</v>
      </c>
      <c r="E77" s="14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 ca="1">_xll.qlRateHelperLatestDate($D77)</f>
        <v>#NAME?</v>
      </c>
      <c r="J77" s="3" t="e">
        <v>#N/A</v>
      </c>
    </row>
    <row r="78" spans="4:10" x14ac:dyDescent="0.2">
      <c r="D78" s="11" t="e">
        <v>#N/A</v>
      </c>
      <c r="E78" s="14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 ca="1">_xll.qlRateHelperLatestDate($D78)</f>
        <v>#NAME?</v>
      </c>
      <c r="J78" s="3" t="e">
        <v>#N/A</v>
      </c>
    </row>
    <row r="79" spans="4:10" x14ac:dyDescent="0.2">
      <c r="D79" s="11" t="e">
        <v>#N/A</v>
      </c>
      <c r="E79" s="14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 ca="1">_xll.qlRateHelperLatestDate($D79)</f>
        <v>#NAME?</v>
      </c>
      <c r="J79" s="3" t="e">
        <v>#N/A</v>
      </c>
    </row>
    <row r="80" spans="4:10" x14ac:dyDescent="0.2">
      <c r="D80" s="11" t="e">
        <v>#N/A</v>
      </c>
      <c r="E80" s="14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 ca="1">_xll.qlRateHelperLatestDate($D80)</f>
        <v>#NAME?</v>
      </c>
      <c r="J80" s="3" t="e">
        <v>#N/A</v>
      </c>
    </row>
    <row r="81" spans="4:10" x14ac:dyDescent="0.2">
      <c r="D81" s="11" t="e">
        <v>#N/A</v>
      </c>
      <c r="E81" s="14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 ca="1">_xll.qlRateHelperLatestDate($D81)</f>
        <v>#NAME?</v>
      </c>
      <c r="J81" s="3" t="e">
        <v>#N/A</v>
      </c>
    </row>
    <row r="82" spans="4:10" x14ac:dyDescent="0.2">
      <c r="D82" s="11" t="e">
        <v>#N/A</v>
      </c>
      <c r="E82" s="14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 ca="1">_xll.qlRateHelperLatestDate($D82)</f>
        <v>#NAME?</v>
      </c>
      <c r="J82" s="3" t="e">
        <v>#N/A</v>
      </c>
    </row>
    <row r="83" spans="4:10" x14ac:dyDescent="0.2">
      <c r="D83" s="11" t="e">
        <v>#N/A</v>
      </c>
      <c r="E83" s="14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 ca="1">_xll.qlRateHelperLatestDate($D83)</f>
        <v>#NAME?</v>
      </c>
      <c r="J83" s="3" t="e">
        <v>#N/A</v>
      </c>
    </row>
    <row r="84" spans="4:10" x14ac:dyDescent="0.2">
      <c r="D84" s="11" t="e">
        <v>#N/A</v>
      </c>
      <c r="E84" s="14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 ca="1">_xll.qlRateHelperLatestDate($D84)</f>
        <v>#NAME?</v>
      </c>
      <c r="J84" s="3" t="e">
        <v>#N/A</v>
      </c>
    </row>
    <row r="85" spans="4:10" x14ac:dyDescent="0.2">
      <c r="D85" s="11" t="e">
        <v>#N/A</v>
      </c>
      <c r="E85" s="14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 ca="1">_xll.qlRateHelperLatestDate($D85)</f>
        <v>#NAME?</v>
      </c>
      <c r="J85" s="3" t="e">
        <v>#N/A</v>
      </c>
    </row>
    <row r="86" spans="4:10" x14ac:dyDescent="0.2">
      <c r="D86" s="11" t="e">
        <v>#N/A</v>
      </c>
      <c r="E86" s="14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 ca="1">_xll.qlRateHelperLatestDate($D86)</f>
        <v>#NAME?</v>
      </c>
      <c r="J86" s="3" t="e">
        <v>#N/A</v>
      </c>
    </row>
    <row r="87" spans="4:10" x14ac:dyDescent="0.2">
      <c r="D87" s="11" t="e">
        <v>#N/A</v>
      </c>
      <c r="E87" s="14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 ca="1">_xll.qlRateHelperLatestDate($D87)</f>
        <v>#NAME?</v>
      </c>
      <c r="J87" s="3" t="e">
        <v>#N/A</v>
      </c>
    </row>
    <row r="88" spans="4:10" x14ac:dyDescent="0.2">
      <c r="D88" s="11" t="e">
        <v>#N/A</v>
      </c>
      <c r="E88" s="14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 ca="1">_xll.qlRateHelperLatestDate($D88)</f>
        <v>#NAME?</v>
      </c>
      <c r="J88" s="3" t="e">
        <v>#N/A</v>
      </c>
    </row>
    <row r="89" spans="4:10" x14ac:dyDescent="0.2">
      <c r="D89" s="11" t="e">
        <v>#N/A</v>
      </c>
      <c r="E89" s="14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 ca="1">_xll.qlRateHelperLatestDate($D89)</f>
        <v>#NAME?</v>
      </c>
      <c r="J89" s="3" t="e">
        <v>#N/A</v>
      </c>
    </row>
    <row r="90" spans="4:10" x14ac:dyDescent="0.2">
      <c r="D90" s="11" t="e">
        <v>#N/A</v>
      </c>
      <c r="E90" s="14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 ca="1">_xll.qlRateHelperLatestDate($D90)</f>
        <v>#NAME?</v>
      </c>
      <c r="J90" s="3" t="e">
        <v>#N/A</v>
      </c>
    </row>
    <row r="91" spans="4:10" x14ac:dyDescent="0.2">
      <c r="D91" s="11" t="e">
        <v>#N/A</v>
      </c>
      <c r="E91" s="14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 ca="1">_xll.qlRateHelperLatestDate($D91)</f>
        <v>#NAME?</v>
      </c>
      <c r="J91" s="3" t="e">
        <v>#N/A</v>
      </c>
    </row>
    <row r="92" spans="4:10" x14ac:dyDescent="0.2">
      <c r="D92" s="11" t="e">
        <v>#N/A</v>
      </c>
      <c r="E92" s="14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 ca="1">_xll.qlRateHelperLatestDate($D92)</f>
        <v>#NAME?</v>
      </c>
      <c r="J92" s="3" t="e">
        <v>#N/A</v>
      </c>
    </row>
    <row r="93" spans="4:10" x14ac:dyDescent="0.2">
      <c r="D93" s="11" t="e">
        <v>#N/A</v>
      </c>
      <c r="E93" s="14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 ca="1">_xll.qlRateHelperLatestDate($D93)</f>
        <v>#NAME?</v>
      </c>
      <c r="J93" s="3" t="e">
        <v>#N/A</v>
      </c>
    </row>
    <row r="94" spans="4:10" x14ac:dyDescent="0.2">
      <c r="D94" s="11" t="e">
        <v>#N/A</v>
      </c>
      <c r="E94" s="14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 ca="1">_xll.qlRateHelperLatestDate($D94)</f>
        <v>#NAME?</v>
      </c>
      <c r="J94" s="3" t="e">
        <v>#N/A</v>
      </c>
    </row>
    <row r="95" spans="4:10" x14ac:dyDescent="0.2">
      <c r="D95" s="11" t="e">
        <v>#N/A</v>
      </c>
      <c r="E95" s="14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 ca="1">_xll.qlRateHelperLatestDate($D95)</f>
        <v>#NAME?</v>
      </c>
      <c r="J95" s="3" t="e">
        <v>#N/A</v>
      </c>
    </row>
    <row r="96" spans="4:10" x14ac:dyDescent="0.2">
      <c r="D96" s="11" t="e">
        <v>#N/A</v>
      </c>
      <c r="E96" s="14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 ca="1">_xll.qlRateHelperLatestDate($D96)</f>
        <v>#NAME?</v>
      </c>
      <c r="J96" s="3" t="e">
        <v>#N/A</v>
      </c>
    </row>
    <row r="97" spans="4:10" x14ac:dyDescent="0.2">
      <c r="D97" s="11" t="e">
        <v>#N/A</v>
      </c>
      <c r="E97" s="14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 ca="1">_xll.qlRateHelperLatestDate($D97)</f>
        <v>#NAME?</v>
      </c>
      <c r="J97" s="3" t="e">
        <v>#N/A</v>
      </c>
    </row>
    <row r="98" spans="4:10" x14ac:dyDescent="0.2">
      <c r="D98" s="11" t="e">
        <v>#N/A</v>
      </c>
      <c r="E98" s="14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 ca="1">_xll.qlRateHelperLatestDate($D98)</f>
        <v>#NAME?</v>
      </c>
      <c r="J98" s="3" t="e">
        <v>#N/A</v>
      </c>
    </row>
    <row r="99" spans="4:10" x14ac:dyDescent="0.2">
      <c r="D99" s="11" t="e">
        <v>#N/A</v>
      </c>
      <c r="E99" s="14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 ca="1">_xll.qlRateHelperLatestDate($D99)</f>
        <v>#NAME?</v>
      </c>
      <c r="J99" s="3" t="e">
        <v>#N/A</v>
      </c>
    </row>
    <row r="100" spans="4:10" x14ac:dyDescent="0.2">
      <c r="D100" s="11" t="e">
        <v>#N/A</v>
      </c>
      <c r="E100" s="14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 ca="1">_xll.qlRateHelperLatestDate($D100)</f>
        <v>#NAME?</v>
      </c>
      <c r="J100" s="3" t="e">
        <v>#N/A</v>
      </c>
    </row>
    <row r="101" spans="4:10" x14ac:dyDescent="0.2">
      <c r="D101" s="11" t="e">
        <v>#N/A</v>
      </c>
      <c r="E101" s="14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 ca="1">_xll.qlRateHelperLatestDate($D101)</f>
        <v>#NAME?</v>
      </c>
      <c r="J101" s="3" t="e">
        <v>#N/A</v>
      </c>
    </row>
    <row r="102" spans="4:10" x14ac:dyDescent="0.2">
      <c r="D102" s="11" t="e">
        <v>#N/A</v>
      </c>
      <c r="E102" s="14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 ca="1">_xll.qlRateHelperLatestDate($D102)</f>
        <v>#NAME?</v>
      </c>
      <c r="J102" s="3" t="e">
        <v>#N/A</v>
      </c>
    </row>
    <row r="103" spans="4:10" x14ac:dyDescent="0.2">
      <c r="D103" s="11" t="e">
        <v>#N/A</v>
      </c>
      <c r="E103" s="14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 ca="1">_xll.qlRateHelperLatestDate($D103)</f>
        <v>#NAME?</v>
      </c>
      <c r="J103" s="3" t="e">
        <v>#N/A</v>
      </c>
    </row>
    <row r="104" spans="4:10" x14ac:dyDescent="0.2">
      <c r="D104" s="11" t="e">
        <v>#N/A</v>
      </c>
      <c r="E104" s="14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 ca="1">_xll.qlRateHelperLatestDate($D104)</f>
        <v>#NAME?</v>
      </c>
      <c r="J104" s="3" t="e">
        <v>#N/A</v>
      </c>
    </row>
    <row r="105" spans="4:10" x14ac:dyDescent="0.2">
      <c r="D105" s="11" t="e">
        <v>#N/A</v>
      </c>
      <c r="E105" s="14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 ca="1">_xll.qlRateHelperLatestDate($D105)</f>
        <v>#NAME?</v>
      </c>
      <c r="J105" s="3" t="e">
        <v>#N/A</v>
      </c>
    </row>
    <row r="106" spans="4:10" x14ac:dyDescent="0.2">
      <c r="D106" s="11" t="e">
        <v>#N/A</v>
      </c>
      <c r="E106" s="14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 ca="1">_xll.qlRateHelperLatestDate($D106)</f>
        <v>#NAME?</v>
      </c>
      <c r="J106" s="3" t="e">
        <v>#N/A</v>
      </c>
    </row>
    <row r="107" spans="4:10" x14ac:dyDescent="0.2">
      <c r="D107" s="11" t="e">
        <v>#N/A</v>
      </c>
      <c r="E107" s="14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 ca="1">_xll.qlRateHelperLatestDate($D107)</f>
        <v>#NAME?</v>
      </c>
      <c r="J107" s="3" t="e">
        <v>#N/A</v>
      </c>
    </row>
    <row r="108" spans="4:10" x14ac:dyDescent="0.2">
      <c r="D108" s="11" t="e">
        <v>#N/A</v>
      </c>
      <c r="E108" s="14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 ca="1">_xll.qlRateHelperLatestDate($D108)</f>
        <v>#NAME?</v>
      </c>
      <c r="J108" s="3" t="e">
        <v>#N/A</v>
      </c>
    </row>
    <row r="109" spans="4:10" x14ac:dyDescent="0.2">
      <c r="D109" s="11" t="e">
        <v>#N/A</v>
      </c>
      <c r="E109" s="14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 ca="1">_xll.qlRateHelperLatestDate($D109)</f>
        <v>#NAME?</v>
      </c>
      <c r="J109" s="3" t="e">
        <v>#N/A</v>
      </c>
    </row>
    <row r="110" spans="4:10" x14ac:dyDescent="0.2">
      <c r="D110" s="11" t="e">
        <v>#N/A</v>
      </c>
      <c r="E110" s="14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 ca="1">_xll.qlRateHelperLatestDate($D110)</f>
        <v>#NAME?</v>
      </c>
      <c r="J110" s="3" t="e">
        <v>#N/A</v>
      </c>
    </row>
    <row r="111" spans="4:10" x14ac:dyDescent="0.2">
      <c r="D111" s="11" t="e">
        <v>#N/A</v>
      </c>
      <c r="E111" s="14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 ca="1">_xll.qlRateHelperLatestDate($D111)</f>
        <v>#NAME?</v>
      </c>
      <c r="J111" s="3" t="e">
        <v>#N/A</v>
      </c>
    </row>
    <row r="112" spans="4:10" x14ac:dyDescent="0.2">
      <c r="D112" s="11" t="e">
        <v>#N/A</v>
      </c>
      <c r="E112" s="14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 ca="1">_xll.qlRateHelperLatestDate($D112)</f>
        <v>#NAME?</v>
      </c>
      <c r="J112" s="3" t="e">
        <v>#N/A</v>
      </c>
    </row>
    <row r="113" spans="4:10" x14ac:dyDescent="0.2">
      <c r="D113" s="11" t="e">
        <v>#N/A</v>
      </c>
      <c r="E113" s="14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 ca="1">_xll.qlRateHelperLatestDate($D113)</f>
        <v>#NAME?</v>
      </c>
      <c r="J113" s="3" t="e">
        <v>#N/A</v>
      </c>
    </row>
    <row r="114" spans="4:10" x14ac:dyDescent="0.2">
      <c r="D114" s="11" t="e">
        <v>#N/A</v>
      </c>
      <c r="E114" s="14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 ca="1">_xll.qlRateHelperLatestDate($D114)</f>
        <v>#NAME?</v>
      </c>
      <c r="J114" s="3" t="e">
        <v>#N/A</v>
      </c>
    </row>
    <row r="115" spans="4:10" x14ac:dyDescent="0.2">
      <c r="D115" s="11" t="e">
        <v>#N/A</v>
      </c>
      <c r="E115" s="14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 ca="1">_xll.qlRateHelperLatestDate($D115)</f>
        <v>#NAME?</v>
      </c>
      <c r="J115" s="3" t="e">
        <v>#N/A</v>
      </c>
    </row>
    <row r="116" spans="4:10" x14ac:dyDescent="0.2">
      <c r="D116" s="11" t="e">
        <v>#N/A</v>
      </c>
      <c r="E116" s="14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 ca="1">_xll.qlRateHelperLatestDate($D116)</f>
        <v>#NAME?</v>
      </c>
      <c r="J116" s="3" t="e">
        <v>#N/A</v>
      </c>
    </row>
    <row r="117" spans="4:10" x14ac:dyDescent="0.2">
      <c r="D117" s="11" t="e">
        <v>#N/A</v>
      </c>
      <c r="E117" s="14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 ca="1">_xll.qlRateHelperLatestDate($D117)</f>
        <v>#NAME?</v>
      </c>
      <c r="J117" s="3" t="e">
        <v>#N/A</v>
      </c>
    </row>
    <row r="118" spans="4:10" x14ac:dyDescent="0.2">
      <c r="D118" s="11" t="e">
        <v>#N/A</v>
      </c>
      <c r="E118" s="14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 ca="1">_xll.qlRateHelperLatestDate($D118)</f>
        <v>#NAME?</v>
      </c>
      <c r="J118" s="3" t="e">
        <v>#N/A</v>
      </c>
    </row>
    <row r="119" spans="4:10" x14ac:dyDescent="0.2">
      <c r="D119" s="11" t="e">
        <v>#N/A</v>
      </c>
      <c r="E119" s="14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 ca="1">_xll.qlRateHelperLatestDate($D119)</f>
        <v>#NAME?</v>
      </c>
      <c r="J119" s="3" t="e">
        <v>#N/A</v>
      </c>
    </row>
    <row r="120" spans="4:10" x14ac:dyDescent="0.2">
      <c r="D120" s="11" t="e">
        <v>#N/A</v>
      </c>
      <c r="E120" s="14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 ca="1">_xll.qlRateHelperLatestDate($D120)</f>
        <v>#NAME?</v>
      </c>
      <c r="J120" s="3" t="e">
        <v>#N/A</v>
      </c>
    </row>
    <row r="121" spans="4:10" x14ac:dyDescent="0.2">
      <c r="D121" s="11" t="e">
        <v>#N/A</v>
      </c>
      <c r="E121" s="14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 ca="1">_xll.qlRateHelperLatestDate($D121)</f>
        <v>#NAME?</v>
      </c>
      <c r="J121" s="3" t="e">
        <v>#N/A</v>
      </c>
    </row>
    <row r="122" spans="4:10" x14ac:dyDescent="0.2">
      <c r="D122" s="11" t="e">
        <v>#N/A</v>
      </c>
      <c r="E122" s="14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 ca="1">_xll.qlRateHelperLatestDate($D122)</f>
        <v>#NAME?</v>
      </c>
      <c r="J122" s="3" t="e">
        <v>#N/A</v>
      </c>
    </row>
    <row r="123" spans="4:10" x14ac:dyDescent="0.2">
      <c r="D123" s="11" t="e">
        <v>#N/A</v>
      </c>
      <c r="E123" s="14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 ca="1">_xll.qlRateHelperLatestDate($D123)</f>
        <v>#NAME?</v>
      </c>
      <c r="J123" s="3" t="e">
        <v>#N/A</v>
      </c>
    </row>
    <row r="124" spans="4:10" x14ac:dyDescent="0.2">
      <c r="D124" s="11" t="e">
        <v>#N/A</v>
      </c>
      <c r="E124" s="14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 ca="1">_xll.qlRateHelperLatestDate($D124)</f>
        <v>#NAME?</v>
      </c>
      <c r="J124" s="3" t="e">
        <v>#N/A</v>
      </c>
    </row>
    <row r="125" spans="4:10" x14ac:dyDescent="0.2">
      <c r="D125" s="11" t="e">
        <v>#N/A</v>
      </c>
      <c r="E125" s="14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 ca="1">_xll.qlRateHelperLatestDate($D125)</f>
        <v>#NAME?</v>
      </c>
      <c r="J125" s="3" t="e">
        <v>#N/A</v>
      </c>
    </row>
    <row r="126" spans="4:10" ht="12" thickBot="1" x14ac:dyDescent="0.25">
      <c r="D126" s="7" t="e">
        <v>#N/A</v>
      </c>
      <c r="E126" s="142"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 ca="1">_xll.qlRateHelperLatestDate($D126)</f>
        <v>#NAME?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9"/>
  <sheetViews>
    <sheetView workbookViewId="0">
      <selection activeCell="K2" sqref="K2"/>
    </sheetView>
  </sheetViews>
  <sheetFormatPr defaultRowHeight="13.5" x14ac:dyDescent="0.25"/>
  <cols>
    <col min="1" max="1" width="2.7109375" style="146" customWidth="1"/>
    <col min="2" max="2" width="6.28515625" style="146" customWidth="1"/>
    <col min="3" max="3" width="5.7109375" style="173" customWidth="1"/>
    <col min="4" max="4" width="5.42578125" style="173" customWidth="1"/>
    <col min="5" max="5" width="10" style="146" bestFit="1" customWidth="1"/>
    <col min="6" max="6" width="19.28515625" style="146" bestFit="1" customWidth="1"/>
    <col min="7" max="7" width="5" style="146" bestFit="1" customWidth="1"/>
    <col min="8" max="8" width="19.28515625" style="146" bestFit="1" customWidth="1"/>
    <col min="9" max="9" width="15.140625" style="146" bestFit="1" customWidth="1"/>
    <col min="10" max="10" width="21.42578125" style="146" bestFit="1" customWidth="1"/>
    <col min="11" max="11" width="25" style="146" bestFit="1" customWidth="1"/>
    <col min="12" max="12" width="35.7109375" style="146" customWidth="1"/>
    <col min="13" max="13" width="2.7109375" style="146" customWidth="1"/>
    <col min="14" max="16384" width="9.140625" style="146"/>
  </cols>
  <sheetData>
    <row r="1" spans="1:13" ht="11.25" customHeight="1" x14ac:dyDescent="0.25">
      <c r="A1" s="144"/>
      <c r="B1" s="145"/>
      <c r="C1" s="145"/>
      <c r="D1" s="145"/>
      <c r="E1" s="145"/>
      <c r="F1" s="145"/>
      <c r="G1" s="145"/>
      <c r="I1" s="74" t="str">
        <f>IndexTenor</f>
        <v>1M</v>
      </c>
      <c r="J1" s="74" t="str">
        <f>Currency&amp;"_YC"&amp;$I$1&amp;"RH"</f>
        <v>SEK_YC1MRH</v>
      </c>
      <c r="K1" s="74" t="str">
        <f>$J$1&amp;"_Deposits.xml"</f>
        <v>SEK_YC1MRH_Deposits.xml</v>
      </c>
      <c r="L1" s="50"/>
      <c r="M1" s="147"/>
    </row>
    <row r="2" spans="1:13" ht="22.5" customHeight="1" x14ac:dyDescent="0.25">
      <c r="A2" s="148"/>
      <c r="B2" s="149" t="s">
        <v>82</v>
      </c>
      <c r="C2" s="149" t="s">
        <v>83</v>
      </c>
      <c r="D2" s="149" t="s">
        <v>78</v>
      </c>
      <c r="E2" s="149" t="s">
        <v>79</v>
      </c>
      <c r="F2" s="149" t="s">
        <v>104</v>
      </c>
      <c r="G2" s="149" t="s">
        <v>105</v>
      </c>
      <c r="H2" s="149" t="s">
        <v>80</v>
      </c>
      <c r="I2" s="149" t="s">
        <v>103</v>
      </c>
      <c r="J2" s="149" t="s">
        <v>58</v>
      </c>
      <c r="K2" s="150" t="str">
        <f>IF(Serialize,_xll.ohObjectSave(K3:K7,SerializationPath&amp;K1,FileOverwrite,Serialize),"---")</f>
        <v>---</v>
      </c>
      <c r="L2" s="151" t="str">
        <f>_xll.ohRangeRetrieveError(K2)</f>
        <v/>
      </c>
      <c r="M2" s="147"/>
    </row>
    <row r="3" spans="1:13" ht="11.25" customHeight="1" x14ac:dyDescent="0.25">
      <c r="A3" s="148"/>
      <c r="B3" s="206" t="s">
        <v>57</v>
      </c>
      <c r="C3" s="207" t="s">
        <v>67</v>
      </c>
      <c r="D3" s="208">
        <v>2</v>
      </c>
      <c r="E3" s="209" t="s">
        <v>113</v>
      </c>
      <c r="F3" s="222" t="s">
        <v>108</v>
      </c>
      <c r="G3" s="209" t="b">
        <v>1</v>
      </c>
      <c r="H3" s="210" t="s">
        <v>115</v>
      </c>
      <c r="I3" s="210" t="str">
        <f>_xll.qlIborIndex(,,C3,D3,Currency,E3,F3,G3,H3,,,Trigger,ObjectOverwrite)</f>
        <v>obj_00258#0000</v>
      </c>
      <c r="J3" s="224" t="str">
        <f t="shared" ref="J3:J6" si="0">Currency&amp;B3&amp;"D_SYNTH"&amp;$I$1&amp;QuoteSuffix</f>
        <v>SEKSND_SYNTH1M_Quote</v>
      </c>
      <c r="K3" s="211" t="str">
        <f>_xll.qlDepositRateHelper(,J3,I3,Permanent,Trigger)</f>
        <v>obj_0025a#0000</v>
      </c>
      <c r="L3" s="212" t="str">
        <f>_xll.ohRangeRetrieveError(K3)</f>
        <v/>
      </c>
      <c r="M3" s="147"/>
    </row>
    <row r="4" spans="1:13" ht="11.25" customHeight="1" x14ac:dyDescent="0.25">
      <c r="A4" s="148"/>
      <c r="B4" s="213" t="s">
        <v>56</v>
      </c>
      <c r="C4" s="214" t="s">
        <v>81</v>
      </c>
      <c r="D4" s="215">
        <v>2</v>
      </c>
      <c r="E4" s="216" t="s">
        <v>113</v>
      </c>
      <c r="F4" s="223" t="s">
        <v>108</v>
      </c>
      <c r="G4" s="216" t="b">
        <v>1</v>
      </c>
      <c r="H4" s="217" t="s">
        <v>115</v>
      </c>
      <c r="I4" s="217" t="str">
        <f>_xll.qlIborIndex(,,C4,D4,Currency,E4,F4,G4,H4,,,Trigger,ObjectOverwrite)</f>
        <v>obj_00256#0000</v>
      </c>
      <c r="J4" s="225" t="str">
        <f t="shared" si="0"/>
        <v>SEKSWD_SYNTH1M_Quote</v>
      </c>
      <c r="K4" s="218" t="str">
        <f>_xll.qlDepositRateHelper(,J4,I4,Permanent,Trigger)</f>
        <v>obj_0025d#0000</v>
      </c>
      <c r="L4" s="219" t="str">
        <f>_xll.ohRangeRetrieveError(K4)</f>
        <v/>
      </c>
      <c r="M4" s="147"/>
    </row>
    <row r="5" spans="1:13" ht="11.25" customHeight="1" x14ac:dyDescent="0.25">
      <c r="A5" s="148"/>
      <c r="B5" s="213" t="s">
        <v>55</v>
      </c>
      <c r="C5" s="214" t="s">
        <v>55</v>
      </c>
      <c r="D5" s="215">
        <v>2</v>
      </c>
      <c r="E5" s="216" t="s">
        <v>113</v>
      </c>
      <c r="F5" s="223" t="s">
        <v>108</v>
      </c>
      <c r="G5" s="216" t="b">
        <v>1</v>
      </c>
      <c r="H5" s="217" t="s">
        <v>115</v>
      </c>
      <c r="I5" s="217" t="str">
        <f>_xll.qlIborIndex(,,C5,D5,Currency,E5,F5,G5,H5,,,Trigger,ObjectOverwrite)</f>
        <v>obj_00255#0000</v>
      </c>
      <c r="J5" s="225" t="str">
        <f t="shared" si="0"/>
        <v>SEK2WD_SYNTH1M_Quote</v>
      </c>
      <c r="K5" s="218" t="str">
        <f>_xll.qlDepositRateHelper(,J5,I5,Permanent,Trigger)</f>
        <v>obj_0025b#0000</v>
      </c>
      <c r="L5" s="219" t="str">
        <f>_xll.ohRangeRetrieveError(K5)</f>
        <v/>
      </c>
      <c r="M5" s="147"/>
    </row>
    <row r="6" spans="1:13" ht="11.25" customHeight="1" x14ac:dyDescent="0.25">
      <c r="A6" s="148"/>
      <c r="B6" s="213" t="s">
        <v>54</v>
      </c>
      <c r="C6" s="214" t="s">
        <v>54</v>
      </c>
      <c r="D6" s="215">
        <v>2</v>
      </c>
      <c r="E6" s="216" t="s">
        <v>113</v>
      </c>
      <c r="F6" s="223" t="s">
        <v>108</v>
      </c>
      <c r="G6" s="216" t="b">
        <v>1</v>
      </c>
      <c r="H6" s="217" t="s">
        <v>115</v>
      </c>
      <c r="I6" s="217" t="str">
        <f>_xll.qlIborIndex(,,C6,D6,Currency,E6,F6,G6,H6,,,Trigger,ObjectOverwrite)</f>
        <v>obj_00257#0000</v>
      </c>
      <c r="J6" s="225" t="str">
        <f t="shared" si="0"/>
        <v>SEK3WD_SYNTH1M_Quote</v>
      </c>
      <c r="K6" s="218" t="str">
        <f>_xll.qlDepositRateHelper(,J6,I6,Permanent,Trigger)</f>
        <v>obj_0025c#0000</v>
      </c>
      <c r="L6" s="219" t="str">
        <f>_xll.ohRangeRetrieveError(K6)</f>
        <v/>
      </c>
      <c r="M6" s="147"/>
    </row>
    <row r="7" spans="1:13" ht="11.25" customHeight="1" x14ac:dyDescent="0.25">
      <c r="A7" s="148"/>
      <c r="B7" s="232" t="s">
        <v>53</v>
      </c>
      <c r="C7" s="233" t="s">
        <v>53</v>
      </c>
      <c r="D7" s="234">
        <v>2</v>
      </c>
      <c r="E7" s="235" t="s">
        <v>113</v>
      </c>
      <c r="F7" s="236" t="s">
        <v>68</v>
      </c>
      <c r="G7" s="235" t="b">
        <v>1</v>
      </c>
      <c r="H7" s="237" t="s">
        <v>115</v>
      </c>
      <c r="I7" s="237" t="str">
        <f>_xll.qlIborIndex(,,C7,D7,Currency,E7,F7,G7,H7,,,Trigger,ObjectOverwrite)</f>
        <v>obj_00254#0000</v>
      </c>
      <c r="J7" s="238" t="str">
        <f t="shared" ref="J7" si="1">Currency&amp;B7&amp;"D_SYNTH"&amp;$I$1&amp;QuoteSuffix</f>
        <v>SEK1MD_SYNTH1M_Quote</v>
      </c>
      <c r="K7" s="239" t="str">
        <f>_xll.qlDepositRateHelper(,J7,I7,Permanent,Trigger)</f>
        <v>obj_00259#0000</v>
      </c>
      <c r="L7" s="240" t="str">
        <f>_xll.ohRangeRetrieveError(K7)</f>
        <v/>
      </c>
      <c r="M7" s="147"/>
    </row>
    <row r="8" spans="1:13" ht="11.25" customHeight="1" thickBot="1" x14ac:dyDescent="0.3">
      <c r="A8" s="152"/>
      <c r="B8" s="153"/>
      <c r="C8" s="172"/>
      <c r="D8" s="172"/>
      <c r="E8" s="153"/>
      <c r="F8" s="153"/>
      <c r="G8" s="153"/>
      <c r="H8" s="153"/>
      <c r="I8" s="153"/>
      <c r="J8" s="153"/>
      <c r="K8" s="153"/>
      <c r="L8" s="153"/>
      <c r="M8" s="154"/>
    </row>
    <row r="9" spans="1:13" ht="11.25" customHeight="1" x14ac:dyDescent="0.25"/>
  </sheetData>
  <dataValidations count="4">
    <dataValidation type="list" allowBlank="1" showInputMessage="1" showErrorMessage="1" sqref="E4:E7">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7">
      <formula1>"Actual/Actual (ISDA),Actual/360,30/360 (Bond Basis),30E/360 (Eurobond Basis),Actual/365 (Fixed),Actual/Actual (ISMA),Actual/Actual (AFB),1/1,30/360 (Italian),Simple"</formula1>
    </dataValidation>
    <dataValidation type="list" allowBlank="1" showInputMessage="1" showErrorMessage="1" sqref="F3:F7">
      <formula1>"Following,Modified Following,Preceding,Modified Preceding,Unadjusted,Half-Month Modified Following"</formula1>
    </dataValidation>
    <dataValidation type="list" allowBlank="1" showInputMessage="1" showErrorMessage="1" sqref="E3">
      <formula1>"NullCalendar,Australia,China,HongKong::HKEx,Sweden,CzechRepublic::PSE,Poland,Hungary"</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29"/>
  <sheetViews>
    <sheetView workbookViewId="0">
      <selection activeCell="L2" sqref="L2"/>
    </sheetView>
  </sheetViews>
  <sheetFormatPr defaultRowHeight="11.25" x14ac:dyDescent="0.2"/>
  <cols>
    <col min="1" max="1" width="2.7109375" style="50" customWidth="1"/>
    <col min="2" max="3" width="6" style="50" customWidth="1"/>
    <col min="4" max="4" width="4" style="50" bestFit="1" customWidth="1"/>
    <col min="5" max="5" width="3" style="162" bestFit="1" customWidth="1"/>
    <col min="6" max="6" width="4" style="162" bestFit="1" customWidth="1"/>
    <col min="7" max="7" width="11" style="50" bestFit="1" customWidth="1"/>
    <col min="8" max="10" width="19.28515625" style="50" bestFit="1" customWidth="1"/>
    <col min="11" max="11" width="26.5703125" style="50" bestFit="1" customWidth="1"/>
    <col min="12" max="12" width="31.28515625" style="2" bestFit="1" customWidth="1"/>
    <col min="13" max="13" width="35.7109375" style="50" customWidth="1"/>
    <col min="14" max="14" width="2.7109375" style="50" customWidth="1"/>
    <col min="15" max="15" width="6" style="50" bestFit="1" customWidth="1"/>
    <col min="16" max="16" width="4" style="50" customWidth="1"/>
    <col min="17" max="17" width="3.140625" style="50" customWidth="1"/>
    <col min="18" max="18" width="2.7109375" style="50" customWidth="1"/>
    <col min="19" max="16384" width="9.140625" style="50"/>
  </cols>
  <sheetData>
    <row r="1" spans="1:14" ht="12" x14ac:dyDescent="0.2">
      <c r="A1" s="174"/>
      <c r="B1" s="175"/>
      <c r="C1" s="175"/>
      <c r="D1" s="175"/>
      <c r="E1" s="161"/>
      <c r="F1" s="161"/>
      <c r="G1" s="175"/>
      <c r="H1" s="175"/>
      <c r="I1" s="156"/>
      <c r="J1" s="155" t="str">
        <f>IndexTenor</f>
        <v>1M</v>
      </c>
      <c r="K1" s="155" t="str">
        <f>Currency&amp;"_YC"&amp;$J$1&amp;"RH"</f>
        <v>SEK_YC1MRH</v>
      </c>
      <c r="L1" s="176" t="str">
        <f>K1&amp;"_SwapsFromBasis.xml"</f>
        <v>SEK_YC1MRH_SwapsFromBasis.xml</v>
      </c>
      <c r="M1" s="175"/>
      <c r="N1" s="177"/>
    </row>
    <row r="2" spans="1:14" ht="22.5" customHeight="1" x14ac:dyDescent="0.2">
      <c r="A2" s="148"/>
      <c r="B2" s="149" t="s">
        <v>110</v>
      </c>
      <c r="C2" s="149" t="s">
        <v>73</v>
      </c>
      <c r="D2" s="149"/>
      <c r="E2" s="163"/>
      <c r="F2" s="163"/>
      <c r="G2" s="149" t="s">
        <v>72</v>
      </c>
      <c r="H2" s="149" t="s">
        <v>71</v>
      </c>
      <c r="I2" s="149" t="s">
        <v>70</v>
      </c>
      <c r="J2" s="149" t="s">
        <v>69</v>
      </c>
      <c r="K2" s="149" t="s">
        <v>58</v>
      </c>
      <c r="L2" s="158" t="str">
        <f>IF(Serialize,_xll.ohObjectSave(L3:L29,SerializationPath&amp;L1,FileOverwrite,Serialize),"---")</f>
        <v>---</v>
      </c>
      <c r="M2" s="200" t="str">
        <f>_xll.ohRangeRetrieveError(L2)</f>
        <v/>
      </c>
      <c r="N2" s="157"/>
    </row>
    <row r="3" spans="1:14" ht="11.25" customHeight="1" x14ac:dyDescent="0.2">
      <c r="A3" s="144"/>
      <c r="B3" s="145"/>
      <c r="C3" s="145"/>
      <c r="D3" s="145"/>
      <c r="E3" s="145"/>
      <c r="F3" s="145"/>
      <c r="G3" s="145"/>
      <c r="H3" s="145"/>
      <c r="I3" s="145"/>
      <c r="J3" s="145"/>
      <c r="K3" s="145"/>
      <c r="L3" s="159" t="str">
        <f>_xll.qlIborIndex(,,IndexTenor,NDays,Currency,Calendar,"mf",TRUE,MoneyMarketDayCounter,,,Trigger,ObjectOverwrite)</f>
        <v>obj_00253#0000</v>
      </c>
      <c r="M3" s="201" t="str">
        <f>_xll.ohRangeRetrieveError(L3)</f>
        <v/>
      </c>
      <c r="N3" s="157"/>
    </row>
    <row r="4" spans="1:14" ht="11.25" customHeight="1" x14ac:dyDescent="0.2">
      <c r="A4" s="144"/>
      <c r="B4" s="145"/>
      <c r="C4" s="145"/>
      <c r="D4" s="145"/>
      <c r="E4" s="145"/>
      <c r="F4" s="145"/>
      <c r="G4" s="145"/>
      <c r="H4" s="145"/>
      <c r="I4" s="145"/>
      <c r="J4" s="145"/>
      <c r="K4" s="145"/>
      <c r="L4" s="145"/>
      <c r="M4" s="202"/>
      <c r="N4" s="157"/>
    </row>
    <row r="5" spans="1:14" ht="11.25" customHeight="1" x14ac:dyDescent="0.2">
      <c r="A5" s="144"/>
      <c r="B5" s="179">
        <v>2</v>
      </c>
      <c r="C5" s="179" t="s">
        <v>111</v>
      </c>
      <c r="D5" s="180" t="s">
        <v>15</v>
      </c>
      <c r="E5" s="193" t="s">
        <v>121</v>
      </c>
      <c r="F5" s="193" t="s">
        <v>122</v>
      </c>
      <c r="G5" s="179" t="s">
        <v>123</v>
      </c>
      <c r="H5" s="190" t="s">
        <v>68</v>
      </c>
      <c r="I5" s="190" t="s">
        <v>76</v>
      </c>
      <c r="J5" s="187" t="str">
        <f t="shared" ref="J5:J26" si="0">Currency&amp;"1S"&amp;E5&amp;D5&amp;QuoteSuffix</f>
        <v>SEK1S3S1Y_Quote</v>
      </c>
      <c r="K5" s="181" t="str">
        <f t="shared" ref="K5:K26" si="1">Currency&amp;F5&amp;E5&amp;D5&amp;QuoteSuffix</f>
        <v>SEKAB3S1Y_Quote</v>
      </c>
      <c r="L5" s="196" t="str">
        <f>_xll.qlSwapRateHelper2(,$K5,B5,$D5,Calendar,$G5,$H5,$I5,$L$3,$J5,C5,Discounting,,,Permanent,Trigger,ObjectOverwrite)</f>
        <v>obj_002ac#0000</v>
      </c>
      <c r="M5" s="203" t="str">
        <f>_xll.ohRangeRetrieveError(L5)</f>
        <v/>
      </c>
      <c r="N5" s="157"/>
    </row>
    <row r="6" spans="1:14" ht="11.25" customHeight="1" x14ac:dyDescent="0.2">
      <c r="A6" s="144"/>
      <c r="B6" s="182">
        <v>2</v>
      </c>
      <c r="C6" s="182" t="s">
        <v>111</v>
      </c>
      <c r="D6" s="183" t="s">
        <v>116</v>
      </c>
      <c r="E6" s="194" t="s">
        <v>121</v>
      </c>
      <c r="F6" s="194" t="s">
        <v>122</v>
      </c>
      <c r="G6" s="182" t="s">
        <v>123</v>
      </c>
      <c r="H6" s="191" t="s">
        <v>68</v>
      </c>
      <c r="I6" s="191" t="s">
        <v>76</v>
      </c>
      <c r="J6" s="188" t="str">
        <f t="shared" si="0"/>
        <v>SEK1S3S15M_Quote</v>
      </c>
      <c r="K6" s="184" t="str">
        <f t="shared" si="1"/>
        <v>SEKAB3S15M_Quote</v>
      </c>
      <c r="L6" s="196" t="str">
        <f>_xll.qlSwapRateHelper2(,$K6,B6,$D6,Calendar,$G6,$H6,$I6,$L$3,$J6,C6,Discounting,,,Permanent,Trigger,ObjectOverwrite)</f>
        <v>obj_002be#0000</v>
      </c>
      <c r="M6" s="204"/>
      <c r="N6" s="157"/>
    </row>
    <row r="7" spans="1:14" ht="11.25" customHeight="1" x14ac:dyDescent="0.2">
      <c r="A7" s="144"/>
      <c r="B7" s="182">
        <v>2</v>
      </c>
      <c r="C7" s="182" t="s">
        <v>111</v>
      </c>
      <c r="D7" s="183" t="s">
        <v>117</v>
      </c>
      <c r="E7" s="194" t="s">
        <v>121</v>
      </c>
      <c r="F7" s="194" t="s">
        <v>122</v>
      </c>
      <c r="G7" s="182" t="s">
        <v>123</v>
      </c>
      <c r="H7" s="191" t="s">
        <v>68</v>
      </c>
      <c r="I7" s="191" t="s">
        <v>76</v>
      </c>
      <c r="J7" s="188" t="str">
        <f t="shared" si="0"/>
        <v>SEK1S3S18M_Quote</v>
      </c>
      <c r="K7" s="184" t="str">
        <f t="shared" si="1"/>
        <v>SEKAB3S18M_Quote</v>
      </c>
      <c r="L7" s="196" t="str">
        <f>_xll.qlSwapRateHelper2(,$K7,B7,$D7,Calendar,$G7,$H7,$I7,$L$3,$J7,C7,Discounting,,,Permanent,Trigger,ObjectOverwrite)</f>
        <v>obj_002bb#0000</v>
      </c>
      <c r="M7" s="204"/>
      <c r="N7" s="157"/>
    </row>
    <row r="8" spans="1:14" ht="11.25" customHeight="1" x14ac:dyDescent="0.2">
      <c r="A8" s="144"/>
      <c r="B8" s="182">
        <v>2</v>
      </c>
      <c r="C8" s="182" t="s">
        <v>111</v>
      </c>
      <c r="D8" s="183" t="s">
        <v>118</v>
      </c>
      <c r="E8" s="194" t="s">
        <v>121</v>
      </c>
      <c r="F8" s="194" t="s">
        <v>122</v>
      </c>
      <c r="G8" s="182" t="s">
        <v>123</v>
      </c>
      <c r="H8" s="191" t="s">
        <v>68</v>
      </c>
      <c r="I8" s="191" t="s">
        <v>76</v>
      </c>
      <c r="J8" s="188" t="str">
        <f t="shared" si="0"/>
        <v>SEK1S3S21M_Quote</v>
      </c>
      <c r="K8" s="184" t="str">
        <f t="shared" si="1"/>
        <v>SEKAB3S21M_Quote</v>
      </c>
      <c r="L8" s="196" t="str">
        <f>_xll.qlSwapRateHelper2(,$K8,B8,$D8,Calendar,$G8,$H8,$I8,$L$3,$J8,C8,Discounting,,,Permanent,Trigger,ObjectOverwrite)</f>
        <v>obj_002b8#0000</v>
      </c>
      <c r="M8" s="204"/>
      <c r="N8" s="157"/>
    </row>
    <row r="9" spans="1:14" x14ac:dyDescent="0.2">
      <c r="A9" s="144"/>
      <c r="B9" s="182">
        <v>2</v>
      </c>
      <c r="C9" s="182" t="s">
        <v>111</v>
      </c>
      <c r="D9" s="183" t="s">
        <v>14</v>
      </c>
      <c r="E9" s="194" t="s">
        <v>121</v>
      </c>
      <c r="F9" s="194" t="s">
        <v>122</v>
      </c>
      <c r="G9" s="182" t="s">
        <v>123</v>
      </c>
      <c r="H9" s="191" t="s">
        <v>68</v>
      </c>
      <c r="I9" s="191" t="s">
        <v>76</v>
      </c>
      <c r="J9" s="188" t="str">
        <f t="shared" si="0"/>
        <v>SEK1S3S2Y_Quote</v>
      </c>
      <c r="K9" s="184" t="str">
        <f t="shared" si="1"/>
        <v>SEKAB3S2Y_Quote</v>
      </c>
      <c r="L9" s="196" t="str">
        <f>_xll.qlSwapRateHelper2(,$K9,B9,$D9,Calendar,$G9,$H9,$I9,$L$3,$J9,C9,Discounting,,,Permanent,Trigger,ObjectOverwrite)</f>
        <v>obj_002b5#0000</v>
      </c>
      <c r="M9" s="204" t="str">
        <f>_xll.ohRangeRetrieveError(L9)</f>
        <v/>
      </c>
      <c r="N9" s="157"/>
    </row>
    <row r="10" spans="1:14" x14ac:dyDescent="0.2">
      <c r="A10" s="144"/>
      <c r="B10" s="182">
        <v>2</v>
      </c>
      <c r="C10" s="182" t="s">
        <v>111</v>
      </c>
      <c r="D10" s="183" t="s">
        <v>13</v>
      </c>
      <c r="E10" s="194" t="s">
        <v>121</v>
      </c>
      <c r="F10" s="194" t="s">
        <v>122</v>
      </c>
      <c r="G10" s="182" t="s">
        <v>123</v>
      </c>
      <c r="H10" s="191" t="s">
        <v>68</v>
      </c>
      <c r="I10" s="191" t="s">
        <v>76</v>
      </c>
      <c r="J10" s="188" t="str">
        <f t="shared" si="0"/>
        <v>SEK1S3S3Y_Quote</v>
      </c>
      <c r="K10" s="184" t="str">
        <f t="shared" si="1"/>
        <v>SEKAB3S3Y_Quote</v>
      </c>
      <c r="L10" s="196" t="str">
        <f>_xll.qlSwapRateHelper2(,$K10,B10,$D10,Calendar,$G10,$H10,$I10,$L$3,$J10,C10,Discounting,,,Permanent,Trigger,ObjectOverwrite)</f>
        <v>obj_002b2#0000</v>
      </c>
      <c r="M10" s="204" t="str">
        <f>_xll.ohRangeRetrieveError(L10)</f>
        <v/>
      </c>
      <c r="N10" s="157"/>
    </row>
    <row r="11" spans="1:14" x14ac:dyDescent="0.2">
      <c r="A11" s="144"/>
      <c r="B11" s="182">
        <v>2</v>
      </c>
      <c r="C11" s="182" t="s">
        <v>111</v>
      </c>
      <c r="D11" s="183" t="s">
        <v>12</v>
      </c>
      <c r="E11" s="194" t="s">
        <v>121</v>
      </c>
      <c r="F11" s="194" t="s">
        <v>122</v>
      </c>
      <c r="G11" s="182" t="s">
        <v>123</v>
      </c>
      <c r="H11" s="191" t="s">
        <v>68</v>
      </c>
      <c r="I11" s="191" t="s">
        <v>76</v>
      </c>
      <c r="J11" s="188" t="str">
        <f t="shared" si="0"/>
        <v>SEK1S3S4Y_Quote</v>
      </c>
      <c r="K11" s="184" t="str">
        <f t="shared" si="1"/>
        <v>SEKAB3S4Y_Quote</v>
      </c>
      <c r="L11" s="196" t="str">
        <f>_xll.qlSwapRateHelper2(,$K11,B11,$D11,Calendar,$G11,$H11,$I11,$L$3,$J11,C11,Discounting,,,Permanent,Trigger,ObjectOverwrite)</f>
        <v>obj_002c4#0000</v>
      </c>
      <c r="M11" s="204" t="str">
        <f>_xll.ohRangeRetrieveError(L11)</f>
        <v/>
      </c>
      <c r="N11" s="157"/>
    </row>
    <row r="12" spans="1:14" x14ac:dyDescent="0.2">
      <c r="A12" s="144"/>
      <c r="B12" s="182">
        <v>2</v>
      </c>
      <c r="C12" s="182" t="s">
        <v>111</v>
      </c>
      <c r="D12" s="183" t="s">
        <v>11</v>
      </c>
      <c r="E12" s="194" t="s">
        <v>121</v>
      </c>
      <c r="F12" s="194" t="s">
        <v>122</v>
      </c>
      <c r="G12" s="182" t="s">
        <v>123</v>
      </c>
      <c r="H12" s="191" t="s">
        <v>68</v>
      </c>
      <c r="I12" s="191" t="s">
        <v>76</v>
      </c>
      <c r="J12" s="188" t="str">
        <f t="shared" si="0"/>
        <v>SEK1S3S5Y_Quote</v>
      </c>
      <c r="K12" s="184" t="str">
        <f t="shared" si="1"/>
        <v>SEKAB3S5Y_Quote</v>
      </c>
      <c r="L12" s="196" t="str">
        <f>_xll.qlSwapRateHelper2(,$K12,B12,$D12,Calendar,$G12,$H12,$I12,$L$3,$J12,C12,Discounting,,,Permanent,Trigger,ObjectOverwrite)</f>
        <v>obj_002c2#0000</v>
      </c>
      <c r="M12" s="204" t="str">
        <f>_xll.ohRangeRetrieveError(L12)</f>
        <v/>
      </c>
      <c r="N12" s="157"/>
    </row>
    <row r="13" spans="1:14" x14ac:dyDescent="0.2">
      <c r="A13" s="144"/>
      <c r="B13" s="182">
        <v>2</v>
      </c>
      <c r="C13" s="182" t="s">
        <v>111</v>
      </c>
      <c r="D13" s="183" t="s">
        <v>10</v>
      </c>
      <c r="E13" s="194" t="s">
        <v>121</v>
      </c>
      <c r="F13" s="194" t="s">
        <v>122</v>
      </c>
      <c r="G13" s="182" t="s">
        <v>123</v>
      </c>
      <c r="H13" s="191" t="s">
        <v>68</v>
      </c>
      <c r="I13" s="191" t="s">
        <v>76</v>
      </c>
      <c r="J13" s="188" t="str">
        <f t="shared" si="0"/>
        <v>SEK1S3S6Y_Quote</v>
      </c>
      <c r="K13" s="184" t="str">
        <f t="shared" si="1"/>
        <v>SEKAB3S6Y_Quote</v>
      </c>
      <c r="L13" s="196" t="str">
        <f>_xll.qlSwapRateHelper2(,$K13,B13,$D13,Calendar,$G13,$H13,$I13,$L$3,$J13,C13,Discounting,,,Permanent,Trigger,ObjectOverwrite)</f>
        <v>obj_002c0#0000</v>
      </c>
      <c r="M13" s="204" t="str">
        <f>_xll.ohRangeRetrieveError(L13)</f>
        <v/>
      </c>
      <c r="N13" s="157"/>
    </row>
    <row r="14" spans="1:14" x14ac:dyDescent="0.2">
      <c r="A14" s="144"/>
      <c r="B14" s="182">
        <v>2</v>
      </c>
      <c r="C14" s="182" t="s">
        <v>111</v>
      </c>
      <c r="D14" s="183" t="s">
        <v>9</v>
      </c>
      <c r="E14" s="194" t="s">
        <v>121</v>
      </c>
      <c r="F14" s="194" t="s">
        <v>122</v>
      </c>
      <c r="G14" s="182" t="s">
        <v>123</v>
      </c>
      <c r="H14" s="191" t="s">
        <v>68</v>
      </c>
      <c r="I14" s="191" t="s">
        <v>76</v>
      </c>
      <c r="J14" s="188" t="str">
        <f t="shared" si="0"/>
        <v>SEK1S3S7Y_Quote</v>
      </c>
      <c r="K14" s="184" t="str">
        <f t="shared" si="1"/>
        <v>SEKAB3S7Y_Quote</v>
      </c>
      <c r="L14" s="196" t="str">
        <f>_xll.qlSwapRateHelper2(,$K14,B14,$D14,Calendar,$G14,$H14,$I14,$L$3,$J14,C14,Discounting,,,Permanent,Trigger,ObjectOverwrite)</f>
        <v>obj_002bd#0000</v>
      </c>
      <c r="M14" s="204" t="str">
        <f>_xll.ohRangeRetrieveError(L14)</f>
        <v/>
      </c>
      <c r="N14" s="157"/>
    </row>
    <row r="15" spans="1:14" x14ac:dyDescent="0.2">
      <c r="A15" s="144"/>
      <c r="B15" s="182">
        <v>2</v>
      </c>
      <c r="C15" s="182" t="s">
        <v>111</v>
      </c>
      <c r="D15" s="183" t="s">
        <v>8</v>
      </c>
      <c r="E15" s="194" t="s">
        <v>121</v>
      </c>
      <c r="F15" s="194" t="s">
        <v>122</v>
      </c>
      <c r="G15" s="182" t="s">
        <v>123</v>
      </c>
      <c r="H15" s="191" t="s">
        <v>68</v>
      </c>
      <c r="I15" s="191" t="s">
        <v>76</v>
      </c>
      <c r="J15" s="188" t="str">
        <f t="shared" si="0"/>
        <v>SEK1S3S8Y_Quote</v>
      </c>
      <c r="K15" s="184" t="str">
        <f t="shared" si="1"/>
        <v>SEKAB3S8Y_Quote</v>
      </c>
      <c r="L15" s="196" t="str">
        <f>_xll.qlSwapRateHelper2(,$K15,B15,$D15,Calendar,$G15,$H15,$I15,$L$3,$J15,C15,Discounting,,,Permanent,Trigger,ObjectOverwrite)</f>
        <v>obj_002ba#0000</v>
      </c>
      <c r="M15" s="204" t="str">
        <f>_xll.ohRangeRetrieveError(L15)</f>
        <v/>
      </c>
      <c r="N15" s="157"/>
    </row>
    <row r="16" spans="1:14" x14ac:dyDescent="0.2">
      <c r="A16" s="144"/>
      <c r="B16" s="182">
        <v>2</v>
      </c>
      <c r="C16" s="182" t="s">
        <v>111</v>
      </c>
      <c r="D16" s="183" t="s">
        <v>7</v>
      </c>
      <c r="E16" s="194" t="s">
        <v>121</v>
      </c>
      <c r="F16" s="194" t="s">
        <v>122</v>
      </c>
      <c r="G16" s="182" t="s">
        <v>123</v>
      </c>
      <c r="H16" s="191" t="s">
        <v>68</v>
      </c>
      <c r="I16" s="191" t="s">
        <v>76</v>
      </c>
      <c r="J16" s="188" t="str">
        <f t="shared" si="0"/>
        <v>SEK1S3S9Y_Quote</v>
      </c>
      <c r="K16" s="184" t="str">
        <f t="shared" si="1"/>
        <v>SEKAB3S9Y_Quote</v>
      </c>
      <c r="L16" s="196" t="str">
        <f>_xll.qlSwapRateHelper2(,$K16,B16,$D16,Calendar,$G16,$H16,$I16,$L$3,$J16,C16,Discounting,,,Permanent,Trigger,ObjectOverwrite)</f>
        <v>obj_002b7#0000</v>
      </c>
      <c r="M16" s="204" t="str">
        <f>_xll.ohRangeRetrieveError(L16)</f>
        <v/>
      </c>
      <c r="N16" s="157"/>
    </row>
    <row r="17" spans="1:14" x14ac:dyDescent="0.2">
      <c r="A17" s="144"/>
      <c r="B17" s="182">
        <v>2</v>
      </c>
      <c r="C17" s="182" t="s">
        <v>111</v>
      </c>
      <c r="D17" s="183" t="s">
        <v>6</v>
      </c>
      <c r="E17" s="194" t="s">
        <v>121</v>
      </c>
      <c r="F17" s="194" t="s">
        <v>122</v>
      </c>
      <c r="G17" s="182" t="s">
        <v>123</v>
      </c>
      <c r="H17" s="191" t="s">
        <v>68</v>
      </c>
      <c r="I17" s="191" t="s">
        <v>76</v>
      </c>
      <c r="J17" s="188" t="str">
        <f t="shared" si="0"/>
        <v>SEK1S3S10Y_Quote</v>
      </c>
      <c r="K17" s="184" t="str">
        <f t="shared" si="1"/>
        <v>SEKAB3S10Y_Quote</v>
      </c>
      <c r="L17" s="196" t="str">
        <f>_xll.qlSwapRateHelper2(,$K17,B17,$D17,Calendar,$G17,$H17,$I17,$L$3,$J17,C17,Discounting,,,Permanent,Trigger,ObjectOverwrite)</f>
        <v>obj_002b4#0000</v>
      </c>
      <c r="M17" s="204" t="str">
        <f>_xll.ohRangeRetrieveError(L17)</f>
        <v/>
      </c>
      <c r="N17" s="157"/>
    </row>
    <row r="18" spans="1:14" x14ac:dyDescent="0.2">
      <c r="A18" s="144"/>
      <c r="B18" s="182">
        <v>2</v>
      </c>
      <c r="C18" s="182" t="s">
        <v>111</v>
      </c>
      <c r="D18" s="183" t="s">
        <v>5</v>
      </c>
      <c r="E18" s="194" t="s">
        <v>121</v>
      </c>
      <c r="F18" s="194" t="s">
        <v>122</v>
      </c>
      <c r="G18" s="182" t="s">
        <v>123</v>
      </c>
      <c r="H18" s="191" t="s">
        <v>68</v>
      </c>
      <c r="I18" s="191" t="s">
        <v>76</v>
      </c>
      <c r="J18" s="188" t="str">
        <f t="shared" si="0"/>
        <v>SEK1S3S12Y_Quote</v>
      </c>
      <c r="K18" s="184" t="str">
        <f t="shared" si="1"/>
        <v>SEKAB3S12Y_Quote</v>
      </c>
      <c r="L18" s="196" t="str">
        <f>_xll.qlSwapRateHelper2(,$K18,B18,$D18,Calendar,$G18,$H18,$I18,$L$3,$J18,C18,Discounting,,,Permanent,Trigger,ObjectOverwrite)</f>
        <v>obj_002b1#0000</v>
      </c>
      <c r="M18" s="204" t="str">
        <f>_xll.ohRangeRetrieveError(L18)</f>
        <v/>
      </c>
      <c r="N18" s="157"/>
    </row>
    <row r="19" spans="1:14" x14ac:dyDescent="0.2">
      <c r="A19" s="144"/>
      <c r="B19" s="182">
        <v>2</v>
      </c>
      <c r="C19" s="182" t="s">
        <v>111</v>
      </c>
      <c r="D19" s="183" t="s">
        <v>4</v>
      </c>
      <c r="E19" s="194" t="s">
        <v>121</v>
      </c>
      <c r="F19" s="194" t="s">
        <v>122</v>
      </c>
      <c r="G19" s="182" t="s">
        <v>123</v>
      </c>
      <c r="H19" s="191" t="s">
        <v>68</v>
      </c>
      <c r="I19" s="191" t="s">
        <v>76</v>
      </c>
      <c r="J19" s="188" t="str">
        <f t="shared" si="0"/>
        <v>SEK1S3S15Y_Quote</v>
      </c>
      <c r="K19" s="184" t="str">
        <f t="shared" si="1"/>
        <v>SEKAB3S15Y_Quote</v>
      </c>
      <c r="L19" s="196" t="str">
        <f>_xll.qlSwapRateHelper2(,$K19,B19,$D19,Calendar,$G19,$H19,$I19,$L$3,$J19,C19,Discounting,,,Permanent,Trigger,ObjectOverwrite)</f>
        <v>obj_002c3#0000</v>
      </c>
      <c r="M19" s="204" t="str">
        <f>_xll.ohRangeRetrieveError(L19)</f>
        <v/>
      </c>
      <c r="N19" s="157"/>
    </row>
    <row r="20" spans="1:14" x14ac:dyDescent="0.2">
      <c r="A20" s="144"/>
      <c r="B20" s="182">
        <v>2</v>
      </c>
      <c r="C20" s="182" t="s">
        <v>111</v>
      </c>
      <c r="D20" s="183" t="s">
        <v>3</v>
      </c>
      <c r="E20" s="194" t="s">
        <v>121</v>
      </c>
      <c r="F20" s="194" t="s">
        <v>122</v>
      </c>
      <c r="G20" s="182" t="s">
        <v>123</v>
      </c>
      <c r="H20" s="191" t="s">
        <v>68</v>
      </c>
      <c r="I20" s="191" t="s">
        <v>76</v>
      </c>
      <c r="J20" s="188" t="str">
        <f t="shared" si="0"/>
        <v>SEK1S3S20Y_Quote</v>
      </c>
      <c r="K20" s="184" t="str">
        <f t="shared" si="1"/>
        <v>SEKAB3S20Y_Quote</v>
      </c>
      <c r="L20" s="196" t="str">
        <f>_xll.qlSwapRateHelper2(,$K20,B20,$D20,Calendar,$G20,$H20,$I20,$L$3,$J20,C20,Discounting,,,Permanent,Trigger,ObjectOverwrite)</f>
        <v>obj_002c1#0000</v>
      </c>
      <c r="M20" s="204" t="str">
        <f>_xll.ohRangeRetrieveError(L20)</f>
        <v/>
      </c>
      <c r="N20" s="157"/>
    </row>
    <row r="21" spans="1:14" x14ac:dyDescent="0.2">
      <c r="A21" s="144"/>
      <c r="B21" s="182">
        <v>2</v>
      </c>
      <c r="C21" s="182" t="s">
        <v>111</v>
      </c>
      <c r="D21" s="183" t="s">
        <v>2</v>
      </c>
      <c r="E21" s="194" t="s">
        <v>121</v>
      </c>
      <c r="F21" s="194" t="s">
        <v>122</v>
      </c>
      <c r="G21" s="182" t="s">
        <v>123</v>
      </c>
      <c r="H21" s="191" t="s">
        <v>68</v>
      </c>
      <c r="I21" s="191" t="s">
        <v>76</v>
      </c>
      <c r="J21" s="188" t="str">
        <f t="shared" si="0"/>
        <v>SEK1S3S25Y_Quote</v>
      </c>
      <c r="K21" s="184" t="str">
        <f t="shared" si="1"/>
        <v>SEKAB3S25Y_Quote</v>
      </c>
      <c r="L21" s="196" t="str">
        <f>_xll.qlSwapRateHelper2(,$K21,B21,$D21,Calendar,$G21,$H21,$I21,$L$3,$J21,C21,Discounting,,,Permanent,Trigger,ObjectOverwrite)</f>
        <v>obj_002bf#0000</v>
      </c>
      <c r="M21" s="204" t="str">
        <f>_xll.ohRangeRetrieveError(L21)</f>
        <v/>
      </c>
      <c r="N21" s="157"/>
    </row>
    <row r="22" spans="1:14" x14ac:dyDescent="0.2">
      <c r="A22" s="144"/>
      <c r="B22" s="182">
        <v>2</v>
      </c>
      <c r="C22" s="182" t="s">
        <v>111</v>
      </c>
      <c r="D22" s="183" t="s">
        <v>1</v>
      </c>
      <c r="E22" s="194" t="s">
        <v>121</v>
      </c>
      <c r="F22" s="194" t="s">
        <v>122</v>
      </c>
      <c r="G22" s="182" t="s">
        <v>123</v>
      </c>
      <c r="H22" s="191" t="s">
        <v>68</v>
      </c>
      <c r="I22" s="191" t="s">
        <v>76</v>
      </c>
      <c r="J22" s="188" t="str">
        <f t="shared" si="0"/>
        <v>SEK1S3S27Y_Quote</v>
      </c>
      <c r="K22" s="184" t="str">
        <f t="shared" si="1"/>
        <v>SEKAB3S27Y_Quote</v>
      </c>
      <c r="L22" s="196" t="str">
        <f>_xll.qlSwapRateHelper2(,$K22,B22,$D22,Calendar,$G22,$H22,$I22,$L$3,$J22,C22,Discounting,,,Permanent,Trigger,ObjectOverwrite)</f>
        <v>obj_002bc#0000</v>
      </c>
      <c r="M22" s="204" t="str">
        <f>_xll.ohRangeRetrieveError(L22)</f>
        <v/>
      </c>
      <c r="N22" s="157"/>
    </row>
    <row r="23" spans="1:14" x14ac:dyDescent="0.2">
      <c r="A23" s="144"/>
      <c r="B23" s="182">
        <v>2</v>
      </c>
      <c r="C23" s="182" t="s">
        <v>111</v>
      </c>
      <c r="D23" s="183" t="s">
        <v>0</v>
      </c>
      <c r="E23" s="194" t="s">
        <v>121</v>
      </c>
      <c r="F23" s="194" t="s">
        <v>122</v>
      </c>
      <c r="G23" s="182" t="s">
        <v>123</v>
      </c>
      <c r="H23" s="191" t="s">
        <v>68</v>
      </c>
      <c r="I23" s="191" t="s">
        <v>76</v>
      </c>
      <c r="J23" s="188" t="str">
        <f t="shared" si="0"/>
        <v>SEK1S3S30Y_Quote</v>
      </c>
      <c r="K23" s="184" t="str">
        <f t="shared" si="1"/>
        <v>SEKAB3S30Y_Quote</v>
      </c>
      <c r="L23" s="196" t="str">
        <f>_xll.qlSwapRateHelper2(,$K23,B23,$D23,Calendar,$G23,$H23,$I23,$L$3,$J23,C23,Discounting,,,Permanent,Trigger,ObjectOverwrite)</f>
        <v>obj_002b9#0000</v>
      </c>
      <c r="M23" s="204" t="str">
        <f>_xll.ohRangeRetrieveError(L23)</f>
        <v/>
      </c>
      <c r="N23" s="157"/>
    </row>
    <row r="24" spans="1:14" x14ac:dyDescent="0.2">
      <c r="A24" s="144"/>
      <c r="B24" s="182">
        <v>2</v>
      </c>
      <c r="C24" s="182" t="s">
        <v>111</v>
      </c>
      <c r="D24" s="183" t="s">
        <v>119</v>
      </c>
      <c r="E24" s="194" t="s">
        <v>121</v>
      </c>
      <c r="F24" s="194" t="s">
        <v>122</v>
      </c>
      <c r="G24" s="182" t="s">
        <v>123</v>
      </c>
      <c r="H24" s="191" t="s">
        <v>68</v>
      </c>
      <c r="I24" s="191" t="s">
        <v>76</v>
      </c>
      <c r="J24" s="188" t="str">
        <f t="shared" si="0"/>
        <v>SEK1S3S35Y_Quote</v>
      </c>
      <c r="K24" s="184" t="str">
        <f t="shared" si="1"/>
        <v>SEKAB3S35Y_Quote</v>
      </c>
      <c r="L24" s="196" t="str">
        <f>_xll.qlSwapRateHelper2(,$K24,B24,$D24,Calendar,$G24,$H24,$I24,$L$3,$J24,C24,Discounting,,,Permanent,Trigger,ObjectOverwrite)</f>
        <v>obj_002b6#0000</v>
      </c>
      <c r="M24" s="204"/>
      <c r="N24" s="157"/>
    </row>
    <row r="25" spans="1:14" x14ac:dyDescent="0.2">
      <c r="A25" s="144"/>
      <c r="B25" s="182">
        <v>2</v>
      </c>
      <c r="C25" s="182" t="s">
        <v>111</v>
      </c>
      <c r="D25" s="183" t="s">
        <v>120</v>
      </c>
      <c r="E25" s="194" t="s">
        <v>121</v>
      </c>
      <c r="F25" s="194" t="s">
        <v>122</v>
      </c>
      <c r="G25" s="182" t="s">
        <v>123</v>
      </c>
      <c r="H25" s="191" t="s">
        <v>68</v>
      </c>
      <c r="I25" s="191" t="s">
        <v>76</v>
      </c>
      <c r="J25" s="188" t="str">
        <f t="shared" si="0"/>
        <v>SEK1S3S40Y_Quote</v>
      </c>
      <c r="K25" s="184" t="str">
        <f t="shared" si="1"/>
        <v>SEKAB3S40Y_Quote</v>
      </c>
      <c r="L25" s="196" t="str">
        <f>_xll.qlSwapRateHelper2(,$K25,B25,$D25,Calendar,$G25,$H25,$I25,$L$3,$J25,C25,Discounting,,,Permanent,Trigger,ObjectOverwrite)</f>
        <v>obj_002b3#0000</v>
      </c>
      <c r="M25" s="204"/>
      <c r="N25" s="157"/>
    </row>
    <row r="26" spans="1:14" x14ac:dyDescent="0.2">
      <c r="A26" s="144"/>
      <c r="B26" s="185">
        <v>2</v>
      </c>
      <c r="C26" s="185" t="s">
        <v>111</v>
      </c>
      <c r="D26" s="160" t="s">
        <v>124</v>
      </c>
      <c r="E26" s="195" t="s">
        <v>121</v>
      </c>
      <c r="F26" s="195" t="s">
        <v>122</v>
      </c>
      <c r="G26" s="185" t="s">
        <v>123</v>
      </c>
      <c r="H26" s="192" t="s">
        <v>68</v>
      </c>
      <c r="I26" s="192" t="s">
        <v>76</v>
      </c>
      <c r="J26" s="189" t="str">
        <f t="shared" si="0"/>
        <v>SEK1S3S50Y_Quote</v>
      </c>
      <c r="K26" s="186" t="str">
        <f t="shared" si="1"/>
        <v>SEKAB3S50Y_Quote</v>
      </c>
      <c r="L26" s="196" t="str">
        <f>_xll.qlSwapRateHelper2(,$K26,B26,$D26,Calendar,$G26,$H26,$I26,$L$3,$J26,C26,Discounting,,,Permanent,Trigger,ObjectOverwrite)</f>
        <v>obj_002b0#0000</v>
      </c>
      <c r="M26" s="205"/>
      <c r="N26" s="157"/>
    </row>
    <row r="27" spans="1:14" ht="12" thickBot="1" x14ac:dyDescent="0.25">
      <c r="A27" s="152"/>
      <c r="B27" s="198"/>
      <c r="C27" s="198"/>
      <c r="D27" s="198"/>
      <c r="E27" s="199"/>
      <c r="F27" s="199"/>
      <c r="G27" s="198"/>
      <c r="H27" s="198"/>
      <c r="I27" s="198"/>
      <c r="J27" s="198"/>
      <c r="K27" s="198"/>
      <c r="L27" s="198"/>
      <c r="M27" s="198"/>
      <c r="N27" s="178"/>
    </row>
    <row r="29" spans="1:14" x14ac:dyDescent="0.2">
      <c r="J29" s="197"/>
      <c r="K29" s="197"/>
    </row>
  </sheetData>
  <dataValidations count="3">
    <dataValidation type="list" allowBlank="1" showInputMessage="1" showErrorMessage="1" sqref="G5">
      <formula1>"Annual,Semiannual,EveryFourthMonth,Quarterly,Bimonthly,Monthly,Biweekly,Weekly,Daily,Once,NoFrequency"</formula1>
    </dataValidation>
    <dataValidation type="list" allowBlank="1" showInputMessage="1" showErrorMessage="1" sqref="I5">
      <formula1>"Actual/Actual (ISDA),Actual/360,30/360 (Bond Basis),30E/360 (Eurobond Basis),Actual/365 (Fixed),Actual/Actual (ISMA),Actual/Actual (AFB),1/1,30/360 (Italian),Simple"</formula1>
    </dataValidation>
    <dataValidation type="list" allowBlank="1" showInputMessage="1" showErrorMessage="1" sqref="H5">
      <formula1>"Following,Modified Following,Preceding,Modified Preceding,Unadjusted,Half-Month Modified Following"</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0" customWidth="1"/>
    <col min="2" max="2" width="6" style="91" bestFit="1" customWidth="1"/>
    <col min="3" max="3" width="17.28515625" style="91" bestFit="1" customWidth="1"/>
    <col min="4" max="4" width="7" style="50" bestFit="1" customWidth="1"/>
    <col min="5" max="5" width="17.28515625" style="50" bestFit="1" customWidth="1"/>
    <col min="6" max="6" width="20.28515625" style="91" customWidth="1"/>
    <col min="7" max="8" width="7" style="91" customWidth="1"/>
    <col min="9" max="9" width="11" style="91" customWidth="1"/>
    <col min="10" max="10" width="15.140625" style="91" customWidth="1"/>
    <col min="11" max="11" width="10" style="91" customWidth="1"/>
    <col min="12" max="12" width="4.140625" style="91" customWidth="1"/>
    <col min="13" max="13" width="3.7109375" style="50" customWidth="1"/>
    <col min="14" max="14" width="19.28515625" style="50" customWidth="1"/>
    <col min="15" max="16" width="17.28515625" style="50" bestFit="1" customWidth="1"/>
    <col min="17" max="18" width="15.140625" style="50" bestFit="1" customWidth="1"/>
    <col min="19" max="19" width="22.42578125" style="50" bestFit="1" customWidth="1"/>
    <col min="20" max="20" width="13.140625" style="50" bestFit="1" customWidth="1"/>
    <col min="21" max="16384" width="9.140625" style="50"/>
  </cols>
  <sheetData>
    <row r="1" spans="1:19" s="91" customFormat="1" ht="11.25" hidden="1" customHeight="1" outlineLevel="1" thickBot="1" x14ac:dyDescent="0.25">
      <c r="A1" s="108"/>
      <c r="B1" s="104" t="s">
        <v>98</v>
      </c>
      <c r="C1" s="103"/>
      <c r="D1" s="103"/>
      <c r="E1" s="103"/>
      <c r="F1" s="103"/>
      <c r="G1" s="104" t="s">
        <v>99</v>
      </c>
      <c r="H1" s="103"/>
      <c r="I1" s="103"/>
      <c r="J1" s="103"/>
      <c r="K1" s="103"/>
      <c r="L1" s="129"/>
    </row>
    <row r="2" spans="1:19" ht="11.25" hidden="1" customHeight="1" outlineLevel="1" thickBot="1" x14ac:dyDescent="0.25">
      <c r="A2" s="109"/>
      <c r="B2" s="102" t="s">
        <v>93</v>
      </c>
      <c r="C2" s="102" t="s">
        <v>95</v>
      </c>
      <c r="D2" s="102" t="s">
        <v>50</v>
      </c>
      <c r="E2" s="102" t="s">
        <v>96</v>
      </c>
      <c r="F2" s="105" t="s">
        <v>97</v>
      </c>
      <c r="G2" s="102" t="s">
        <v>95</v>
      </c>
      <c r="H2" s="102" t="s">
        <v>96</v>
      </c>
      <c r="I2" s="102" t="s">
        <v>97</v>
      </c>
      <c r="J2" s="133" t="s">
        <v>100</v>
      </c>
      <c r="K2" s="102" t="s">
        <v>101</v>
      </c>
      <c r="L2" s="129"/>
    </row>
    <row r="3" spans="1:19" ht="11.25" hidden="1" customHeight="1" outlineLevel="1" x14ac:dyDescent="0.2">
      <c r="A3" s="118"/>
      <c r="B3" s="122" t="str">
        <f>_xll.qlPeriodEquivalent(D3&amp;"M")</f>
        <v>1Y</v>
      </c>
      <c r="C3" s="110">
        <f>_xll.qlDateEndOfMonth(EDATE(_xll.qlSettingsEvaluationDate(Trigger),-1))</f>
        <v>42247</v>
      </c>
      <c r="D3" s="107">
        <v>12</v>
      </c>
      <c r="E3" s="110">
        <f t="shared" ref="E3:E16" si="0">EDATE($P$19,D3)</f>
        <v>42642</v>
      </c>
      <c r="F3" s="125">
        <f>IF(D3&lt;=12,1,IF(D3&lt;=24,3,IF(D3&lt;=120,6,IF(D3&lt;=240,12,IF(D3&lt;=360,36,60)))))</f>
        <v>1</v>
      </c>
      <c r="G3" s="136">
        <f>IF(J3&gt;=0,ROUNDDOWN(J3*10,2)/10,ROUNDUP(J3*10,2)/10)</f>
        <v>-4.0000000000000001E-3</v>
      </c>
      <c r="H3" s="115">
        <f>IF(K3-J3&gt;1%,(QUOTIENT(K3*10000,50)+1)*0.5%,(QUOTIENT(K3*10000,10)+1)*0.1%)</f>
        <v>-1E-3</v>
      </c>
      <c r="I3" s="130">
        <f>IF(H3-G3&lt;0.5%,0.05%,IF(H3-G3&lt;1%,0.1%,IF(H3-G3&lt;2%,0.25%,0.5%)))</f>
        <v>5.0000000000000001E-4</v>
      </c>
      <c r="J3" s="115">
        <f>MIN(_xll.ohPack($Q$19:INDEX($Q$19:$Q$3552,MATCH(E3+1,$P$19:$P$3552,1),1)))</f>
        <v>-3.961063143005014E-3</v>
      </c>
      <c r="K3" s="130">
        <f>MAX(_xll.ohPack($Q$19:INDEX($Q$19:$Q$3552,MATCH(E3+1,$P$19:$P$3552,1),1)))</f>
        <v>-2.9479993688817964E-3</v>
      </c>
      <c r="L3" s="171"/>
    </row>
    <row r="4" spans="1:19" ht="11.25" hidden="1" customHeight="1" outlineLevel="1" x14ac:dyDescent="0.2">
      <c r="A4" s="119"/>
      <c r="B4" s="123" t="str">
        <f>_xll.qlPeriodEquivalent(D4&amp;"M")</f>
        <v>2Y</v>
      </c>
      <c r="C4" s="111">
        <f>_xll.qlDateEndOfMonth(EDATE(_xll.qlIMMNextDate(_xll.qlSettingsEvaluationDate(Trigger)-1,TRUE),-3))</f>
        <v>42277</v>
      </c>
      <c r="D4" s="101">
        <v>24</v>
      </c>
      <c r="E4" s="111">
        <f t="shared" si="0"/>
        <v>43007</v>
      </c>
      <c r="F4" s="126">
        <f t="shared" ref="F4:F16" si="1">IF(D4&lt;=12,1,IF(D4&lt;=24,3,IF(D4&lt;=120,6,IF(D4&lt;=240,12,IF(D4&lt;=360,36,60)))))</f>
        <v>3</v>
      </c>
      <c r="G4" s="137">
        <f t="shared" ref="G4:G16" si="2">IF(J4&gt;=0,ROUNDDOWN(J4*10,2)/10,ROUNDUP(J4*10,2)/10)</f>
        <v>-4.0000000000000001E-3</v>
      </c>
      <c r="H4" s="116">
        <f t="shared" ref="H4:H16" si="3">IF(K4-J4&gt;1%,(QUOTIENT(K4*10000,50)+1)*0.5%,(QUOTIENT(K4*10000,10)+1)*0.1%)</f>
        <v>2E-3</v>
      </c>
      <c r="I4" s="131">
        <f t="shared" ref="I4:I16" si="4">IF(H4-G4&lt;0.5%,0.05%,IF(H4-G4&lt;1%,0.1%,IF(H4-G4&lt;2%,0.25%,0.5%)))</f>
        <v>1E-3</v>
      </c>
      <c r="J4" s="116">
        <f>MIN(_xll.ohPack($Q$19:INDEX($Q$19:$Q$3552,MATCH(E4+1,$P$19:$P$3552,1),1)))</f>
        <v>-3.961063143005014E-3</v>
      </c>
      <c r="K4" s="131">
        <f>MAX(_xll.ohPack($Q$19:INDEX($Q$19:$Q$3552,MATCH(E4+1,$P$19:$P$3552,1),1)))</f>
        <v>1.0184440294652708E-3</v>
      </c>
      <c r="L4" s="129"/>
    </row>
    <row r="5" spans="1:19" ht="11.25" hidden="1" customHeight="1" outlineLevel="1" x14ac:dyDescent="0.2">
      <c r="A5" s="119"/>
      <c r="B5" s="123" t="str">
        <f>_xll.qlPeriodEquivalent(D5&amp;"M")</f>
        <v>5Y</v>
      </c>
      <c r="C5" s="11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01">
        <v>60</v>
      </c>
      <c r="E5" s="111">
        <f t="shared" si="0"/>
        <v>44103</v>
      </c>
      <c r="F5" s="126">
        <f t="shared" si="1"/>
        <v>6</v>
      </c>
      <c r="G5" s="137">
        <f t="shared" si="2"/>
        <v>-4.0000000000000001E-3</v>
      </c>
      <c r="H5" s="116">
        <f t="shared" si="3"/>
        <v>0.02</v>
      </c>
      <c r="I5" s="131">
        <f t="shared" si="4"/>
        <v>5.0000000000000001E-3</v>
      </c>
      <c r="J5" s="116">
        <f>MIN(_xll.ohPack($Q$19:INDEX($Q$19:$Q$3552,MATCH(E5+1,$P$19:$P$3552,1),1)))</f>
        <v>-3.961063143005014E-3</v>
      </c>
      <c r="K5" s="131">
        <f>MAX(_xll.ohPack($Q$19:INDEX($Q$19:$Q$3552,MATCH(E5+1,$P$19:$P$3552,1),1)))</f>
        <v>1.6268508210595667E-2</v>
      </c>
      <c r="L5" s="129"/>
    </row>
    <row r="6" spans="1:19" ht="11.25" hidden="1" customHeight="1" outlineLevel="1" x14ac:dyDescent="0.2">
      <c r="A6" s="120" t="s">
        <v>94</v>
      </c>
      <c r="B6" s="123" t="str">
        <f>_xll.qlPeriodEquivalent(D6&amp;"M")</f>
        <v>10Y</v>
      </c>
      <c r="C6" s="111">
        <f>C5</f>
        <v>42185</v>
      </c>
      <c r="D6" s="101">
        <v>120</v>
      </c>
      <c r="E6" s="111">
        <f t="shared" si="0"/>
        <v>45929</v>
      </c>
      <c r="F6" s="126">
        <f t="shared" si="1"/>
        <v>6</v>
      </c>
      <c r="G6" s="137">
        <f t="shared" si="2"/>
        <v>-4.0000000000000001E-3</v>
      </c>
      <c r="H6" s="116">
        <f t="shared" si="3"/>
        <v>2.5000000000000001E-2</v>
      </c>
      <c r="I6" s="131">
        <f t="shared" si="4"/>
        <v>5.0000000000000001E-3</v>
      </c>
      <c r="J6" s="116">
        <f>MIN(_xll.ohPack($Q$19:INDEX($Q$19:$Q$3552,MATCH(E6+1,$P$19:$P$3552,1),1)))</f>
        <v>-3.961063143005014E-3</v>
      </c>
      <c r="K6" s="131">
        <f>MAX(_xll.ohPack($Q$19:INDEX($Q$19:$Q$3552,MATCH(E6+1,$P$19:$P$3552,1),1)))</f>
        <v>2.4869152751327839E-2</v>
      </c>
      <c r="L6" s="129"/>
    </row>
    <row r="7" spans="1:19" ht="11.25" hidden="1" customHeight="1" outlineLevel="1" x14ac:dyDescent="0.2">
      <c r="A7" s="119"/>
      <c r="B7" s="123" t="str">
        <f>_xll.qlPeriodEquivalent(D7&amp;"M")</f>
        <v>20Y</v>
      </c>
      <c r="C7" s="111">
        <f>IF(AND(MONTH(C6)=12),C6,_xll.qlDateEndOfMonth(EDATE(C6,-6)))</f>
        <v>42004</v>
      </c>
      <c r="D7" s="101">
        <v>240</v>
      </c>
      <c r="E7" s="111">
        <f t="shared" si="0"/>
        <v>49581</v>
      </c>
      <c r="F7" s="127">
        <f t="shared" si="1"/>
        <v>12</v>
      </c>
      <c r="G7" s="137">
        <f t="shared" si="2"/>
        <v>-4.0000000000000001E-3</v>
      </c>
      <c r="H7" s="116">
        <f t="shared" si="3"/>
        <v>0.03</v>
      </c>
      <c r="I7" s="131">
        <f t="shared" si="4"/>
        <v>5.0000000000000001E-3</v>
      </c>
      <c r="J7" s="134">
        <f>MIN(_xll.ohPack($Q$19:INDEX($Q$19:$Q$3552,MATCH(E7+1,$P$19:$P$3552,1),1)))</f>
        <v>-3.961063143005014E-3</v>
      </c>
      <c r="K7" s="131">
        <f>MAX(_xll.ohPack($Q$19:INDEX($Q$19:$Q$3552,MATCH(E7+1,$P$19:$P$3552,1),1)))</f>
        <v>2.7464125200642668E-2</v>
      </c>
      <c r="L7" s="129"/>
    </row>
    <row r="8" spans="1:19" ht="11.25" hidden="1" customHeight="1" outlineLevel="1" x14ac:dyDescent="0.2">
      <c r="A8" s="119"/>
      <c r="B8" s="123" t="str">
        <f>_xll.qlPeriodEquivalent(D8&amp;"M")</f>
        <v>30Y</v>
      </c>
      <c r="C8" s="111">
        <f>C7</f>
        <v>42004</v>
      </c>
      <c r="D8" s="101">
        <v>360</v>
      </c>
      <c r="E8" s="111">
        <f t="shared" si="0"/>
        <v>53234</v>
      </c>
      <c r="F8" s="127">
        <f t="shared" si="1"/>
        <v>36</v>
      </c>
      <c r="G8" s="137">
        <f t="shared" si="2"/>
        <v>-4.0000000000000001E-3</v>
      </c>
      <c r="H8" s="116">
        <f t="shared" si="3"/>
        <v>0.03</v>
      </c>
      <c r="I8" s="131">
        <f t="shared" si="4"/>
        <v>5.0000000000000001E-3</v>
      </c>
      <c r="J8" s="134">
        <f>MIN(_xll.ohPack($Q$19:INDEX($Q$19:$Q$3552,MATCH(E8+1,$P$19:$P$3552,1),1)))</f>
        <v>-3.961063143005014E-3</v>
      </c>
      <c r="K8" s="131">
        <f>MAX(_xll.ohPack($Q$19:INDEX($Q$19:$Q$3552,MATCH(E8+1,$P$19:$P$3552,1),1)))</f>
        <v>2.7464125200642668E-2</v>
      </c>
      <c r="L8" s="129"/>
    </row>
    <row r="9" spans="1:19" ht="11.25" hidden="1" customHeight="1" outlineLevel="1" thickBot="1" x14ac:dyDescent="0.25">
      <c r="A9" s="119"/>
      <c r="B9" s="123" t="str">
        <f>_xll.qlPeriodEquivalent(D9&amp;"M")</f>
        <v>60Y</v>
      </c>
      <c r="C9" s="111">
        <f>C8</f>
        <v>42004</v>
      </c>
      <c r="D9" s="101">
        <v>720</v>
      </c>
      <c r="E9" s="111">
        <f t="shared" si="0"/>
        <v>64191</v>
      </c>
      <c r="F9" s="127">
        <f t="shared" si="1"/>
        <v>60</v>
      </c>
      <c r="G9" s="137">
        <f t="shared" si="2"/>
        <v>-4.0000000000000001E-3</v>
      </c>
      <c r="H9" s="116">
        <f t="shared" si="3"/>
        <v>0.03</v>
      </c>
      <c r="I9" s="131">
        <f t="shared" si="4"/>
        <v>5.0000000000000001E-3</v>
      </c>
      <c r="J9" s="134">
        <f>MIN(_xll.ohPack($Q$19:INDEX($Q$19:$Q$3552,MATCH(E9+1,$P$19:$P$3552,1),1)))</f>
        <v>-3.961063143005014E-3</v>
      </c>
      <c r="K9" s="131">
        <f>MAX(_xll.ohPack($Q$19:INDEX($Q$19:$Q$3552,MATCH(E9+1,$P$19:$P$3552,1),1)))</f>
        <v>2.7464125200642668E-2</v>
      </c>
      <c r="L9" s="129"/>
      <c r="S9" s="93"/>
    </row>
    <row r="10" spans="1:19" ht="11.25" hidden="1" customHeight="1" outlineLevel="1" x14ac:dyDescent="0.2">
      <c r="A10" s="118"/>
      <c r="B10" s="122" t="str">
        <f>_xll.qlPeriodEquivalent(D10&amp;"M")</f>
        <v>1Y</v>
      </c>
      <c r="C10" s="110">
        <f t="shared" ref="C10:C16" si="5">C3</f>
        <v>42247</v>
      </c>
      <c r="D10" s="107">
        <v>12</v>
      </c>
      <c r="E10" s="110">
        <f t="shared" si="0"/>
        <v>42642</v>
      </c>
      <c r="F10" s="125">
        <f t="shared" si="1"/>
        <v>1</v>
      </c>
      <c r="G10" s="136">
        <f t="shared" si="2"/>
        <v>-4.0000000000000001E-3</v>
      </c>
      <c r="H10" s="115">
        <f t="shared" si="3"/>
        <v>-2E-3</v>
      </c>
      <c r="I10" s="130">
        <f t="shared" si="4"/>
        <v>5.0000000000000001E-4</v>
      </c>
      <c r="J10" s="115">
        <f>MIN(_xll.ohPack($R$19:INDEX($R$19:$R$3552,MATCH(E10+1,$P$19:$P$3552,1),1)))</f>
        <v>-3.9630324013639751E-3</v>
      </c>
      <c r="K10" s="130">
        <f>MAX(_xll.ohPack($R$19:INDEX($R$19:$R$3552,MATCH(E10+1,$P$19:$P$3552,1),1)))</f>
        <v>-3.0345765101547073E-3</v>
      </c>
      <c r="L10" s="129"/>
    </row>
    <row r="11" spans="1:19" ht="11.25" hidden="1" customHeight="1" outlineLevel="1" x14ac:dyDescent="0.2">
      <c r="A11" s="119"/>
      <c r="B11" s="123" t="str">
        <f>_xll.qlPeriodEquivalent(D11&amp;"M")</f>
        <v>2Y</v>
      </c>
      <c r="C11" s="111">
        <f t="shared" si="5"/>
        <v>42277</v>
      </c>
      <c r="D11" s="101">
        <v>24</v>
      </c>
      <c r="E11" s="111">
        <f t="shared" si="0"/>
        <v>43007</v>
      </c>
      <c r="F11" s="126">
        <f t="shared" si="1"/>
        <v>3</v>
      </c>
      <c r="G11" s="137">
        <f t="shared" si="2"/>
        <v>-4.0000000000000001E-3</v>
      </c>
      <c r="H11" s="116">
        <f t="shared" si="3"/>
        <v>1E-3</v>
      </c>
      <c r="I11" s="131">
        <f t="shared" si="4"/>
        <v>1E-3</v>
      </c>
      <c r="J11" s="116">
        <f>MIN(_xll.ohPack($R$19:INDEX($R$19:$R$3552,MATCH(E11+1,$P$19:$P$3552,1),1)))</f>
        <v>-3.9630324013639751E-3</v>
      </c>
      <c r="K11" s="131">
        <f>MAX(_xll.ohPack($R$19:INDEX($R$19:$R$3552,MATCH(E11+1,$P$19:$P$3552,1),1)))</f>
        <v>8.6182315723881686E-4</v>
      </c>
      <c r="L11" s="129"/>
    </row>
    <row r="12" spans="1:19" ht="11.25" hidden="1" customHeight="1" outlineLevel="1" x14ac:dyDescent="0.2">
      <c r="A12" s="119"/>
      <c r="B12" s="123" t="str">
        <f>_xll.qlPeriodEquivalent(D12&amp;"M")</f>
        <v>5Y</v>
      </c>
      <c r="C12" s="111">
        <f t="shared" si="5"/>
        <v>42185</v>
      </c>
      <c r="D12" s="101">
        <v>60</v>
      </c>
      <c r="E12" s="111">
        <f t="shared" si="0"/>
        <v>44103</v>
      </c>
      <c r="F12" s="126">
        <f t="shared" si="1"/>
        <v>6</v>
      </c>
      <c r="G12" s="137">
        <f t="shared" si="2"/>
        <v>-4.0000000000000001E-3</v>
      </c>
      <c r="H12" s="116">
        <f t="shared" si="3"/>
        <v>0.02</v>
      </c>
      <c r="I12" s="131">
        <f t="shared" si="4"/>
        <v>5.0000000000000001E-3</v>
      </c>
      <c r="J12" s="116">
        <f>MIN(_xll.ohPack($R$19:INDEX($R$19:$R$3552,MATCH(E12+1,$P$19:$P$3552,1),1)))</f>
        <v>-3.9630324013639751E-3</v>
      </c>
      <c r="K12" s="131">
        <f>MAX(_xll.ohPack($R$19:INDEX($R$19:$R$3552,MATCH(E12+1,$P$19:$P$3552,1),1)))</f>
        <v>1.6143829057249093E-2</v>
      </c>
      <c r="L12" s="129"/>
    </row>
    <row r="13" spans="1:19" ht="11.25" hidden="1" customHeight="1" outlineLevel="1" x14ac:dyDescent="0.2">
      <c r="A13" s="120" t="s">
        <v>88</v>
      </c>
      <c r="B13" s="123" t="str">
        <f>_xll.qlPeriodEquivalent(D13&amp;"M")</f>
        <v>10Y</v>
      </c>
      <c r="C13" s="111">
        <f t="shared" si="5"/>
        <v>42185</v>
      </c>
      <c r="D13" s="101">
        <v>120</v>
      </c>
      <c r="E13" s="111">
        <f t="shared" si="0"/>
        <v>45929</v>
      </c>
      <c r="F13" s="126">
        <f t="shared" si="1"/>
        <v>6</v>
      </c>
      <c r="G13" s="137">
        <f t="shared" si="2"/>
        <v>-4.0000000000000001E-3</v>
      </c>
      <c r="H13" s="116">
        <f t="shared" si="3"/>
        <v>2.5000000000000001E-2</v>
      </c>
      <c r="I13" s="131">
        <f t="shared" si="4"/>
        <v>5.0000000000000001E-3</v>
      </c>
      <c r="J13" s="116">
        <f>MIN(_xll.ohPack($R$19:INDEX($R$19:$R$3552,MATCH(E13+1,$P$19:$P$3552,1),1)))</f>
        <v>-3.9630324013639751E-3</v>
      </c>
      <c r="K13" s="131">
        <f>MAX(_xll.ohPack($R$19:INDEX($R$19:$R$3552,MATCH(E13+1,$P$19:$P$3552,1),1)))</f>
        <v>2.4826495380452229E-2</v>
      </c>
      <c r="L13" s="129"/>
    </row>
    <row r="14" spans="1:19" ht="11.25" hidden="1" customHeight="1" outlineLevel="1" x14ac:dyDescent="0.2">
      <c r="A14" s="119"/>
      <c r="B14" s="123" t="str">
        <f>_xll.qlPeriodEquivalent(D14&amp;"M")</f>
        <v>20Y</v>
      </c>
      <c r="C14" s="111">
        <f t="shared" si="5"/>
        <v>42004</v>
      </c>
      <c r="D14" s="101">
        <v>240</v>
      </c>
      <c r="E14" s="111">
        <f t="shared" si="0"/>
        <v>49581</v>
      </c>
      <c r="F14" s="127">
        <f>IF(D14&lt;=12,1,IF(D14&lt;=24,3,IF(D14&lt;=120,6,IF(D14&lt;=240,12,IF(D14&lt;=360,36,60)))))</f>
        <v>12</v>
      </c>
      <c r="G14" s="137">
        <f t="shared" si="2"/>
        <v>-4.0000000000000001E-3</v>
      </c>
      <c r="H14" s="116">
        <f t="shared" si="3"/>
        <v>0.03</v>
      </c>
      <c r="I14" s="131">
        <f t="shared" si="4"/>
        <v>5.0000000000000001E-3</v>
      </c>
      <c r="J14" s="134">
        <f>MIN(_xll.ohPack($R$19:INDEX($R$19:$R$3552,MATCH(E14+1,$P$19:$P$3552,1),1)))</f>
        <v>-3.9630324013639751E-3</v>
      </c>
      <c r="K14" s="131">
        <f>MAX(_xll.ohPack($R$19:INDEX($R$19:$R$3552,MATCH(E14+1,$P$19:$P$3552,1),1)))</f>
        <v>2.743472282340953E-2</v>
      </c>
      <c r="L14" s="129"/>
    </row>
    <row r="15" spans="1:19" ht="11.25" hidden="1" customHeight="1" outlineLevel="1" x14ac:dyDescent="0.2">
      <c r="A15" s="119"/>
      <c r="B15" s="123" t="str">
        <f>_xll.qlPeriodEquivalent(D15&amp;"M")</f>
        <v>30Y</v>
      </c>
      <c r="C15" s="111">
        <f t="shared" si="5"/>
        <v>42004</v>
      </c>
      <c r="D15" s="101">
        <v>360</v>
      </c>
      <c r="E15" s="111">
        <f t="shared" si="0"/>
        <v>53234</v>
      </c>
      <c r="F15" s="127">
        <f t="shared" si="1"/>
        <v>36</v>
      </c>
      <c r="G15" s="137">
        <f t="shared" si="2"/>
        <v>-4.0000000000000001E-3</v>
      </c>
      <c r="H15" s="116">
        <f t="shared" si="3"/>
        <v>0.03</v>
      </c>
      <c r="I15" s="131">
        <f t="shared" si="4"/>
        <v>5.0000000000000001E-3</v>
      </c>
      <c r="J15" s="134">
        <f>MIN(_xll.ohPack($R$19:INDEX($R$19:$R$3552,MATCH(E15+1,$P$19:$P$3552,1),1)))</f>
        <v>-3.9630324013639751E-3</v>
      </c>
      <c r="K15" s="131">
        <f>MAX(_xll.ohPack($R$19:INDEX($R$19:$R$3552,MATCH(E15+1,$P$19:$P$3552,1),1)))</f>
        <v>2.743472282340953E-2</v>
      </c>
      <c r="L15" s="129"/>
      <c r="M15" s="91"/>
      <c r="Q15" s="90" t="s">
        <v>86</v>
      </c>
      <c r="R15" s="90" t="s">
        <v>87</v>
      </c>
    </row>
    <row r="16" spans="1:19" ht="11.25" hidden="1" customHeight="1" outlineLevel="1" thickBot="1" x14ac:dyDescent="0.25">
      <c r="A16" s="121"/>
      <c r="B16" s="124" t="str">
        <f>_xll.qlPeriodEquivalent(D16&amp;"M")</f>
        <v>60Y</v>
      </c>
      <c r="C16" s="112">
        <f t="shared" si="5"/>
        <v>42004</v>
      </c>
      <c r="D16" s="113">
        <v>720</v>
      </c>
      <c r="E16" s="112">
        <f t="shared" si="0"/>
        <v>64191</v>
      </c>
      <c r="F16" s="128">
        <f t="shared" si="1"/>
        <v>60</v>
      </c>
      <c r="G16" s="138">
        <f t="shared" si="2"/>
        <v>-4.0000000000000001E-3</v>
      </c>
      <c r="H16" s="117">
        <f t="shared" si="3"/>
        <v>0.03</v>
      </c>
      <c r="I16" s="132">
        <f t="shared" si="4"/>
        <v>5.0000000000000001E-3</v>
      </c>
      <c r="J16" s="135">
        <f>MIN(_xll.ohPack($R$19:INDEX($R$19:$R$3552,MATCH(E16+1,$P$19:$P$3552,1),1)))</f>
        <v>-3.9630324013639751E-3</v>
      </c>
      <c r="K16" s="132">
        <f>MAX(_xll.ohPack($R$19:INDEX($R$19:$R$3552,MATCH(E16+1,$P$19:$P$3552,1),1)))</f>
        <v>2.743472282340953E-2</v>
      </c>
      <c r="L16" s="129"/>
      <c r="M16" s="80"/>
      <c r="Q16" s="84" t="str">
        <f>_xll.qlIborIndex(,FamilyName,IndexTenor,NDays,Currency,Calendar,"mf",TRUE,MoneyMarketDayCounter,YieldCurve,,RecalcTrigger)</f>
        <v>obj_002af#0001</v>
      </c>
      <c r="R16" s="84" t="str">
        <f>_xll.qlOvernightIndex(,FamilyName,NDays,Currency,Calendar,MoneyMarketDayCounter,YieldCurve,,RecalcTrigger)</f>
        <v>obj_002ae#0001</v>
      </c>
    </row>
    <row r="17" spans="10:18" ht="12" collapsed="1" thickBot="1" x14ac:dyDescent="0.25"/>
    <row r="18" spans="10:18" ht="12" thickBot="1" x14ac:dyDescent="0.25">
      <c r="N18" s="97" t="s">
        <v>90</v>
      </c>
      <c r="O18" s="98" t="s">
        <v>85</v>
      </c>
      <c r="P18" s="98" t="s">
        <v>84</v>
      </c>
      <c r="Q18" s="99" t="s">
        <v>89</v>
      </c>
      <c r="R18" s="100" t="s">
        <v>88</v>
      </c>
    </row>
    <row r="19" spans="10:18" ht="12" thickBot="1" x14ac:dyDescent="0.25">
      <c r="J19" s="95" t="s">
        <v>92</v>
      </c>
      <c r="N19" s="88" t="s">
        <v>67</v>
      </c>
      <c r="O19" s="92">
        <f>_xll.qlSettingsEvaluationDate(Trigger)</f>
        <v>42272</v>
      </c>
      <c r="P19" s="92">
        <f>_xll.qlCalendarAdvance(Calendar,O19,NDays&amp;"D")</f>
        <v>42276</v>
      </c>
      <c r="Q19" s="81">
        <f t="array" ref="Q19:Q3552">IFERROR(_xll.qlIndexFixing(IborIndex,O19:O3552,TRUE,RecalcTrigger),NA())</f>
        <v>-3.6399999990073262E-3</v>
      </c>
      <c r="R19" s="85">
        <f t="array" ref="R19:R3552">IFERROR(_xll.qlIndexFixing(OverNightIndex,P19:P3552,TRUE,RecalcTrigger),NA())</f>
        <v>-3.5460270896425783E-3</v>
      </c>
    </row>
    <row r="20" spans="10:18" ht="12" thickBot="1" x14ac:dyDescent="0.25">
      <c r="J20" s="106"/>
      <c r="N20" s="88" t="str">
        <f>N19</f>
        <v>1D</v>
      </c>
      <c r="O20" s="82">
        <f>_xll.qlCalendarAdvance(Calendar,O19,N20,"f",FALSE)</f>
        <v>42275</v>
      </c>
      <c r="P20" s="92">
        <f>_xll.qlCalendarAdvance(Calendar,O20,NDays&amp;"D")</f>
        <v>42277</v>
      </c>
      <c r="Q20" s="81">
        <v>-3.6483093558872248E-3</v>
      </c>
      <c r="R20" s="85">
        <v>-3.550506290959099E-3</v>
      </c>
    </row>
    <row r="21" spans="10:18" ht="12" thickBot="1" x14ac:dyDescent="0.25">
      <c r="N21" s="88" t="str">
        <f t="shared" ref="N21:N84" si="6">N20</f>
        <v>1D</v>
      </c>
      <c r="O21" s="82">
        <f>_xll.qlCalendarAdvance(Calendar,O20,N21,"f",FALSE)</f>
        <v>42276</v>
      </c>
      <c r="P21" s="92">
        <f>_xll.qlCalendarAdvance(Calendar,O21,NDays&amp;"D")</f>
        <v>42278</v>
      </c>
      <c r="Q21" s="81">
        <v>-3.665698600080064E-3</v>
      </c>
      <c r="R21" s="85">
        <v>-3.5571074447560136E-3</v>
      </c>
    </row>
    <row r="22" spans="10:18" ht="23.25" thickBot="1" x14ac:dyDescent="0.25">
      <c r="J22" s="221" t="s">
        <v>109</v>
      </c>
      <c r="N22" s="88" t="str">
        <f t="shared" si="6"/>
        <v>1D</v>
      </c>
      <c r="O22" s="82">
        <f>_xll.qlCalendarAdvance(Calendar,O21,N22,"f",FALSE)</f>
        <v>42277</v>
      </c>
      <c r="P22" s="92">
        <f>_xll.qlCalendarAdvance(Calendar,O22,NDays&amp;"D")</f>
        <v>42279</v>
      </c>
      <c r="Q22" s="81">
        <v>-3.669595117172797E-3</v>
      </c>
      <c r="R22" s="85">
        <v>-3.5614182187337917E-3</v>
      </c>
    </row>
    <row r="23" spans="10:18" ht="12" thickBot="1" x14ac:dyDescent="0.25">
      <c r="J23" s="220" t="str">
        <f>ROUNDDOWN((_xll.qlTermStructureMaxDate(YieldCurve,Trigger)-_xll.qlTermStructureReferenceDate(YieldCurve,Trigger))/365,)&amp;"Y"</f>
        <v>30Y</v>
      </c>
      <c r="N23" s="88" t="str">
        <f t="shared" si="6"/>
        <v>1D</v>
      </c>
      <c r="O23" s="82">
        <f>_xll.qlCalendarAdvance(Calendar,O22,N23,"f",FALSE)</f>
        <v>42278</v>
      </c>
      <c r="P23" s="92">
        <f>_xll.qlCalendarAdvance(Calendar,O23,NDays&amp;"D")</f>
        <v>42282</v>
      </c>
      <c r="Q23" s="81">
        <v>-3.6946694515184141E-3</v>
      </c>
      <c r="R23" s="85">
        <v>-3.5663533032348482E-3</v>
      </c>
    </row>
    <row r="24" spans="10:18" x14ac:dyDescent="0.2">
      <c r="N24" s="88" t="str">
        <f t="shared" si="6"/>
        <v>1D</v>
      </c>
      <c r="O24" s="82">
        <f>_xll.qlCalendarAdvance(Calendar,O23,N24,"f",FALSE)</f>
        <v>42279</v>
      </c>
      <c r="P24" s="92">
        <f>_xll.qlCalendarAdvance(Calendar,O24,NDays&amp;"D")</f>
        <v>42283</v>
      </c>
      <c r="Q24" s="81">
        <v>-3.7030177639894098E-3</v>
      </c>
      <c r="R24" s="85">
        <v>-3.5719144457013741E-3</v>
      </c>
    </row>
    <row r="25" spans="10:18" x14ac:dyDescent="0.2">
      <c r="N25" s="88" t="str">
        <f t="shared" si="6"/>
        <v>1D</v>
      </c>
      <c r="O25" s="82">
        <f>_xll.qlCalendarAdvance(Calendar,O24,N25,"f",FALSE)</f>
        <v>42282</v>
      </c>
      <c r="P25" s="92">
        <f>_xll.qlCalendarAdvance(Calendar,O25,NDays&amp;"D")</f>
        <v>42284</v>
      </c>
      <c r="Q25" s="81">
        <v>-3.7180562283149633E-3</v>
      </c>
      <c r="R25" s="85">
        <v>-3.5850878863197266E-3</v>
      </c>
    </row>
    <row r="26" spans="10:18" x14ac:dyDescent="0.2">
      <c r="N26" s="88" t="str">
        <f t="shared" si="6"/>
        <v>1D</v>
      </c>
      <c r="O26" s="82">
        <f>_xll.qlCalendarAdvance(Calendar,O25,N26,"f",FALSE)</f>
        <v>42283</v>
      </c>
      <c r="P26" s="92">
        <f>_xll.qlCalendarAdvance(Calendar,O26,NDays&amp;"D")</f>
        <v>42285</v>
      </c>
      <c r="Q26" s="81">
        <v>-3.7228338251137083E-3</v>
      </c>
      <c r="R26" s="85">
        <v>-3.6004195916650161E-3</v>
      </c>
    </row>
    <row r="27" spans="10:18" x14ac:dyDescent="0.2">
      <c r="N27" s="88" t="str">
        <f t="shared" si="6"/>
        <v>1D</v>
      </c>
      <c r="O27" s="82">
        <f>_xll.qlCalendarAdvance(Calendar,O26,N27,"f",FALSE)</f>
        <v>42284</v>
      </c>
      <c r="P27" s="92">
        <f>_xll.qlCalendarAdvance(Calendar,O27,NDays&amp;"D")</f>
        <v>42286</v>
      </c>
      <c r="Q27" s="81">
        <v>-3.7277391787627506E-3</v>
      </c>
      <c r="R27" s="85">
        <v>-3.6092216802030563E-3</v>
      </c>
    </row>
    <row r="28" spans="10:18" x14ac:dyDescent="0.2">
      <c r="N28" s="88" t="str">
        <f t="shared" si="6"/>
        <v>1D</v>
      </c>
      <c r="O28" s="82">
        <f>_xll.qlCalendarAdvance(Calendar,O27,N28,"f",FALSE)</f>
        <v>42285</v>
      </c>
      <c r="P28" s="92">
        <f>_xll.qlCalendarAdvance(Calendar,O28,NDays&amp;"D")</f>
        <v>42289</v>
      </c>
      <c r="Q28" s="81">
        <v>-3.7515295605421656E-3</v>
      </c>
      <c r="R28" s="85">
        <v>-3.6192031170401151E-3</v>
      </c>
    </row>
    <row r="29" spans="10:18" x14ac:dyDescent="0.2">
      <c r="N29" s="88" t="str">
        <f t="shared" si="6"/>
        <v>1D</v>
      </c>
      <c r="O29" s="82">
        <f>_xll.qlCalendarAdvance(Calendar,O28,N29,"f",FALSE)</f>
        <v>42286</v>
      </c>
      <c r="P29" s="92">
        <f>_xll.qlCalendarAdvance(Calendar,O29,NDays&amp;"D")</f>
        <v>42290</v>
      </c>
      <c r="Q29" s="81">
        <v>-3.7591536804221048E-3</v>
      </c>
      <c r="R29" s="85">
        <v>-3.6304745598592092E-3</v>
      </c>
    </row>
    <row r="30" spans="10:18" x14ac:dyDescent="0.2">
      <c r="N30" s="88" t="str">
        <f t="shared" si="6"/>
        <v>1D</v>
      </c>
      <c r="O30" s="82">
        <f>_xll.qlCalendarAdvance(Calendar,O29,N30,"f",FALSE)</f>
        <v>42289</v>
      </c>
      <c r="P30" s="92">
        <f>_xll.qlCalendarAdvance(Calendar,O30,NDays&amp;"D")</f>
        <v>42291</v>
      </c>
      <c r="Q30" s="81">
        <v>-3.7711947097518466E-3</v>
      </c>
      <c r="R30" s="85">
        <v>-3.6572803104517604E-3</v>
      </c>
    </row>
    <row r="31" spans="10:18" x14ac:dyDescent="0.2">
      <c r="N31" s="88" t="str">
        <f t="shared" si="6"/>
        <v>1D</v>
      </c>
      <c r="O31" s="82">
        <f>_xll.qlCalendarAdvance(Calendar,O30,N31,"f",FALSE)</f>
        <v>42290</v>
      </c>
      <c r="P31" s="92">
        <f>_xll.qlCalendarAdvance(Calendar,O31,NDays&amp;"D")</f>
        <v>42292</v>
      </c>
      <c r="Q31" s="81">
        <v>-3.7759824082669868E-3</v>
      </c>
      <c r="R31" s="85">
        <v>-3.6884603904763225E-3</v>
      </c>
    </row>
    <row r="32" spans="10:18" x14ac:dyDescent="0.2">
      <c r="N32" s="88" t="str">
        <f t="shared" si="6"/>
        <v>1D</v>
      </c>
      <c r="O32" s="82">
        <f>_xll.qlCalendarAdvance(Calendar,O31,N32,"f",FALSE)</f>
        <v>42291</v>
      </c>
      <c r="P32" s="92">
        <f>_xll.qlCalendarAdvance(Calendar,O32,NDays&amp;"D")</f>
        <v>42293</v>
      </c>
      <c r="Q32" s="81">
        <v>-3.7807143370163867E-3</v>
      </c>
      <c r="R32" s="85">
        <v>-3.7057004891849488E-3</v>
      </c>
    </row>
    <row r="33" spans="14:18" x14ac:dyDescent="0.2">
      <c r="N33" s="88" t="str">
        <f t="shared" si="6"/>
        <v>1D</v>
      </c>
      <c r="O33" s="82">
        <f>_xll.qlCalendarAdvance(Calendar,O32,N33,"f",FALSE)</f>
        <v>42292</v>
      </c>
      <c r="P33" s="92">
        <f>_xll.qlCalendarAdvance(Calendar,O33,NDays&amp;"D")</f>
        <v>42296</v>
      </c>
      <c r="Q33" s="81">
        <v>-3.7994278733936623E-3</v>
      </c>
      <c r="R33" s="85">
        <v>-3.7218237286085198E-3</v>
      </c>
    </row>
    <row r="34" spans="14:18" x14ac:dyDescent="0.2">
      <c r="N34" s="88" t="str">
        <f t="shared" si="6"/>
        <v>1D</v>
      </c>
      <c r="O34" s="82">
        <f>_xll.qlCalendarAdvance(Calendar,O33,N34,"f",FALSE)</f>
        <v>42293</v>
      </c>
      <c r="P34" s="92">
        <f>_xll.qlCalendarAdvance(Calendar,O34,NDays&amp;"D")</f>
        <v>42297</v>
      </c>
      <c r="Q34" s="81">
        <v>-3.804833998615986E-3</v>
      </c>
      <c r="R34" s="85">
        <v>-3.7363487360053682E-3</v>
      </c>
    </row>
    <row r="35" spans="14:18" x14ac:dyDescent="0.2">
      <c r="N35" s="88" t="str">
        <f t="shared" si="6"/>
        <v>1D</v>
      </c>
      <c r="O35" s="82">
        <f>_xll.qlCalendarAdvance(Calendar,O34,N35,"f",FALSE)</f>
        <v>42296</v>
      </c>
      <c r="P35" s="92">
        <f>_xll.qlCalendarAdvance(Calendar,O35,NDays&amp;"D")</f>
        <v>42298</v>
      </c>
      <c r="Q35" s="81">
        <v>-3.8128920807757216E-3</v>
      </c>
      <c r="R35" s="85">
        <v>-3.7600320392305875E-3</v>
      </c>
    </row>
    <row r="36" spans="14:18" x14ac:dyDescent="0.2">
      <c r="N36" s="88" t="str">
        <f t="shared" si="6"/>
        <v>1D</v>
      </c>
      <c r="O36" s="82">
        <f>_xll.qlCalendarAdvance(Calendar,O35,N36,"f",FALSE)</f>
        <v>42297</v>
      </c>
      <c r="P36" s="92">
        <f>_xll.qlCalendarAdvance(Calendar,O36,NDays&amp;"D")</f>
        <v>42299</v>
      </c>
      <c r="Q36" s="81">
        <v>-3.815777415811239E-3</v>
      </c>
      <c r="R36" s="85">
        <v>-3.7784664488027531E-3</v>
      </c>
    </row>
    <row r="37" spans="14:18" x14ac:dyDescent="0.2">
      <c r="N37" s="88" t="str">
        <f t="shared" si="6"/>
        <v>1D</v>
      </c>
      <c r="O37" s="82">
        <f>_xll.qlCalendarAdvance(Calendar,O36,N37,"f",FALSE)</f>
        <v>42298</v>
      </c>
      <c r="P37" s="92">
        <f>_xll.qlCalendarAdvance(Calendar,O37,NDays&amp;"D")</f>
        <v>42300</v>
      </c>
      <c r="Q37" s="81">
        <v>-3.8183792612784605E-3</v>
      </c>
      <c r="R37" s="85">
        <v>-3.7850002985839737E-3</v>
      </c>
    </row>
    <row r="38" spans="14:18" x14ac:dyDescent="0.2">
      <c r="N38" s="88" t="str">
        <f t="shared" si="6"/>
        <v>1D</v>
      </c>
      <c r="O38" s="82">
        <f>_xll.qlCalendarAdvance(Calendar,O37,N38,"f",FALSE)</f>
        <v>42299</v>
      </c>
      <c r="P38" s="92">
        <f>_xll.qlCalendarAdvance(Calendar,O38,NDays&amp;"D")</f>
        <v>42303</v>
      </c>
      <c r="Q38" s="81">
        <v>-3.8289053035846276E-3</v>
      </c>
      <c r="R38" s="85">
        <v>-3.7899359169779601E-3</v>
      </c>
    </row>
    <row r="39" spans="14:18" x14ac:dyDescent="0.2">
      <c r="N39" s="88" t="str">
        <f t="shared" si="6"/>
        <v>1D</v>
      </c>
      <c r="O39" s="82">
        <f>_xll.qlCalendarAdvance(Calendar,O38,N39,"f",FALSE)</f>
        <v>42300</v>
      </c>
      <c r="P39" s="92">
        <f>_xll.qlCalendarAdvance(Calendar,O39,NDays&amp;"D")</f>
        <v>42304</v>
      </c>
      <c r="Q39" s="81">
        <v>-3.8319786686193528E-3</v>
      </c>
      <c r="R39" s="85">
        <v>-3.7935342534467509E-3</v>
      </c>
    </row>
    <row r="40" spans="14:18" x14ac:dyDescent="0.2">
      <c r="N40" s="88" t="str">
        <f t="shared" si="6"/>
        <v>1D</v>
      </c>
      <c r="O40" s="82">
        <f>_xll.qlCalendarAdvance(Calendar,O39,N40,"f",FALSE)</f>
        <v>42303</v>
      </c>
      <c r="P40" s="92">
        <f>_xll.qlCalendarAdvance(Calendar,O40,NDays&amp;"D")</f>
        <v>42305</v>
      </c>
      <c r="Q40" s="81">
        <v>-3.8375530752937145E-3</v>
      </c>
      <c r="R40" s="85">
        <v>-3.8000604594090603E-3</v>
      </c>
    </row>
    <row r="41" spans="14:18" x14ac:dyDescent="0.2">
      <c r="N41" s="88" t="str">
        <f t="shared" si="6"/>
        <v>1D</v>
      </c>
      <c r="O41" s="82">
        <f>_xll.qlCalendarAdvance(Calendar,O40,N41,"f",FALSE)</f>
        <v>42304</v>
      </c>
      <c r="P41" s="92">
        <f>_xll.qlCalendarAdvance(Calendar,O41,NDays&amp;"D")</f>
        <v>42306</v>
      </c>
      <c r="Q41" s="81">
        <v>-3.8390815278051271E-3</v>
      </c>
      <c r="R41" s="85">
        <v>-3.8065584356994364E-3</v>
      </c>
    </row>
    <row r="42" spans="14:18" x14ac:dyDescent="0.2">
      <c r="N42" s="88" t="str">
        <f t="shared" si="6"/>
        <v>1D</v>
      </c>
      <c r="O42" s="82">
        <f>_xll.qlCalendarAdvance(Calendar,O41,N42,"f",FALSE)</f>
        <v>42305</v>
      </c>
      <c r="P42" s="92">
        <f>_xll.qlCalendarAdvance(Calendar,O42,NDays&amp;"D")</f>
        <v>42307</v>
      </c>
      <c r="Q42" s="81">
        <v>-3.8405912653145312E-3</v>
      </c>
      <c r="R42" s="85">
        <v>-3.8097331393993628E-3</v>
      </c>
    </row>
    <row r="43" spans="14:18" x14ac:dyDescent="0.2">
      <c r="N43" s="88" t="str">
        <f t="shared" si="6"/>
        <v>1D</v>
      </c>
      <c r="O43" s="82">
        <f>_xll.qlCalendarAdvance(Calendar,O42,N43,"f",FALSE)</f>
        <v>42306</v>
      </c>
      <c r="P43" s="92">
        <f>_xll.qlCalendarAdvance(Calendar,O43,NDays&amp;"D")</f>
        <v>42310</v>
      </c>
      <c r="Q43" s="81">
        <v>-3.847591940286943E-3</v>
      </c>
      <c r="R43" s="85">
        <v>-3.8128753064459175E-3</v>
      </c>
    </row>
    <row r="44" spans="14:18" x14ac:dyDescent="0.2">
      <c r="N44" s="88" t="str">
        <f t="shared" si="6"/>
        <v>1D</v>
      </c>
      <c r="O44" s="82">
        <f>_xll.qlCalendarAdvance(Calendar,O43,N44,"f",FALSE)</f>
        <v>42307</v>
      </c>
      <c r="P44" s="92">
        <f>_xll.qlCalendarAdvance(Calendar,O44,NDays&amp;"D")</f>
        <v>42311</v>
      </c>
      <c r="Q44" s="81">
        <v>-3.8502940233922089E-3</v>
      </c>
      <c r="R44" s="85">
        <v>-3.8159849366392606E-3</v>
      </c>
    </row>
    <row r="45" spans="14:18" x14ac:dyDescent="0.2">
      <c r="N45" s="88" t="str">
        <f t="shared" si="6"/>
        <v>1D</v>
      </c>
      <c r="O45" s="82">
        <f>_xll.qlCalendarAdvance(Calendar,O44,N45,"f",FALSE)</f>
        <v>42310</v>
      </c>
      <c r="P45" s="92">
        <f>_xll.qlCalendarAdvance(Calendar,O45,NDays&amp;"D")</f>
        <v>42312</v>
      </c>
      <c r="Q45" s="81">
        <v>-3.8529635792885486E-3</v>
      </c>
      <c r="R45" s="85">
        <v>-3.822055162587823E-3</v>
      </c>
    </row>
    <row r="46" spans="14:18" x14ac:dyDescent="0.2">
      <c r="N46" s="88" t="str">
        <f t="shared" si="6"/>
        <v>1D</v>
      </c>
      <c r="O46" s="82">
        <f>_xll.qlCalendarAdvance(Calendar,O45,N46,"f",FALSE)</f>
        <v>42311</v>
      </c>
      <c r="P46" s="92">
        <f>_xll.qlCalendarAdvance(Calendar,O46,NDays&amp;"D")</f>
        <v>42313</v>
      </c>
      <c r="Q46" s="81">
        <v>-3.8579957056503189E-3</v>
      </c>
      <c r="R46" s="85">
        <v>-3.8280980902793971E-3</v>
      </c>
    </row>
    <row r="47" spans="14:18" x14ac:dyDescent="0.2">
      <c r="N47" s="88" t="str">
        <f t="shared" si="6"/>
        <v>1D</v>
      </c>
      <c r="O47" s="82">
        <f>_xll.qlCalendarAdvance(Calendar,O46,N47,"f",FALSE)</f>
        <v>42312</v>
      </c>
      <c r="P47" s="92">
        <f>_xll.qlCalendarAdvance(Calendar,O47,NDays&amp;"D")</f>
        <v>42314</v>
      </c>
      <c r="Q47" s="81">
        <v>-3.8593918011394527E-3</v>
      </c>
      <c r="R47" s="85">
        <v>-3.8310450369261062E-3</v>
      </c>
    </row>
    <row r="48" spans="14:18" x14ac:dyDescent="0.2">
      <c r="N48" s="88" t="str">
        <f t="shared" si="6"/>
        <v>1D</v>
      </c>
      <c r="O48" s="82">
        <f>_xll.qlCalendarAdvance(Calendar,O47,N48,"f",FALSE)</f>
        <v>42313</v>
      </c>
      <c r="P48" s="92">
        <f>_xll.qlCalendarAdvance(Calendar,O48,NDays&amp;"D")</f>
        <v>42317</v>
      </c>
      <c r="Q48" s="81">
        <v>-3.8658234513304635E-3</v>
      </c>
      <c r="R48" s="85">
        <v>-3.8339594467595717E-3</v>
      </c>
    </row>
    <row r="49" spans="14:18" x14ac:dyDescent="0.2">
      <c r="N49" s="88" t="str">
        <f t="shared" si="6"/>
        <v>1D</v>
      </c>
      <c r="O49" s="82">
        <f>_xll.qlCalendarAdvance(Calendar,O48,N49,"f",FALSE)</f>
        <v>42314</v>
      </c>
      <c r="P49" s="92">
        <f>_xll.qlCalendarAdvance(Calendar,O49,NDays&amp;"D")</f>
        <v>42318</v>
      </c>
      <c r="Q49" s="81">
        <v>-3.8682978444022353E-3</v>
      </c>
      <c r="R49" s="85">
        <v>-3.8368413198996976E-3</v>
      </c>
    </row>
    <row r="50" spans="14:18" x14ac:dyDescent="0.2">
      <c r="N50" s="88" t="str">
        <f t="shared" si="6"/>
        <v>1D</v>
      </c>
      <c r="O50" s="82">
        <f>_xll.qlCalendarAdvance(Calendar,O49,N50,"f",FALSE)</f>
        <v>42317</v>
      </c>
      <c r="P50" s="92">
        <f>_xll.qlCalendarAdvance(Calendar,O50,NDays&amp;"D")</f>
        <v>42319</v>
      </c>
      <c r="Q50" s="81">
        <v>-3.870739710404969E-3</v>
      </c>
      <c r="R50" s="85">
        <v>-3.8424555973159968E-3</v>
      </c>
    </row>
    <row r="51" spans="14:18" x14ac:dyDescent="0.2">
      <c r="N51" s="88" t="str">
        <f t="shared" si="6"/>
        <v>1D</v>
      </c>
      <c r="O51" s="82">
        <f>_xll.qlCalendarAdvance(Calendar,O50,N51,"f",FALSE)</f>
        <v>42318</v>
      </c>
      <c r="P51" s="92">
        <f>_xll.qlCalendarAdvance(Calendar,O51,NDays&amp;"D")</f>
        <v>42320</v>
      </c>
      <c r="Q51" s="81">
        <v>-3.8753160855269086E-3</v>
      </c>
      <c r="R51" s="85">
        <v>-3.8480434452869972E-3</v>
      </c>
    </row>
    <row r="52" spans="14:18" x14ac:dyDescent="0.2">
      <c r="N52" s="88" t="str">
        <f t="shared" si="6"/>
        <v>1D</v>
      </c>
      <c r="O52" s="82">
        <f>_xll.qlCalendarAdvance(Calendar,O51,N52,"f",FALSE)</f>
        <v>42319</v>
      </c>
      <c r="P52" s="92">
        <f>_xll.qlCalendarAdvance(Calendar,O52,NDays&amp;"D")</f>
        <v>42321</v>
      </c>
      <c r="Q52" s="81">
        <v>-3.876598523371013E-3</v>
      </c>
      <c r="R52" s="85">
        <v>-3.8507626346806489E-3</v>
      </c>
    </row>
    <row r="53" spans="14:18" x14ac:dyDescent="0.2">
      <c r="N53" s="88" t="str">
        <f t="shared" si="6"/>
        <v>1D</v>
      </c>
      <c r="O53" s="82">
        <f>_xll.qlCalendarAdvance(Calendar,O52,N53,"f",FALSE)</f>
        <v>42320</v>
      </c>
      <c r="P53" s="92">
        <f>_xll.qlCalendarAdvance(Calendar,O53,NDays&amp;"D")</f>
        <v>42324</v>
      </c>
      <c r="Q53" s="81">
        <v>-3.8824611351264693E-3</v>
      </c>
      <c r="R53" s="85">
        <v>-3.8534492875408333E-3</v>
      </c>
    </row>
    <row r="54" spans="14:18" x14ac:dyDescent="0.2">
      <c r="N54" s="88" t="str">
        <f t="shared" si="6"/>
        <v>1D</v>
      </c>
      <c r="O54" s="82">
        <f>_xll.qlCalendarAdvance(Calendar,O53,N54,"f",FALSE)</f>
        <v>42321</v>
      </c>
      <c r="P54" s="92">
        <f>_xll.qlCalendarAdvance(Calendar,O54,NDays&amp;"D")</f>
        <v>42325</v>
      </c>
      <c r="Q54" s="81">
        <v>-3.8847078391412992E-3</v>
      </c>
      <c r="R54" s="85">
        <v>-3.8561034035877739E-3</v>
      </c>
    </row>
    <row r="55" spans="14:18" x14ac:dyDescent="0.2">
      <c r="N55" s="88" t="str">
        <f t="shared" si="6"/>
        <v>1D</v>
      </c>
      <c r="O55" s="82">
        <f>_xll.qlCalendarAdvance(Calendar,O54,N55,"f",FALSE)</f>
        <v>42324</v>
      </c>
      <c r="P55" s="92">
        <f>_xll.qlCalendarAdvance(Calendar,O55,NDays&amp;"D")</f>
        <v>42326</v>
      </c>
      <c r="Q55" s="81">
        <v>-3.8869220162269791E-3</v>
      </c>
      <c r="R55" s="85">
        <v>-3.8612617644062652E-3</v>
      </c>
    </row>
    <row r="56" spans="14:18" x14ac:dyDescent="0.2">
      <c r="N56" s="88" t="str">
        <f t="shared" si="6"/>
        <v>1D</v>
      </c>
      <c r="O56" s="82">
        <f>_xll.qlCalendarAdvance(Calendar,O55,N56,"f",FALSE)</f>
        <v>42325</v>
      </c>
      <c r="P56" s="92">
        <f>_xll.qlCalendarAdvance(Calendar,O56,NDays&amp;"D")</f>
        <v>42327</v>
      </c>
      <c r="Q56" s="81">
        <v>-3.8910426747902627E-3</v>
      </c>
      <c r="R56" s="85">
        <v>-3.8663945006822686E-3</v>
      </c>
    </row>
    <row r="57" spans="14:18" x14ac:dyDescent="0.2">
      <c r="N57" s="88" t="str">
        <f t="shared" si="6"/>
        <v>1D</v>
      </c>
      <c r="O57" s="82">
        <f>_xll.qlCalendarAdvance(Calendar,O56,N57,"f",FALSE)</f>
        <v>42326</v>
      </c>
      <c r="P57" s="92">
        <f>_xll.qlCalendarAdvance(Calendar,O57,NDays&amp;"D")</f>
        <v>42328</v>
      </c>
      <c r="Q57" s="81">
        <v>-3.8922114390822636E-3</v>
      </c>
      <c r="R57" s="85">
        <v>-3.8688859331026393E-3</v>
      </c>
    </row>
    <row r="58" spans="14:18" x14ac:dyDescent="0.2">
      <c r="N58" s="88" t="str">
        <f t="shared" si="6"/>
        <v>1D</v>
      </c>
      <c r="O58" s="82">
        <f>_xll.qlCalendarAdvance(Calendar,O57,N58,"f",FALSE)</f>
        <v>42327</v>
      </c>
      <c r="P58" s="92">
        <f>_xll.qlCalendarAdvance(Calendar,O58,NDays&amp;"D")</f>
        <v>42331</v>
      </c>
      <c r="Q58" s="81">
        <v>-3.8975049982963306E-3</v>
      </c>
      <c r="R58" s="85">
        <v>-3.8713448288296703E-3</v>
      </c>
    </row>
    <row r="59" spans="14:18" x14ac:dyDescent="0.2">
      <c r="N59" s="88" t="str">
        <f t="shared" si="6"/>
        <v>1D</v>
      </c>
      <c r="O59" s="82">
        <f>_xll.qlCalendarAdvance(Calendar,O58,N59,"f",FALSE)</f>
        <v>42328</v>
      </c>
      <c r="P59" s="92">
        <f>_xll.qlCalendarAdvance(Calendar,O59,NDays&amp;"D")</f>
        <v>42332</v>
      </c>
      <c r="Q59" s="81">
        <v>-3.9030328733815362E-3</v>
      </c>
      <c r="R59" s="85">
        <v>-3.8737711879432979E-3</v>
      </c>
    </row>
    <row r="60" spans="14:18" x14ac:dyDescent="0.2">
      <c r="N60" s="88" t="str">
        <f t="shared" si="6"/>
        <v>1D</v>
      </c>
      <c r="O60" s="82">
        <f>_xll.qlCalendarAdvance(Calendar,O59,N60,"f",FALSE)</f>
        <v>42331</v>
      </c>
      <c r="P60" s="92">
        <f>_xll.qlCalendarAdvance(Calendar,O60,NDays&amp;"D")</f>
        <v>42333</v>
      </c>
      <c r="Q60" s="81">
        <v>-3.9041095862423318E-3</v>
      </c>
      <c r="R60" s="85">
        <v>-3.878473664644666E-3</v>
      </c>
    </row>
    <row r="61" spans="14:18" x14ac:dyDescent="0.2">
      <c r="N61" s="88" t="str">
        <f t="shared" si="6"/>
        <v>1D</v>
      </c>
      <c r="O61" s="82">
        <f>_xll.qlCalendarAdvance(Calendar,O60,N61,"f",FALSE)</f>
        <v>42332</v>
      </c>
      <c r="P61" s="92">
        <f>_xll.qlCalendarAdvance(Calendar,O61,NDays&amp;"D")</f>
        <v>42334</v>
      </c>
      <c r="Q61" s="81">
        <v>-3.9051754801362748E-3</v>
      </c>
      <c r="R61" s="85">
        <v>-3.8831512568648918E-3</v>
      </c>
    </row>
    <row r="62" spans="14:18" x14ac:dyDescent="0.2">
      <c r="N62" s="88" t="str">
        <f t="shared" si="6"/>
        <v>1D</v>
      </c>
      <c r="O62" s="82">
        <f>_xll.qlCalendarAdvance(Calendar,O61,N62,"f",FALSE)</f>
        <v>42333</v>
      </c>
      <c r="P62" s="92">
        <f>_xll.qlCalendarAdvance(Calendar,O62,NDays&amp;"D")</f>
        <v>42335</v>
      </c>
      <c r="Q62" s="81">
        <v>-3.9062305547170823E-3</v>
      </c>
      <c r="R62" s="85">
        <v>-3.8854149323919174E-3</v>
      </c>
    </row>
    <row r="63" spans="14:18" x14ac:dyDescent="0.2">
      <c r="N63" s="88" t="str">
        <f t="shared" si="6"/>
        <v>1D</v>
      </c>
      <c r="O63" s="82">
        <f>_xll.qlCalendarAdvance(Calendar,O62,N63,"f",FALSE)</f>
        <v>42334</v>
      </c>
      <c r="P63" s="92">
        <f>_xll.qlCalendarAdvance(Calendar,O63,NDays&amp;"D")</f>
        <v>42338</v>
      </c>
      <c r="Q63" s="81">
        <v>-3.910955046841913E-3</v>
      </c>
      <c r="R63" s="85">
        <v>-3.8876460710657312E-3</v>
      </c>
    </row>
    <row r="64" spans="14:18" x14ac:dyDescent="0.2">
      <c r="N64" s="88" t="str">
        <f t="shared" si="6"/>
        <v>1D</v>
      </c>
      <c r="O64" s="82">
        <f>_xll.qlCalendarAdvance(Calendar,O63,N64,"f",FALSE)</f>
        <v>42335</v>
      </c>
      <c r="P64" s="92">
        <f>_xll.qlCalendarAdvance(Calendar,O64,NDays&amp;"D")</f>
        <v>42339</v>
      </c>
      <c r="Q64" s="81">
        <v>-3.9157993059032517E-3</v>
      </c>
      <c r="R64" s="85">
        <v>-3.8898446731661096E-3</v>
      </c>
    </row>
    <row r="65" spans="14:18" x14ac:dyDescent="0.2">
      <c r="N65" s="88" t="str">
        <f t="shared" si="6"/>
        <v>1D</v>
      </c>
      <c r="O65" s="82">
        <f>_xll.qlCalendarAdvance(Calendar,O64,N65,"f",FALSE)</f>
        <v>42338</v>
      </c>
      <c r="P65" s="92">
        <f>_xll.qlCalendarAdvance(Calendar,O65,NDays&amp;"D")</f>
        <v>42340</v>
      </c>
      <c r="Q65" s="81">
        <v>-3.9167623174021027E-3</v>
      </c>
      <c r="R65" s="85">
        <v>-3.894091298657365E-3</v>
      </c>
    </row>
    <row r="66" spans="14:18" x14ac:dyDescent="0.2">
      <c r="N66" s="88" t="str">
        <f t="shared" si="6"/>
        <v>1D</v>
      </c>
      <c r="O66" s="82">
        <f>_xll.qlCalendarAdvance(Calendar,O65,N66,"f",FALSE)</f>
        <v>42339</v>
      </c>
      <c r="P66" s="92">
        <f>_xll.qlCalendarAdvance(Calendar,O66,NDays&amp;"D")</f>
        <v>42341</v>
      </c>
      <c r="Q66" s="81">
        <v>-3.9177145075651454E-3</v>
      </c>
      <c r="R66" s="85">
        <v>-3.8983137141546109E-3</v>
      </c>
    </row>
    <row r="67" spans="14:18" x14ac:dyDescent="0.2">
      <c r="N67" s="88" t="str">
        <f t="shared" si="6"/>
        <v>1D</v>
      </c>
      <c r="O67" s="82">
        <f>_xll.qlCalendarAdvance(Calendar,O66,N67,"f",FALSE)</f>
        <v>42340</v>
      </c>
      <c r="P67" s="92">
        <f>_xll.qlCalendarAdvance(Calendar,O67,NDays&amp;"D")</f>
        <v>42342</v>
      </c>
      <c r="Q67" s="81">
        <v>-3.9186558760437576E-3</v>
      </c>
      <c r="R67" s="85">
        <v>-3.9003496326683873E-3</v>
      </c>
    </row>
    <row r="68" spans="14:18" x14ac:dyDescent="0.2">
      <c r="N68" s="88" t="str">
        <f t="shared" si="6"/>
        <v>1D</v>
      </c>
      <c r="O68" s="82">
        <f>_xll.qlCalendarAdvance(Calendar,O67,N68,"f",FALSE)</f>
        <v>42341</v>
      </c>
      <c r="P68" s="92">
        <f>_xll.qlCalendarAdvance(Calendar,O68,NDays&amp;"D")</f>
        <v>42345</v>
      </c>
      <c r="Q68" s="81">
        <v>-3.9234931188307284E-3</v>
      </c>
      <c r="R68" s="85">
        <v>-3.9023530144488561E-3</v>
      </c>
    </row>
    <row r="69" spans="14:18" x14ac:dyDescent="0.2">
      <c r="N69" s="88" t="str">
        <f t="shared" si="6"/>
        <v>1D</v>
      </c>
      <c r="O69" s="82">
        <f>_xll.qlCalendarAdvance(Calendar,O68,N69,"f",FALSE)</f>
        <v>42342</v>
      </c>
      <c r="P69" s="92">
        <f>_xll.qlCalendarAdvance(Calendar,O69,NDays&amp;"D")</f>
        <v>42346</v>
      </c>
      <c r="Q69" s="81">
        <v>-3.9250404805404602E-3</v>
      </c>
      <c r="R69" s="85">
        <v>-3.9043238594560492E-3</v>
      </c>
    </row>
    <row r="70" spans="14:18" x14ac:dyDescent="0.2">
      <c r="N70" s="88" t="str">
        <f t="shared" si="6"/>
        <v>1D</v>
      </c>
      <c r="O70" s="82">
        <f>_xll.qlCalendarAdvance(Calendar,O69,N70,"f",FALSE)</f>
        <v>42345</v>
      </c>
      <c r="P70" s="92">
        <f>_xll.qlCalendarAdvance(Calendar,O70,NDays&amp;"D")</f>
        <v>42347</v>
      </c>
      <c r="Q70" s="81">
        <v>-3.9278212925583393E-3</v>
      </c>
      <c r="R70" s="85">
        <v>-3.9081146671238187E-3</v>
      </c>
    </row>
    <row r="71" spans="14:18" x14ac:dyDescent="0.2">
      <c r="N71" s="88" t="str">
        <f t="shared" si="6"/>
        <v>1D</v>
      </c>
      <c r="O71" s="82">
        <f>_xll.qlCalendarAdvance(Calendar,O70,N71,"f",FALSE)</f>
        <v>42346</v>
      </c>
      <c r="P71" s="92">
        <f>_xll.qlCalendarAdvance(Calendar,O71,NDays&amp;"D")</f>
        <v>42348</v>
      </c>
      <c r="Q71" s="81">
        <v>-3.9286597624088593E-3</v>
      </c>
      <c r="R71" s="85">
        <v>-3.911881872591394E-3</v>
      </c>
    </row>
    <row r="72" spans="14:18" x14ac:dyDescent="0.2">
      <c r="N72" s="88" t="str">
        <f t="shared" si="6"/>
        <v>1D</v>
      </c>
      <c r="O72" s="82">
        <f>_xll.qlCalendarAdvance(Calendar,O71,N72,"f",FALSE)</f>
        <v>42347</v>
      </c>
      <c r="P72" s="92">
        <f>_xll.qlCalendarAdvance(Calendar,O72,NDays&amp;"D")</f>
        <v>42349</v>
      </c>
      <c r="Q72" s="81">
        <v>-3.9294874081781976E-3</v>
      </c>
      <c r="R72" s="85">
        <v>-3.9136900341718572E-3</v>
      </c>
    </row>
    <row r="73" spans="14:18" x14ac:dyDescent="0.2">
      <c r="N73" s="88" t="str">
        <f t="shared" si="6"/>
        <v>1D</v>
      </c>
      <c r="O73" s="82">
        <f>_xll.qlCalendarAdvance(Calendar,O72,N73,"f",FALSE)</f>
        <v>42348</v>
      </c>
      <c r="P73" s="92">
        <f>_xll.qlCalendarAdvance(Calendar,O73,NDays&amp;"D")</f>
        <v>42352</v>
      </c>
      <c r="Q73" s="81">
        <v>-3.93364159985917E-3</v>
      </c>
      <c r="R73" s="85">
        <v>-3.9154656589790449E-3</v>
      </c>
    </row>
    <row r="74" spans="14:18" x14ac:dyDescent="0.2">
      <c r="N74" s="88" t="str">
        <f t="shared" si="6"/>
        <v>1D</v>
      </c>
      <c r="O74" s="82">
        <f>_xll.qlCalendarAdvance(Calendar,O73,N74,"f",FALSE)</f>
        <v>42349</v>
      </c>
      <c r="P74" s="92">
        <f>_xll.qlCalendarAdvance(Calendar,O74,NDays&amp;"D")</f>
        <v>42353</v>
      </c>
      <c r="Q74" s="81">
        <v>-3.9349612780400969E-3</v>
      </c>
      <c r="R74" s="85">
        <v>-3.9172087470529249E-3</v>
      </c>
    </row>
    <row r="75" spans="14:18" x14ac:dyDescent="0.2">
      <c r="N75" s="88" t="str">
        <f t="shared" si="6"/>
        <v>1D</v>
      </c>
      <c r="O75" s="82">
        <f>_xll.qlCalendarAdvance(Calendar,O74,N75,"f",FALSE)</f>
        <v>42352</v>
      </c>
      <c r="P75" s="92">
        <f>_xll.qlCalendarAdvance(Calendar,O75,NDays&amp;"D")</f>
        <v>42354</v>
      </c>
      <c r="Q75" s="81">
        <v>-3.9372865165604965E-3</v>
      </c>
      <c r="R75" s="85">
        <v>-3.9205437705769342E-3</v>
      </c>
    </row>
    <row r="76" spans="14:18" x14ac:dyDescent="0.2">
      <c r="N76" s="88" t="str">
        <f t="shared" si="6"/>
        <v>1D</v>
      </c>
      <c r="O76" s="82">
        <f>_xll.qlCalendarAdvance(Calendar,O75,N76,"f",FALSE)</f>
        <v>42353</v>
      </c>
      <c r="P76" s="92">
        <f>_xll.qlCalendarAdvance(Calendar,O76,NDays&amp;"D")</f>
        <v>42355</v>
      </c>
      <c r="Q76" s="81">
        <v>-3.9380112493261898E-3</v>
      </c>
      <c r="R76" s="85">
        <v>-3.9238557325349532E-3</v>
      </c>
    </row>
    <row r="77" spans="14:18" x14ac:dyDescent="0.2">
      <c r="N77" s="88" t="str">
        <f t="shared" si="6"/>
        <v>1D</v>
      </c>
      <c r="O77" s="82">
        <f>_xll.qlCalendarAdvance(Calendar,O76,N77,"f",FALSE)</f>
        <v>42354</v>
      </c>
      <c r="P77" s="92">
        <f>_xll.qlCalendarAdvance(Calendar,O77,NDays&amp;"D")</f>
        <v>42356</v>
      </c>
      <c r="Q77" s="81">
        <v>-3.9387251555890856E-3</v>
      </c>
      <c r="R77" s="85">
        <v>-3.9254361370621993E-3</v>
      </c>
    </row>
    <row r="78" spans="14:18" x14ac:dyDescent="0.2">
      <c r="N78" s="88" t="str">
        <f t="shared" si="6"/>
        <v>1D</v>
      </c>
      <c r="O78" s="82">
        <f>_xll.qlCalendarAdvance(Calendar,O77,N78,"f",FALSE)</f>
        <v>42355</v>
      </c>
      <c r="P78" s="92">
        <f>_xll.qlCalendarAdvance(Calendar,O78,NDays&amp;"D")</f>
        <v>42359</v>
      </c>
      <c r="Q78" s="81">
        <v>-3.9421962978736591E-3</v>
      </c>
      <c r="R78" s="85">
        <v>-3.9298637921127977E-3</v>
      </c>
    </row>
    <row r="79" spans="14:18" x14ac:dyDescent="0.2">
      <c r="N79" s="88" t="str">
        <f t="shared" si="6"/>
        <v>1D</v>
      </c>
      <c r="O79" s="82">
        <f>_xll.qlCalendarAdvance(Calendar,O78,N79,"f",FALSE)</f>
        <v>42356</v>
      </c>
      <c r="P79" s="92">
        <f>_xll.qlCalendarAdvance(Calendar,O79,NDays&amp;"D")</f>
        <v>42360</v>
      </c>
      <c r="Q79" s="81">
        <v>-3.943288293064705E-3</v>
      </c>
      <c r="R79" s="85">
        <v>-3.9342352939453207E-3</v>
      </c>
    </row>
    <row r="80" spans="14:18" x14ac:dyDescent="0.2">
      <c r="N80" s="88" t="str">
        <f t="shared" si="6"/>
        <v>1D</v>
      </c>
      <c r="O80" s="82">
        <f>_xll.qlCalendarAdvance(Calendar,O79,N80,"f",FALSE)</f>
        <v>42359</v>
      </c>
      <c r="P80" s="92">
        <f>_xll.qlCalendarAdvance(Calendar,O80,NDays&amp;"D")</f>
        <v>42361</v>
      </c>
      <c r="Q80" s="81">
        <v>-3.9451579935567693E-3</v>
      </c>
      <c r="R80" s="85">
        <v>-3.9355879415792216E-3</v>
      </c>
    </row>
    <row r="81" spans="14:18" x14ac:dyDescent="0.2">
      <c r="N81" s="88" t="str">
        <f t="shared" si="6"/>
        <v>1D</v>
      </c>
      <c r="O81" s="82">
        <f>_xll.qlCalendarAdvance(Calendar,O80,N81,"f",FALSE)</f>
        <v>42360</v>
      </c>
      <c r="P81" s="92">
        <f>_xll.qlCalendarAdvance(Calendar,O81,NDays&amp;"D")</f>
        <v>42366</v>
      </c>
      <c r="Q81" s="81">
        <v>-3.9491572163900951E-3</v>
      </c>
      <c r="R81" s="85">
        <v>-3.9393319119689352E-3</v>
      </c>
    </row>
    <row r="82" spans="14:18" x14ac:dyDescent="0.2">
      <c r="N82" s="88" t="str">
        <f t="shared" si="6"/>
        <v>1D</v>
      </c>
      <c r="O82" s="82">
        <f>_xll.qlCalendarAdvance(Calendar,O81,N82,"f",FALSE)</f>
        <v>42361</v>
      </c>
      <c r="P82" s="92">
        <f>_xll.qlCalendarAdvance(Calendar,O82,NDays&amp;"D")</f>
        <v>42367</v>
      </c>
      <c r="Q82" s="81">
        <v>-3.9500215290463794E-3</v>
      </c>
      <c r="R82" s="85">
        <v>-3.9430205569823684E-3</v>
      </c>
    </row>
    <row r="83" spans="14:18" x14ac:dyDescent="0.2">
      <c r="N83" s="88" t="str">
        <f t="shared" si="6"/>
        <v>1D</v>
      </c>
      <c r="O83" s="82">
        <f>_xll.qlCalendarAdvance(Calendar,O82,N83,"f",FALSE)</f>
        <v>42366</v>
      </c>
      <c r="P83" s="92">
        <f>_xll.qlCalendarAdvance(Calendar,O83,NDays&amp;"D")</f>
        <v>42368</v>
      </c>
      <c r="Q83" s="81">
        <v>-3.9505458367403712E-3</v>
      </c>
      <c r="R83" s="85">
        <v>-3.9446700129541767E-3</v>
      </c>
    </row>
    <row r="84" spans="14:18" x14ac:dyDescent="0.2">
      <c r="N84" s="88" t="str">
        <f t="shared" si="6"/>
        <v>1D</v>
      </c>
      <c r="O84" s="82">
        <f>_xll.qlCalendarAdvance(Calendar,O83,N84,"f",FALSE)</f>
        <v>42367</v>
      </c>
      <c r="P84" s="92">
        <f>_xll.qlCalendarAdvance(Calendar,O84,NDays&amp;"D")</f>
        <v>42373</v>
      </c>
      <c r="Q84" s="81">
        <v>-3.9545243582784382E-3</v>
      </c>
      <c r="R84" s="85">
        <v>-3.9462976193638255E-3</v>
      </c>
    </row>
    <row r="85" spans="14:18" x14ac:dyDescent="0.2">
      <c r="N85" s="88" t="str">
        <f t="shared" ref="N85:N148" si="7">N84</f>
        <v>1D</v>
      </c>
      <c r="O85" s="82">
        <f>_xll.qlCalendarAdvance(Calendar,O84,N85,"f",FALSE)</f>
        <v>42368</v>
      </c>
      <c r="P85" s="92">
        <f>_xll.qlCalendarAdvance(Calendar,O85,NDays&amp;"D")</f>
        <v>42374</v>
      </c>
      <c r="Q85" s="81">
        <v>-3.9551609887570945E-3</v>
      </c>
      <c r="R85" s="85">
        <v>-3.9482654954525742E-3</v>
      </c>
    </row>
    <row r="86" spans="14:18" x14ac:dyDescent="0.2">
      <c r="N86" s="88" t="str">
        <f t="shared" si="7"/>
        <v>1D</v>
      </c>
      <c r="O86" s="82">
        <f>_xll.qlCalendarAdvance(Calendar,O85,N86,"f",FALSE)</f>
        <v>42373</v>
      </c>
      <c r="P86" s="92">
        <f>_xll.qlCalendarAdvance(Calendar,O86,NDays&amp;"D")</f>
        <v>42376</v>
      </c>
      <c r="Q86" s="81">
        <v>-3.9565031388670568E-3</v>
      </c>
      <c r="R86" s="85">
        <v>-3.9502115220058087E-3</v>
      </c>
    </row>
    <row r="87" spans="14:18" x14ac:dyDescent="0.2">
      <c r="N87" s="88" t="str">
        <f t="shared" si="7"/>
        <v>1D</v>
      </c>
      <c r="O87" s="82">
        <f>_xll.qlCalendarAdvance(Calendar,O86,N87,"f",FALSE)</f>
        <v>42374</v>
      </c>
      <c r="P87" s="92">
        <f>_xll.qlCalendarAdvance(Calendar,O87,NDays&amp;"D")</f>
        <v>42377</v>
      </c>
      <c r="Q87" s="81">
        <v>-3.9568757241997638E-3</v>
      </c>
      <c r="R87" s="85">
        <v>-3.9511086558530195E-3</v>
      </c>
    </row>
    <row r="88" spans="14:18" x14ac:dyDescent="0.2">
      <c r="N88" s="88" t="str">
        <f t="shared" si="7"/>
        <v>1D</v>
      </c>
      <c r="O88" s="82">
        <f>_xll.qlCalendarAdvance(Calendar,O87,N88,"f",FALSE)</f>
        <v>42376</v>
      </c>
      <c r="P88" s="92">
        <f>_xll.qlCalendarAdvance(Calendar,O88,NDays&amp;"D")</f>
        <v>42380</v>
      </c>
      <c r="Q88" s="81">
        <v>-3.9582977257524021E-3</v>
      </c>
      <c r="R88" s="85">
        <v>-3.9519732531667628E-3</v>
      </c>
    </row>
    <row r="89" spans="14:18" x14ac:dyDescent="0.2">
      <c r="N89" s="88" t="str">
        <f t="shared" si="7"/>
        <v>1D</v>
      </c>
      <c r="O89" s="82">
        <f>_xll.qlCalendarAdvance(Calendar,O88,N89,"f",FALSE)</f>
        <v>42377</v>
      </c>
      <c r="P89" s="92">
        <f>_xll.qlCalendarAdvance(Calendar,O89,NDays&amp;"D")</f>
        <v>42381</v>
      </c>
      <c r="Q89" s="81">
        <v>-3.9587066743112893E-3</v>
      </c>
      <c r="R89" s="85">
        <v>-3.9528053136272945E-3</v>
      </c>
    </row>
    <row r="90" spans="14:18" x14ac:dyDescent="0.2">
      <c r="N90" s="88" t="str">
        <f t="shared" si="7"/>
        <v>1D</v>
      </c>
      <c r="O90" s="82">
        <f>_xll.qlCalendarAdvance(Calendar,O89,N90,"f",FALSE)</f>
        <v>42380</v>
      </c>
      <c r="P90" s="92">
        <f>_xll.qlCalendarAdvance(Calendar,O90,NDays&amp;"D")</f>
        <v>42382</v>
      </c>
      <c r="Q90" s="81">
        <v>-3.9592099735400151E-3</v>
      </c>
      <c r="R90" s="85">
        <v>-3.9543175431688837E-3</v>
      </c>
    </row>
    <row r="91" spans="14:18" x14ac:dyDescent="0.2">
      <c r="N91" s="88" t="str">
        <f t="shared" si="7"/>
        <v>1D</v>
      </c>
      <c r="O91" s="82">
        <f>_xll.qlCalendarAdvance(Calendar,O90,N91,"f",FALSE)</f>
        <v>42381</v>
      </c>
      <c r="P91" s="92">
        <f>_xll.qlCalendarAdvance(Calendar,O91,NDays&amp;"D")</f>
        <v>42383</v>
      </c>
      <c r="Q91" s="81">
        <v>-3.9594795870449839E-3</v>
      </c>
      <c r="R91" s="85">
        <v>-3.9558081887758334E-3</v>
      </c>
    </row>
    <row r="92" spans="14:18" x14ac:dyDescent="0.2">
      <c r="N92" s="88" t="str">
        <f t="shared" si="7"/>
        <v>1D</v>
      </c>
      <c r="O92" s="82">
        <f>_xll.qlCalendarAdvance(Calendar,O91,N92,"f",FALSE)</f>
        <v>42382</v>
      </c>
      <c r="P92" s="92">
        <f>_xll.qlCalendarAdvance(Calendar,O92,NDays&amp;"D")</f>
        <v>42384</v>
      </c>
      <c r="Q92" s="81">
        <v>-3.9597383641725731E-3</v>
      </c>
      <c r="R92" s="85">
        <v>-3.9564775658496032E-3</v>
      </c>
    </row>
    <row r="93" spans="14:18" x14ac:dyDescent="0.2">
      <c r="N93" s="88" t="str">
        <f t="shared" si="7"/>
        <v>1D</v>
      </c>
      <c r="O93" s="82">
        <f>_xll.qlCalendarAdvance(Calendar,O92,N93,"f",FALSE)</f>
        <v>42383</v>
      </c>
      <c r="P93" s="92">
        <f>_xll.qlCalendarAdvance(Calendar,O93,NDays&amp;"D")</f>
        <v>42387</v>
      </c>
      <c r="Q93" s="81">
        <v>-3.9604773203591372E-3</v>
      </c>
      <c r="R93" s="85">
        <v>-3.9571144062700014E-3</v>
      </c>
    </row>
    <row r="94" spans="14:18" x14ac:dyDescent="0.2">
      <c r="N94" s="88" t="str">
        <f t="shared" si="7"/>
        <v>1D</v>
      </c>
      <c r="O94" s="82">
        <f>_xll.qlCalendarAdvance(Calendar,O93,N94,"f",FALSE)</f>
        <v>42384</v>
      </c>
      <c r="P94" s="92">
        <f>_xll.qlCalendarAdvance(Calendar,O94,NDays&amp;"D")</f>
        <v>42388</v>
      </c>
      <c r="Q94" s="81">
        <v>-3.9606585871735985E-3</v>
      </c>
      <c r="R94" s="85">
        <v>-3.957718709877156E-3</v>
      </c>
    </row>
    <row r="95" spans="14:18" x14ac:dyDescent="0.2">
      <c r="N95" s="88" t="str">
        <f t="shared" si="7"/>
        <v>1D</v>
      </c>
      <c r="O95" s="82">
        <f>_xll.qlCalendarAdvance(Calendar,O94,N95,"f",FALSE)</f>
        <v>42387</v>
      </c>
      <c r="P95" s="92">
        <f>_xll.qlCalendarAdvance(Calendar,O95,NDays&amp;"D")</f>
        <v>42389</v>
      </c>
      <c r="Q95" s="81">
        <v>-3.9607064900434611E-3</v>
      </c>
      <c r="R95" s="85">
        <v>-3.9587753276970616E-3</v>
      </c>
    </row>
    <row r="96" spans="14:18" x14ac:dyDescent="0.2">
      <c r="N96" s="88" t="str">
        <f t="shared" si="7"/>
        <v>1D</v>
      </c>
      <c r="O96" s="82">
        <f>_xll.qlCalendarAdvance(Calendar,O95,N96,"f",FALSE)</f>
        <v>42388</v>
      </c>
      <c r="P96" s="92">
        <f>_xll.qlCalendarAdvance(Calendar,O96,NDays&amp;"D")</f>
        <v>42390</v>
      </c>
      <c r="Q96" s="81">
        <v>-3.9608622803972982E-3</v>
      </c>
      <c r="R96" s="85">
        <v>-3.9598105576921228E-3</v>
      </c>
    </row>
    <row r="97" spans="14:18" x14ac:dyDescent="0.2">
      <c r="N97" s="88" t="str">
        <f t="shared" si="7"/>
        <v>1D</v>
      </c>
      <c r="O97" s="82">
        <f>_xll.qlCalendarAdvance(Calendar,O96,N97,"f",FALSE)</f>
        <v>42389</v>
      </c>
      <c r="P97" s="92">
        <f>_xll.qlCalendarAdvance(Calendar,O97,NDays&amp;"D")</f>
        <v>42391</v>
      </c>
      <c r="Q97" s="81">
        <v>-3.9610072318776732E-3</v>
      </c>
      <c r="R97" s="85">
        <v>-3.9602521777926114E-3</v>
      </c>
    </row>
    <row r="98" spans="14:18" x14ac:dyDescent="0.2">
      <c r="N98" s="88" t="str">
        <f t="shared" si="7"/>
        <v>1D</v>
      </c>
      <c r="O98" s="82">
        <f>_xll.qlCalendarAdvance(Calendar,O97,N98,"f",FALSE)</f>
        <v>42390</v>
      </c>
      <c r="P98" s="92">
        <f>_xll.qlCalendarAdvance(Calendar,O98,NDays&amp;"D")</f>
        <v>42394</v>
      </c>
      <c r="Q98" s="81">
        <v>-3.961063143005014E-3</v>
      </c>
      <c r="R98" s="85">
        <v>-3.9606612613196646E-3</v>
      </c>
    </row>
    <row r="99" spans="14:18" x14ac:dyDescent="0.2">
      <c r="N99" s="88" t="str">
        <f t="shared" si="7"/>
        <v>1D</v>
      </c>
      <c r="O99" s="82">
        <f>_xll.qlCalendarAdvance(Calendar,O98,N99,"f",FALSE)</f>
        <v>42391</v>
      </c>
      <c r="P99" s="92">
        <f>_xll.qlCalendarAdvance(Calendar,O99,NDays&amp;"D")</f>
        <v>42395</v>
      </c>
      <c r="Q99" s="81">
        <v>-3.9610167281395143E-3</v>
      </c>
      <c r="R99" s="85">
        <v>-3.9610378081134101E-3</v>
      </c>
    </row>
    <row r="100" spans="14:18" x14ac:dyDescent="0.2">
      <c r="N100" s="88" t="str">
        <f t="shared" si="7"/>
        <v>1D</v>
      </c>
      <c r="O100" s="82">
        <f>_xll.qlCalendarAdvance(Calendar,O99,N100,"f",FALSE)</f>
        <v>42394</v>
      </c>
      <c r="P100" s="92">
        <f>_xll.qlCalendarAdvance(Calendar,O100,NDays&amp;"D")</f>
        <v>42396</v>
      </c>
      <c r="Q100" s="81">
        <v>-3.9606092698067519E-3</v>
      </c>
      <c r="R100" s="85">
        <v>-3.9616388492635934E-3</v>
      </c>
    </row>
    <row r="101" spans="14:18" x14ac:dyDescent="0.2">
      <c r="N101" s="88" t="str">
        <f t="shared" si="7"/>
        <v>1D</v>
      </c>
      <c r="O101" s="82">
        <f>_xll.qlCalendarAdvance(Calendar,O100,N101,"f",FALSE)</f>
        <v>42395</v>
      </c>
      <c r="P101" s="92">
        <f>_xll.qlCalendarAdvance(Calendar,O101,NDays&amp;"D")</f>
        <v>42397</v>
      </c>
      <c r="Q101" s="81">
        <v>-3.9606512195110299E-3</v>
      </c>
      <c r="R101" s="85">
        <v>-3.9622186284349326E-3</v>
      </c>
    </row>
    <row r="102" spans="14:18" x14ac:dyDescent="0.2">
      <c r="N102" s="88" t="str">
        <f t="shared" si="7"/>
        <v>1D</v>
      </c>
      <c r="O102" s="82">
        <f>_xll.qlCalendarAdvance(Calendar,O101,N102,"f",FALSE)</f>
        <v>42396</v>
      </c>
      <c r="P102" s="92">
        <f>_xll.qlCalendarAdvance(Calendar,O102,NDays&amp;"D")</f>
        <v>42398</v>
      </c>
      <c r="Q102" s="81">
        <v>-3.9606823278333595E-3</v>
      </c>
      <c r="R102" s="85">
        <v>-3.9624324918419163E-3</v>
      </c>
    </row>
    <row r="103" spans="14:18" x14ac:dyDescent="0.2">
      <c r="N103" s="88" t="str">
        <f t="shared" si="7"/>
        <v>1D</v>
      </c>
      <c r="O103" s="82">
        <f>_xll.qlCalendarAdvance(Calendar,O102,N103,"f",FALSE)</f>
        <v>42397</v>
      </c>
      <c r="P103" s="92">
        <f>_xll.qlCalendarAdvance(Calendar,O103,NDays&amp;"D")</f>
        <v>42401</v>
      </c>
      <c r="Q103" s="81">
        <v>-3.9605029696695316E-3</v>
      </c>
      <c r="R103" s="85">
        <v>-3.9626138184756243E-3</v>
      </c>
    </row>
    <row r="104" spans="14:18" x14ac:dyDescent="0.2">
      <c r="N104" s="88" t="str">
        <f t="shared" si="7"/>
        <v>1D</v>
      </c>
      <c r="O104" s="82">
        <f>_xll.qlCalendarAdvance(Calendar,O103,N104,"f",FALSE)</f>
        <v>42398</v>
      </c>
      <c r="P104" s="92">
        <f>_xll.qlCalendarAdvance(Calendar,O104,NDays&amp;"D")</f>
        <v>42402</v>
      </c>
      <c r="Q104" s="81">
        <v>-3.9602613937626671E-3</v>
      </c>
      <c r="R104" s="85">
        <v>-3.9627626084159928E-3</v>
      </c>
    </row>
    <row r="105" spans="14:18" x14ac:dyDescent="0.2">
      <c r="N105" s="88" t="str">
        <f t="shared" si="7"/>
        <v>1D</v>
      </c>
      <c r="O105" s="82">
        <f>_xll.qlCalendarAdvance(Calendar,O104,N105,"f",FALSE)</f>
        <v>42401</v>
      </c>
      <c r="P105" s="92">
        <f>_xll.qlCalendarAdvance(Calendar,O105,NDays&amp;"D")</f>
        <v>42403</v>
      </c>
      <c r="Q105" s="81">
        <v>-3.9599872911820341E-3</v>
      </c>
      <c r="R105" s="85">
        <v>-3.9629081079484152E-3</v>
      </c>
    </row>
    <row r="106" spans="14:18" x14ac:dyDescent="0.2">
      <c r="N106" s="88" t="str">
        <f t="shared" si="7"/>
        <v>1D</v>
      </c>
      <c r="O106" s="82">
        <f>_xll.qlCalendarAdvance(Calendar,O105,N106,"f",FALSE)</f>
        <v>42402</v>
      </c>
      <c r="P106" s="92">
        <f>_xll.qlCalendarAdvance(Calendar,O106,NDays&amp;"D")</f>
        <v>42404</v>
      </c>
      <c r="Q106" s="81">
        <v>-3.9596806619179858E-3</v>
      </c>
      <c r="R106" s="85">
        <v>-3.9630324013639751E-3</v>
      </c>
    </row>
    <row r="107" spans="14:18" x14ac:dyDescent="0.2">
      <c r="N107" s="88" t="str">
        <f t="shared" si="7"/>
        <v>1D</v>
      </c>
      <c r="O107" s="82">
        <f>_xll.qlCalendarAdvance(Calendar,O106,N107,"f",FALSE)</f>
        <v>42403</v>
      </c>
      <c r="P107" s="92">
        <f>_xll.qlCalendarAdvance(Calendar,O107,NDays&amp;"D")</f>
        <v>42405</v>
      </c>
      <c r="Q107" s="81">
        <v>-3.9587636519107022E-3</v>
      </c>
      <c r="R107" s="85">
        <v>-3.9630185078776137E-3</v>
      </c>
    </row>
    <row r="108" spans="14:18" x14ac:dyDescent="0.2">
      <c r="N108" s="88" t="str">
        <f t="shared" si="7"/>
        <v>1D</v>
      </c>
      <c r="O108" s="82">
        <f>_xll.qlCalendarAdvance(Calendar,O107,N108,"f",FALSE)</f>
        <v>42404</v>
      </c>
      <c r="P108" s="92">
        <f>_xll.qlCalendarAdvance(Calendar,O108,NDays&amp;"D")</f>
        <v>42408</v>
      </c>
      <c r="Q108" s="81">
        <v>-3.9581288780400382E-3</v>
      </c>
      <c r="R108" s="85">
        <v>-3.9629720776979127E-3</v>
      </c>
    </row>
    <row r="109" spans="14:18" x14ac:dyDescent="0.2">
      <c r="N109" s="88" t="str">
        <f t="shared" si="7"/>
        <v>1D</v>
      </c>
      <c r="O109" s="82">
        <f>_xll.qlCalendarAdvance(Calendar,O108,N109,"f",FALSE)</f>
        <v>42405</v>
      </c>
      <c r="P109" s="92">
        <f>_xll.qlCalendarAdvance(Calendar,O109,NDays&amp;"D")</f>
        <v>42409</v>
      </c>
      <c r="Q109" s="81">
        <v>-3.9576596153465078E-3</v>
      </c>
      <c r="R109" s="85">
        <v>-3.9628931108248722E-3</v>
      </c>
    </row>
    <row r="110" spans="14:18" x14ac:dyDescent="0.2">
      <c r="N110" s="88" t="str">
        <f t="shared" si="7"/>
        <v>1D</v>
      </c>
      <c r="O110" s="82">
        <f>_xll.qlCalendarAdvance(Calendar,O109,N110,"f",FALSE)</f>
        <v>42408</v>
      </c>
      <c r="P110" s="92">
        <f>_xll.qlCalendarAdvance(Calendar,O110,NDays&amp;"D")</f>
        <v>42410</v>
      </c>
      <c r="Q110" s="81">
        <v>-3.9571578259585353E-3</v>
      </c>
      <c r="R110" s="85">
        <v>-3.9625831037648496E-3</v>
      </c>
    </row>
    <row r="111" spans="14:18" x14ac:dyDescent="0.2">
      <c r="N111" s="88" t="str">
        <f t="shared" si="7"/>
        <v>1D</v>
      </c>
      <c r="O111" s="82">
        <f>_xll.qlCalendarAdvance(Calendar,O110,N111,"f",FALSE)</f>
        <v>42409</v>
      </c>
      <c r="P111" s="92">
        <f>_xll.qlCalendarAdvance(Calendar,O111,NDays&amp;"D")</f>
        <v>42411</v>
      </c>
      <c r="Q111" s="81">
        <v>-3.9566235098678531E-3</v>
      </c>
      <c r="R111" s="85">
        <v>-3.9622518763593462E-3</v>
      </c>
    </row>
    <row r="112" spans="14:18" x14ac:dyDescent="0.2">
      <c r="N112" s="88" t="str">
        <f t="shared" si="7"/>
        <v>1D</v>
      </c>
      <c r="O112" s="82">
        <f>_xll.qlCalendarAdvance(Calendar,O111,N112,"f",FALSE)</f>
        <v>42410</v>
      </c>
      <c r="P112" s="92">
        <f>_xll.qlCalendarAdvance(Calendar,O112,NDays&amp;"D")</f>
        <v>42412</v>
      </c>
      <c r="Q112" s="81">
        <v>-3.9552512033154989E-3</v>
      </c>
      <c r="R112" s="85">
        <v>-3.9620102260196077E-3</v>
      </c>
    </row>
    <row r="113" spans="14:18" x14ac:dyDescent="0.2">
      <c r="N113" s="88" t="str">
        <f t="shared" si="7"/>
        <v>1D</v>
      </c>
      <c r="O113" s="82">
        <f>_xll.qlCalendarAdvance(Calendar,O112,N113,"f",FALSE)</f>
        <v>42411</v>
      </c>
      <c r="P113" s="92">
        <f>_xll.qlCalendarAdvance(Calendar,O113,NDays&amp;"D")</f>
        <v>42415</v>
      </c>
      <c r="Q113" s="81">
        <v>-3.9541609784215096E-3</v>
      </c>
      <c r="R113" s="85">
        <v>-3.9617360389465617E-3</v>
      </c>
    </row>
    <row r="114" spans="14:18" x14ac:dyDescent="0.2">
      <c r="N114" s="88" t="str">
        <f t="shared" si="7"/>
        <v>1D</v>
      </c>
      <c r="O114" s="82">
        <f>_xll.qlCalendarAdvance(Calendar,O113,N114,"f",FALSE)</f>
        <v>42412</v>
      </c>
      <c r="P114" s="92">
        <f>_xll.qlCalendarAdvance(Calendar,O114,NDays&amp;"D")</f>
        <v>42416</v>
      </c>
      <c r="Q114" s="81">
        <v>-3.9534640287621457E-3</v>
      </c>
      <c r="R114" s="85">
        <v>-3.9614293153000801E-3</v>
      </c>
    </row>
    <row r="115" spans="14:18" x14ac:dyDescent="0.2">
      <c r="N115" s="88" t="str">
        <f t="shared" si="7"/>
        <v>1D</v>
      </c>
      <c r="O115" s="82">
        <f>_xll.qlCalendarAdvance(Calendar,O114,N115,"f",FALSE)</f>
        <v>42415</v>
      </c>
      <c r="P115" s="92">
        <f>_xll.qlCalendarAdvance(Calendar,O115,NDays&amp;"D")</f>
        <v>42417</v>
      </c>
      <c r="Q115" s="81">
        <v>-3.9527345523738856E-3</v>
      </c>
      <c r="R115" s="85">
        <v>-3.9606638367661873E-3</v>
      </c>
    </row>
    <row r="116" spans="14:18" x14ac:dyDescent="0.2">
      <c r="N116" s="88" t="str">
        <f t="shared" si="7"/>
        <v>1D</v>
      </c>
      <c r="O116" s="82">
        <f>_xll.qlCalendarAdvance(Calendar,O115,N116,"f",FALSE)</f>
        <v>42416</v>
      </c>
      <c r="P116" s="92">
        <f>_xll.qlCalendarAdvance(Calendar,O116,NDays&amp;"D")</f>
        <v>42418</v>
      </c>
      <c r="Q116" s="81">
        <v>-3.9519725492525946E-3</v>
      </c>
      <c r="R116" s="85">
        <v>-3.9598770534210459E-3</v>
      </c>
    </row>
    <row r="117" spans="14:18" x14ac:dyDescent="0.2">
      <c r="N117" s="88" t="str">
        <f t="shared" si="7"/>
        <v>1D</v>
      </c>
      <c r="O117" s="82">
        <f>_xll.qlCalendarAdvance(Calendar,O116,N117,"f",FALSE)</f>
        <v>42417</v>
      </c>
      <c r="P117" s="92">
        <f>_xll.qlCalendarAdvance(Calendar,O117,NDays&amp;"D")</f>
        <v>42419</v>
      </c>
      <c r="Q117" s="81">
        <v>-3.9501449806024535E-3</v>
      </c>
      <c r="R117" s="85">
        <v>-3.9594076461879624E-3</v>
      </c>
    </row>
    <row r="118" spans="14:18" x14ac:dyDescent="0.2">
      <c r="N118" s="88" t="str">
        <f t="shared" si="7"/>
        <v>1D</v>
      </c>
      <c r="O118" s="82">
        <f>_xll.qlCalendarAdvance(Calendar,O117,N118,"f",FALSE)</f>
        <v>42418</v>
      </c>
      <c r="P118" s="92">
        <f>_xll.qlCalendarAdvance(Calendar,O118,NDays&amp;"D")</f>
        <v>42422</v>
      </c>
      <c r="Q118" s="81">
        <v>-3.9485992692855137E-3</v>
      </c>
      <c r="R118" s="85">
        <v>-3.9589057023814433E-3</v>
      </c>
    </row>
    <row r="119" spans="14:18" x14ac:dyDescent="0.2">
      <c r="N119" s="88" t="str">
        <f t="shared" si="7"/>
        <v>1D</v>
      </c>
      <c r="O119" s="82">
        <f>_xll.qlCalendarAdvance(Calendar,O118,N119,"f",FALSE)</f>
        <v>42419</v>
      </c>
      <c r="P119" s="92">
        <f>_xll.qlCalendarAdvance(Calendar,O119,NDays&amp;"D")</f>
        <v>42423</v>
      </c>
      <c r="Q119" s="81">
        <v>-3.947674632391567E-3</v>
      </c>
      <c r="R119" s="85">
        <v>-3.9583712217217126E-3</v>
      </c>
    </row>
    <row r="120" spans="14:18" x14ac:dyDescent="0.2">
      <c r="N120" s="88" t="str">
        <f t="shared" si="7"/>
        <v>1D</v>
      </c>
      <c r="O120" s="82">
        <f>_xll.qlCalendarAdvance(Calendar,O119,N120,"f",FALSE)</f>
        <v>42422</v>
      </c>
      <c r="P120" s="92">
        <f>_xll.qlCalendarAdvance(Calendar,O120,NDays&amp;"D")</f>
        <v>42424</v>
      </c>
      <c r="Q120" s="81">
        <v>-3.9467174687246205E-3</v>
      </c>
      <c r="R120" s="85">
        <v>-3.9571503068458469E-3</v>
      </c>
    </row>
    <row r="121" spans="14:18" x14ac:dyDescent="0.2">
      <c r="N121" s="88" t="str">
        <f t="shared" si="7"/>
        <v>1D</v>
      </c>
      <c r="O121" s="82">
        <f>_xll.qlCalendarAdvance(Calendar,O120,N121,"f",FALSE)</f>
        <v>42423</v>
      </c>
      <c r="P121" s="92">
        <f>_xll.qlCalendarAdvance(Calendar,O121,NDays&amp;"D")</f>
        <v>42425</v>
      </c>
      <c r="Q121" s="81">
        <v>-3.9432283123322616E-3</v>
      </c>
      <c r="R121" s="85">
        <v>-3.9559079324691382E-3</v>
      </c>
    </row>
    <row r="122" spans="14:18" x14ac:dyDescent="0.2">
      <c r="N122" s="88" t="str">
        <f t="shared" si="7"/>
        <v>1D</v>
      </c>
      <c r="O122" s="82">
        <f>_xll.qlCalendarAdvance(Calendar,O121,N122,"f",FALSE)</f>
        <v>42424</v>
      </c>
      <c r="P122" s="92">
        <f>_xll.qlCalendarAdvance(Calendar,O122,NDays&amp;"D")</f>
        <v>42426</v>
      </c>
      <c r="Q122" s="81">
        <v>-3.9427984493575763E-3</v>
      </c>
      <c r="R122" s="85">
        <v>-3.9552107684626137E-3</v>
      </c>
    </row>
    <row r="123" spans="14:18" x14ac:dyDescent="0.2">
      <c r="N123" s="88" t="str">
        <f t="shared" si="7"/>
        <v>1D</v>
      </c>
      <c r="O123" s="82">
        <f>_xll.qlCalendarAdvance(Calendar,O122,N123,"f",FALSE)</f>
        <v>42425</v>
      </c>
      <c r="P123" s="92">
        <f>_xll.qlCalendarAdvance(Calendar,O123,NDays&amp;"D")</f>
        <v>42429</v>
      </c>
      <c r="Q123" s="81">
        <v>-3.940085662212575E-3</v>
      </c>
      <c r="R123" s="85">
        <v>-3.9544810678027176E-3</v>
      </c>
    </row>
    <row r="124" spans="14:18" x14ac:dyDescent="0.2">
      <c r="N124" s="88" t="str">
        <f t="shared" si="7"/>
        <v>1D</v>
      </c>
      <c r="O124" s="82">
        <f>_xll.qlCalendarAdvance(Calendar,O123,N124,"f",FALSE)</f>
        <v>42426</v>
      </c>
      <c r="P124" s="92">
        <f>_xll.qlCalendarAdvance(Calendar,O124,NDays&amp;"D")</f>
        <v>42430</v>
      </c>
      <c r="Q124" s="81">
        <v>-3.9389008368173606E-3</v>
      </c>
      <c r="R124" s="85">
        <v>-3.9537188302096737E-3</v>
      </c>
    </row>
    <row r="125" spans="14:18" x14ac:dyDescent="0.2">
      <c r="N125" s="88" t="str">
        <f t="shared" si="7"/>
        <v>1D</v>
      </c>
      <c r="O125" s="82">
        <f>_xll.qlCalendarAdvance(Calendar,O124,N125,"f",FALSE)</f>
        <v>42429</v>
      </c>
      <c r="P125" s="92">
        <f>_xll.qlCalendarAdvance(Calendar,O125,NDays&amp;"D")</f>
        <v>42431</v>
      </c>
      <c r="Q125" s="81">
        <v>-3.9362170916446004E-3</v>
      </c>
      <c r="R125" s="85">
        <v>-3.9520425138439563E-3</v>
      </c>
    </row>
    <row r="126" spans="14:18" x14ac:dyDescent="0.2">
      <c r="N126" s="88" t="str">
        <f t="shared" si="7"/>
        <v>1D</v>
      </c>
      <c r="O126" s="82">
        <f>_xll.qlCalendarAdvance(Calendar,O125,N126,"f",FALSE)</f>
        <v>42430</v>
      </c>
      <c r="P126" s="92">
        <f>_xll.qlCalendarAdvance(Calendar,O126,NDays&amp;"D")</f>
        <v>42432</v>
      </c>
      <c r="Q126" s="81">
        <v>-3.935689574639939E-3</v>
      </c>
      <c r="R126" s="85">
        <v>-3.9503445136235271E-3</v>
      </c>
    </row>
    <row r="127" spans="14:18" x14ac:dyDescent="0.2">
      <c r="N127" s="88" t="str">
        <f t="shared" si="7"/>
        <v>1D</v>
      </c>
      <c r="O127" s="82">
        <f>_xll.qlCalendarAdvance(Calendar,O126,N127,"f",FALSE)</f>
        <v>42431</v>
      </c>
      <c r="P127" s="92">
        <f>_xll.qlCalendarAdvance(Calendar,O127,NDays&amp;"D")</f>
        <v>42433</v>
      </c>
      <c r="Q127" s="81">
        <v>-3.9351512037552518E-3</v>
      </c>
      <c r="R127" s="85">
        <v>-3.9494195926437214E-3</v>
      </c>
    </row>
    <row r="128" spans="14:18" x14ac:dyDescent="0.2">
      <c r="N128" s="88" t="str">
        <f t="shared" si="7"/>
        <v>1D</v>
      </c>
      <c r="O128" s="82">
        <f>_xll.qlCalendarAdvance(Calendar,O127,N128,"f",FALSE)</f>
        <v>42432</v>
      </c>
      <c r="P128" s="92">
        <f>_xll.qlCalendarAdvance(Calendar,O128,NDays&amp;"D")</f>
        <v>42436</v>
      </c>
      <c r="Q128" s="81">
        <v>-3.9311088351579758E-3</v>
      </c>
      <c r="R128" s="85">
        <v>-3.9484621350505122E-3</v>
      </c>
    </row>
    <row r="129" spans="14:18" x14ac:dyDescent="0.2">
      <c r="N129" s="88" t="str">
        <f t="shared" si="7"/>
        <v>1D</v>
      </c>
      <c r="O129" s="82">
        <f>_xll.qlCalendarAdvance(Calendar,O128,N129,"f",FALSE)</f>
        <v>42433</v>
      </c>
      <c r="P129" s="92">
        <f>_xll.qlCalendarAdvance(Calendar,O129,NDays&amp;"D")</f>
        <v>42437</v>
      </c>
      <c r="Q129" s="81">
        <v>-3.9296963265640144E-3</v>
      </c>
      <c r="R129" s="85">
        <v>-3.9474721407239954E-3</v>
      </c>
    </row>
    <row r="130" spans="14:18" x14ac:dyDescent="0.2">
      <c r="N130" s="88" t="str">
        <f t="shared" si="7"/>
        <v>1D</v>
      </c>
      <c r="O130" s="82">
        <f>_xll.qlCalendarAdvance(Calendar,O129,N130,"f",FALSE)</f>
        <v>42436</v>
      </c>
      <c r="P130" s="92">
        <f>_xll.qlCalendarAdvance(Calendar,O130,NDays&amp;"D")</f>
        <v>42438</v>
      </c>
      <c r="Q130" s="81">
        <v>-3.9265574256393395E-3</v>
      </c>
      <c r="R130" s="85">
        <v>-3.9453404576139661E-3</v>
      </c>
    </row>
    <row r="131" spans="14:18" x14ac:dyDescent="0.2">
      <c r="N131" s="88" t="str">
        <f t="shared" si="7"/>
        <v>1D</v>
      </c>
      <c r="O131" s="82">
        <f>_xll.qlCalendarAdvance(Calendar,O130,N131,"f",FALSE)</f>
        <v>42437</v>
      </c>
      <c r="P131" s="92">
        <f>_xll.qlCalendarAdvance(Calendar,O131,NDays&amp;"D")</f>
        <v>42439</v>
      </c>
      <c r="Q131" s="81">
        <v>-3.9259159627214046E-3</v>
      </c>
      <c r="R131" s="85">
        <v>-3.9431867965644685E-3</v>
      </c>
    </row>
    <row r="132" spans="14:18" x14ac:dyDescent="0.2">
      <c r="N132" s="88" t="str">
        <f t="shared" si="7"/>
        <v>1D</v>
      </c>
      <c r="O132" s="82">
        <f>_xll.qlCalendarAdvance(Calendar,O131,N132,"f",FALSE)</f>
        <v>42438</v>
      </c>
      <c r="P132" s="92">
        <f>_xll.qlCalendarAdvance(Calendar,O132,NDays&amp;"D")</f>
        <v>42440</v>
      </c>
      <c r="Q132" s="81">
        <v>-3.9252636434441001E-3</v>
      </c>
      <c r="R132" s="85">
        <v>-3.9420341187312857E-3</v>
      </c>
    </row>
    <row r="133" spans="14:18" x14ac:dyDescent="0.2">
      <c r="N133" s="88" t="str">
        <f t="shared" si="7"/>
        <v>1D</v>
      </c>
      <c r="O133" s="82">
        <f>_xll.qlCalendarAdvance(Calendar,O132,N133,"f",FALSE)</f>
        <v>42439</v>
      </c>
      <c r="P133" s="92">
        <f>_xll.qlCalendarAdvance(Calendar,O133,NDays&amp;"D")</f>
        <v>42443</v>
      </c>
      <c r="Q133" s="81">
        <v>-3.9205382240412303E-3</v>
      </c>
      <c r="R133" s="85">
        <v>-3.9408489042447314E-3</v>
      </c>
    </row>
    <row r="134" spans="14:18" x14ac:dyDescent="0.2">
      <c r="N134" s="88" t="str">
        <f t="shared" si="7"/>
        <v>1D</v>
      </c>
      <c r="O134" s="82">
        <f>_xll.qlCalendarAdvance(Calendar,O133,N134,"f",FALSE)</f>
        <v>42440</v>
      </c>
      <c r="P134" s="92">
        <f>_xll.qlCalendarAdvance(Calendar,O134,NDays&amp;"D")</f>
        <v>42444</v>
      </c>
      <c r="Q134" s="81">
        <v>-3.9188980316709207E-3</v>
      </c>
      <c r="R134" s="85">
        <v>-3.9396311531048056E-3</v>
      </c>
    </row>
    <row r="135" spans="14:18" x14ac:dyDescent="0.2">
      <c r="N135" s="88" t="str">
        <f t="shared" si="7"/>
        <v>1D</v>
      </c>
      <c r="O135" s="82">
        <f>_xll.qlCalendarAdvance(Calendar,O134,N135,"f",FALSE)</f>
        <v>42443</v>
      </c>
      <c r="P135" s="92">
        <f>_xll.qlCalendarAdvance(Calendar,O135,NDays&amp;"D")</f>
        <v>42445</v>
      </c>
      <c r="Q135" s="81">
        <v>-3.9153040079289237E-3</v>
      </c>
      <c r="R135" s="85">
        <v>-3.9370441378361321E-3</v>
      </c>
    </row>
    <row r="136" spans="14:18" x14ac:dyDescent="0.2">
      <c r="N136" s="88" t="str">
        <f t="shared" si="7"/>
        <v>1D</v>
      </c>
      <c r="O136" s="82">
        <f>_xll.qlCalendarAdvance(Calendar,O135,N136,"f",FALSE)</f>
        <v>42444</v>
      </c>
      <c r="P136" s="92">
        <f>_xll.qlCalendarAdvance(Calendar,O136,NDays&amp;"D")</f>
        <v>42446</v>
      </c>
      <c r="Q136" s="81">
        <v>-3.9145485817086711E-3</v>
      </c>
      <c r="R136" s="85">
        <v>-3.9344347813319303E-3</v>
      </c>
    </row>
    <row r="137" spans="14:18" x14ac:dyDescent="0.2">
      <c r="N137" s="88" t="str">
        <f t="shared" si="7"/>
        <v>1D</v>
      </c>
      <c r="O137" s="82">
        <f>_xll.qlCalendarAdvance(Calendar,O136,N137,"f",FALSE)</f>
        <v>42445</v>
      </c>
      <c r="P137" s="92">
        <f>_xll.qlCalendarAdvance(Calendar,O137,NDays&amp;"D")</f>
        <v>42447</v>
      </c>
      <c r="Q137" s="81">
        <v>-3.9137822966649862E-3</v>
      </c>
      <c r="R137" s="85">
        <v>-3.9330543466453705E-3</v>
      </c>
    </row>
    <row r="138" spans="14:18" x14ac:dyDescent="0.2">
      <c r="N138" s="88" t="str">
        <f t="shared" si="7"/>
        <v>1D</v>
      </c>
      <c r="O138" s="82">
        <f>_xll.qlCalendarAdvance(Calendar,O137,N138,"f",FALSE)</f>
        <v>42446</v>
      </c>
      <c r="P138" s="92">
        <f>_xll.qlCalendarAdvance(Calendar,O138,NDays&amp;"D")</f>
        <v>42450</v>
      </c>
      <c r="Q138" s="81">
        <v>-3.9083738245071142E-3</v>
      </c>
      <c r="R138" s="85">
        <v>-3.9316413752654711E-3</v>
      </c>
    </row>
    <row r="139" spans="14:18" x14ac:dyDescent="0.2">
      <c r="N139" s="88" t="str">
        <f t="shared" si="7"/>
        <v>1D</v>
      </c>
      <c r="O139" s="82">
        <f>_xll.qlCalendarAdvance(Calendar,O138,N139,"f",FALSE)</f>
        <v>42447</v>
      </c>
      <c r="P139" s="92">
        <f>_xll.qlCalendarAdvance(Calendar,O139,NDays&amp;"D")</f>
        <v>42451</v>
      </c>
      <c r="Q139" s="81">
        <v>-3.9065059476848674E-3</v>
      </c>
      <c r="R139" s="85">
        <v>-3.9270890234819333E-3</v>
      </c>
    </row>
    <row r="140" spans="14:18" x14ac:dyDescent="0.2">
      <c r="N140" s="88" t="str">
        <f t="shared" si="7"/>
        <v>1D</v>
      </c>
      <c r="O140" s="82">
        <f>_xll.qlCalendarAdvance(Calendar,O139,N140,"f",FALSE)</f>
        <v>42450</v>
      </c>
      <c r="P140" s="92">
        <f>_xll.qlCalendarAdvance(Calendar,O140,NDays&amp;"D")</f>
        <v>42452</v>
      </c>
      <c r="Q140" s="81">
        <v>-3.9024568335730629E-3</v>
      </c>
      <c r="R140" s="85">
        <v>-3.9224802762660715E-3</v>
      </c>
    </row>
    <row r="141" spans="14:18" x14ac:dyDescent="0.2">
      <c r="N141" s="88" t="str">
        <f t="shared" si="7"/>
        <v>1D</v>
      </c>
      <c r="O141" s="82">
        <f>_xll.qlCalendarAdvance(Calendar,O140,N141,"f",FALSE)</f>
        <v>42451</v>
      </c>
      <c r="P141" s="92">
        <f>_xll.qlCalendarAdvance(Calendar,O141,NDays&amp;"D")</f>
        <v>42453</v>
      </c>
      <c r="Q141" s="81">
        <v>-3.901587426764358E-3</v>
      </c>
      <c r="R141" s="85">
        <v>-3.920839547872923E-3</v>
      </c>
    </row>
    <row r="142" spans="14:18" x14ac:dyDescent="0.2">
      <c r="N142" s="88" t="str">
        <f t="shared" si="7"/>
        <v>1D</v>
      </c>
      <c r="O142" s="82">
        <f>_xll.qlCalendarAdvance(Calendar,O141,N142,"f",FALSE)</f>
        <v>42452</v>
      </c>
      <c r="P142" s="92">
        <f>_xll.qlCalendarAdvance(Calendar,O142,NDays&amp;"D")</f>
        <v>42458</v>
      </c>
      <c r="Q142" s="81">
        <v>-3.8925200695067064E-3</v>
      </c>
      <c r="R142" s="85">
        <v>-3.919166282946307E-3</v>
      </c>
    </row>
    <row r="143" spans="14:18" x14ac:dyDescent="0.2">
      <c r="N143" s="88" t="str">
        <f t="shared" si="7"/>
        <v>1D</v>
      </c>
      <c r="O143" s="82">
        <f>_xll.qlCalendarAdvance(Calendar,O142,N143,"f",FALSE)</f>
        <v>42453</v>
      </c>
      <c r="P143" s="92">
        <f>_xll.qlCalendarAdvance(Calendar,O143,NDays&amp;"D")</f>
        <v>42459</v>
      </c>
      <c r="Q143" s="81">
        <v>-3.8915637975649453E-3</v>
      </c>
      <c r="R143" s="85">
        <v>-3.9156687063046647E-3</v>
      </c>
    </row>
    <row r="144" spans="14:18" x14ac:dyDescent="0.2">
      <c r="N144" s="88" t="str">
        <f t="shared" si="7"/>
        <v>1D</v>
      </c>
      <c r="O144" s="82">
        <f>_xll.qlCalendarAdvance(Calendar,O143,N144,"f",FALSE)</f>
        <v>42458</v>
      </c>
      <c r="P144" s="92">
        <f>_xll.qlCalendarAdvance(Calendar,O144,NDays&amp;"D")</f>
        <v>42460</v>
      </c>
      <c r="Q144" s="81">
        <v>-3.8905966622812247E-3</v>
      </c>
      <c r="R144" s="85">
        <v>-3.9121478559067668E-3</v>
      </c>
    </row>
    <row r="145" spans="14:18" x14ac:dyDescent="0.2">
      <c r="N145" s="88" t="str">
        <f t="shared" si="7"/>
        <v>1D</v>
      </c>
      <c r="O145" s="82">
        <f>_xll.qlCalendarAdvance(Calendar,O144,N145,"f",FALSE)</f>
        <v>42459</v>
      </c>
      <c r="P145" s="92">
        <f>_xll.qlCalendarAdvance(Calendar,O145,NDays&amp;"D")</f>
        <v>42461</v>
      </c>
      <c r="Q145" s="81">
        <v>-3.8860382241288501E-3</v>
      </c>
      <c r="R145" s="85">
        <v>-3.9103119073136128E-3</v>
      </c>
    </row>
    <row r="146" spans="14:18" x14ac:dyDescent="0.2">
      <c r="N146" s="88" t="str">
        <f t="shared" si="7"/>
        <v>1D</v>
      </c>
      <c r="O146" s="82">
        <f>_xll.qlCalendarAdvance(Calendar,O145,N146,"f",FALSE)</f>
        <v>42460</v>
      </c>
      <c r="P146" s="92">
        <f>_xll.qlCalendarAdvance(Calendar,O146,NDays&amp;"D")</f>
        <v>42464</v>
      </c>
      <c r="Q146" s="81">
        <v>-3.880516653416155E-3</v>
      </c>
      <c r="R146" s="85">
        <v>-3.9084434221070552E-3</v>
      </c>
    </row>
    <row r="147" spans="14:18" x14ac:dyDescent="0.2">
      <c r="N147" s="88" t="str">
        <f t="shared" si="7"/>
        <v>1D</v>
      </c>
      <c r="O147" s="82">
        <f>_xll.qlCalendarAdvance(Calendar,O146,N147,"f",FALSE)</f>
        <v>42461</v>
      </c>
      <c r="P147" s="92">
        <f>_xll.qlCalendarAdvance(Calendar,O147,NDays&amp;"D")</f>
        <v>42465</v>
      </c>
      <c r="Q147" s="81">
        <v>-3.8769403913720179E-3</v>
      </c>
      <c r="R147" s="85">
        <v>-3.90654240016719E-3</v>
      </c>
    </row>
    <row r="148" spans="14:18" x14ac:dyDescent="0.2">
      <c r="N148" s="88" t="str">
        <f t="shared" si="7"/>
        <v>1D</v>
      </c>
      <c r="O148" s="82">
        <f>_xll.qlCalendarAdvance(Calendar,O147,N148,"f",FALSE)</f>
        <v>42464</v>
      </c>
      <c r="P148" s="92">
        <f>_xll.qlCalendarAdvance(Calendar,O148,NDays&amp;"D")</f>
        <v>42466</v>
      </c>
      <c r="Q148" s="81">
        <v>-3.8758701071204271E-3</v>
      </c>
      <c r="R148" s="85">
        <v>-3.9025895936983801E-3</v>
      </c>
    </row>
    <row r="149" spans="14:18" x14ac:dyDescent="0.2">
      <c r="N149" s="88" t="str">
        <f t="shared" ref="N149:N212" si="8">N148</f>
        <v>1D</v>
      </c>
      <c r="O149" s="82">
        <f>_xll.qlCalendarAdvance(Calendar,O148,N149,"f",FALSE)</f>
        <v>42465</v>
      </c>
      <c r="P149" s="92">
        <f>_xll.qlCalendarAdvance(Calendar,O149,NDays&amp;"D")</f>
        <v>42467</v>
      </c>
      <c r="Q149" s="81">
        <v>-3.8708837723679113E-3</v>
      </c>
      <c r="R149" s="85">
        <v>-3.8986129453943974E-3</v>
      </c>
    </row>
    <row r="150" spans="14:18" x14ac:dyDescent="0.2">
      <c r="N150" s="88" t="str">
        <f t="shared" si="8"/>
        <v>1D</v>
      </c>
      <c r="O150" s="82">
        <f>_xll.qlCalendarAdvance(Calendar,O149,N150,"f",FALSE)</f>
        <v>42466</v>
      </c>
      <c r="P150" s="92">
        <f>_xll.qlCalendarAdvance(Calendar,O150,NDays&amp;"D")</f>
        <v>42468</v>
      </c>
      <c r="Q150" s="81">
        <v>-3.8697754869474179E-3</v>
      </c>
      <c r="R150" s="85">
        <v>-3.8965492397879942E-3</v>
      </c>
    </row>
    <row r="151" spans="14:18" x14ac:dyDescent="0.2">
      <c r="N151" s="88" t="str">
        <f t="shared" si="8"/>
        <v>1D</v>
      </c>
      <c r="O151" s="82">
        <f>_xll.qlCalendarAdvance(Calendar,O150,N151,"f",FALSE)</f>
        <v>42467</v>
      </c>
      <c r="P151" s="92">
        <f>_xll.qlCalendarAdvance(Calendar,O151,NDays&amp;"D")</f>
        <v>42471</v>
      </c>
      <c r="Q151" s="81">
        <v>-3.8636845184689683E-3</v>
      </c>
      <c r="R151" s="85">
        <v>-3.8944529976880915E-3</v>
      </c>
    </row>
    <row r="152" spans="14:18" x14ac:dyDescent="0.2">
      <c r="N152" s="88" t="str">
        <f t="shared" si="8"/>
        <v>1D</v>
      </c>
      <c r="O152" s="82">
        <f>_xll.qlCalendarAdvance(Calendar,O151,N152,"f",FALSE)</f>
        <v>42468</v>
      </c>
      <c r="P152" s="92">
        <f>_xll.qlCalendarAdvance(Calendar,O152,NDays&amp;"D")</f>
        <v>42472</v>
      </c>
      <c r="Q152" s="81">
        <v>-3.8611498195089133E-3</v>
      </c>
      <c r="R152" s="85">
        <v>-3.8923242186950091E-3</v>
      </c>
    </row>
    <row r="153" spans="14:18" x14ac:dyDescent="0.2">
      <c r="N153" s="88" t="str">
        <f t="shared" si="8"/>
        <v>1D</v>
      </c>
      <c r="O153" s="82">
        <f>_xll.qlCalendarAdvance(Calendar,O152,N153,"f",FALSE)</f>
        <v>42471</v>
      </c>
      <c r="P153" s="92">
        <f>_xll.qlCalendarAdvance(Calendar,O153,NDays&amp;"D")</f>
        <v>42473</v>
      </c>
      <c r="Q153" s="81">
        <v>-3.8585825934278617E-3</v>
      </c>
      <c r="R153" s="85">
        <v>-3.8879162158655944E-3</v>
      </c>
    </row>
    <row r="154" spans="14:18" x14ac:dyDescent="0.2">
      <c r="N154" s="88" t="str">
        <f t="shared" si="8"/>
        <v>1D</v>
      </c>
      <c r="O154" s="82">
        <f>_xll.qlCalendarAdvance(Calendar,O153,N154,"f",FALSE)</f>
        <v>42472</v>
      </c>
      <c r="P154" s="92">
        <f>_xll.qlCalendarAdvance(Calendar,O154,NDays&amp;"D")</f>
        <v>42474</v>
      </c>
      <c r="Q154" s="81">
        <v>-3.8517042518430734E-3</v>
      </c>
      <c r="R154" s="85">
        <v>-3.8834837359891239E-3</v>
      </c>
    </row>
    <row r="155" spans="14:18" x14ac:dyDescent="0.2">
      <c r="N155" s="88" t="str">
        <f t="shared" si="8"/>
        <v>1D</v>
      </c>
      <c r="O155" s="82">
        <f>_xll.qlCalendarAdvance(Calendar,O154,N155,"f",FALSE)</f>
        <v>42473</v>
      </c>
      <c r="P155" s="92">
        <f>_xll.qlCalendarAdvance(Calendar,O155,NDays&amp;"D")</f>
        <v>42475</v>
      </c>
      <c r="Q155" s="81">
        <v>-3.8504765092760296E-3</v>
      </c>
      <c r="R155" s="85">
        <v>-3.8811922735293436E-3</v>
      </c>
    </row>
    <row r="156" spans="14:18" x14ac:dyDescent="0.2">
      <c r="N156" s="88" t="str">
        <f t="shared" si="8"/>
        <v>1D</v>
      </c>
      <c r="O156" s="82">
        <f>_xll.qlCalendarAdvance(Calendar,O155,N156,"f",FALSE)</f>
        <v>42474</v>
      </c>
      <c r="P156" s="92">
        <f>_xll.qlCalendarAdvance(Calendar,O156,NDays&amp;"D")</f>
        <v>42478</v>
      </c>
      <c r="Q156" s="81">
        <v>-3.8452585554162866E-3</v>
      </c>
      <c r="R156" s="85">
        <v>-3.8788682743362557E-3</v>
      </c>
    </row>
    <row r="157" spans="14:18" x14ac:dyDescent="0.2">
      <c r="N157" s="88" t="str">
        <f t="shared" si="8"/>
        <v>1D</v>
      </c>
      <c r="O157" s="82">
        <f>_xll.qlCalendarAdvance(Calendar,O156,N157,"f",FALSE)</f>
        <v>42475</v>
      </c>
      <c r="P157" s="92">
        <f>_xll.qlCalendarAdvance(Calendar,O157,NDays&amp;"D")</f>
        <v>42479</v>
      </c>
      <c r="Q157" s="81">
        <v>-3.842496166141629E-3</v>
      </c>
      <c r="R157" s="85">
        <v>-3.8765117384098602E-3</v>
      </c>
    </row>
    <row r="158" spans="14:18" x14ac:dyDescent="0.2">
      <c r="N158" s="88" t="str">
        <f t="shared" si="8"/>
        <v>1D</v>
      </c>
      <c r="O158" s="82">
        <f>_xll.qlCalendarAdvance(Calendar,O157,N158,"f",FALSE)</f>
        <v>42478</v>
      </c>
      <c r="P158" s="92">
        <f>_xll.qlCalendarAdvance(Calendar,O158,NDays&amp;"D")</f>
        <v>42480</v>
      </c>
      <c r="Q158" s="81">
        <v>-3.839701249592764E-3</v>
      </c>
      <c r="R158" s="85">
        <v>-3.8716485722201099E-3</v>
      </c>
    </row>
    <row r="159" spans="14:18" x14ac:dyDescent="0.2">
      <c r="N159" s="88" t="str">
        <f t="shared" si="8"/>
        <v>1D</v>
      </c>
      <c r="O159" s="82">
        <f>_xll.qlCalendarAdvance(Calendar,O158,N159,"f",FALSE)</f>
        <v>42479</v>
      </c>
      <c r="P159" s="92">
        <f>_xll.qlCalendarAdvance(Calendar,O159,NDays&amp;"D")</f>
        <v>42481</v>
      </c>
      <c r="Q159" s="81">
        <v>-3.8338049473175817E-3</v>
      </c>
      <c r="R159" s="85">
        <v>-3.8667602276110102E-3</v>
      </c>
    </row>
    <row r="160" spans="14:18" x14ac:dyDescent="0.2">
      <c r="N160" s="88" t="str">
        <f t="shared" si="8"/>
        <v>1D</v>
      </c>
      <c r="O160" s="82">
        <f>_xll.qlCalendarAdvance(Calendar,O159,N160,"f",FALSE)</f>
        <v>42480</v>
      </c>
      <c r="P160" s="92">
        <f>_xll.qlCalendarAdvance(Calendar,O160,NDays&amp;"D")</f>
        <v>42482</v>
      </c>
      <c r="Q160" s="81">
        <v>-3.8324685772555922E-3</v>
      </c>
      <c r="R160" s="85">
        <v>-3.8642410082179168E-3</v>
      </c>
    </row>
    <row r="161" spans="14:18" x14ac:dyDescent="0.2">
      <c r="N161" s="88" t="str">
        <f t="shared" si="8"/>
        <v>1D</v>
      </c>
      <c r="O161" s="82">
        <f>_xll.qlCalendarAdvance(Calendar,O160,N161,"f",FALSE)</f>
        <v>42481</v>
      </c>
      <c r="P161" s="92">
        <f>_xll.qlCalendarAdvance(Calendar,O161,NDays&amp;"D")</f>
        <v>42485</v>
      </c>
      <c r="Q161" s="81">
        <v>-3.8252387569119861E-3</v>
      </c>
      <c r="R161" s="85">
        <v>-3.8616892519716117E-3</v>
      </c>
    </row>
    <row r="162" spans="14:18" x14ac:dyDescent="0.2">
      <c r="N162" s="88" t="str">
        <f t="shared" si="8"/>
        <v>1D</v>
      </c>
      <c r="O162" s="82">
        <f>_xll.qlCalendarAdvance(Calendar,O161,N162,"f",FALSE)</f>
        <v>42482</v>
      </c>
      <c r="P162" s="92">
        <f>_xll.qlCalendarAdvance(Calendar,O162,NDays&amp;"D")</f>
        <v>42486</v>
      </c>
      <c r="Q162" s="81">
        <v>-3.822248676227602E-3</v>
      </c>
      <c r="R162" s="85">
        <v>-3.859104959031967E-3</v>
      </c>
    </row>
    <row r="163" spans="14:18" x14ac:dyDescent="0.2">
      <c r="N163" s="88" t="str">
        <f t="shared" si="8"/>
        <v>1D</v>
      </c>
      <c r="O163" s="82">
        <f>_xll.qlCalendarAdvance(Calendar,O162,N163,"f",FALSE)</f>
        <v>42485</v>
      </c>
      <c r="P163" s="92">
        <f>_xll.qlCalendarAdvance(Calendar,O163,NDays&amp;"D")</f>
        <v>42487</v>
      </c>
      <c r="Q163" s="81">
        <v>-3.8192260680944834E-3</v>
      </c>
      <c r="R163" s="85">
        <v>-3.8537866620824701E-3</v>
      </c>
    </row>
    <row r="164" spans="14:18" x14ac:dyDescent="0.2">
      <c r="N164" s="88" t="str">
        <f t="shared" si="8"/>
        <v>1D</v>
      </c>
      <c r="O164" s="82">
        <f>_xll.qlCalendarAdvance(Calendar,O163,N164,"f",FALSE)</f>
        <v>42486</v>
      </c>
      <c r="P164" s="92">
        <f>_xll.qlCalendarAdvance(Calendar,O164,NDays&amp;"D")</f>
        <v>42488</v>
      </c>
      <c r="Q164" s="81">
        <v>-3.8128748265210677E-3</v>
      </c>
      <c r="R164" s="85">
        <v>-3.8484424201401524E-3</v>
      </c>
    </row>
    <row r="165" spans="14:18" x14ac:dyDescent="0.2">
      <c r="N165" s="88" t="str">
        <f t="shared" si="8"/>
        <v>1D</v>
      </c>
      <c r="O165" s="82">
        <f>_xll.qlCalendarAdvance(Calendar,O164,N165,"f",FALSE)</f>
        <v>42487</v>
      </c>
      <c r="P165" s="92">
        <f>_xll.qlCalendarAdvance(Calendar,O165,NDays&amp;"D")</f>
        <v>42489</v>
      </c>
      <c r="Q165" s="81">
        <v>-3.8097547019561029E-3</v>
      </c>
      <c r="R165" s="85">
        <v>-3.8456954436139057E-3</v>
      </c>
    </row>
    <row r="166" spans="14:18" x14ac:dyDescent="0.2">
      <c r="N166" s="88" t="str">
        <f t="shared" si="8"/>
        <v>1D</v>
      </c>
      <c r="O166" s="82">
        <f>_xll.qlCalendarAdvance(Calendar,O165,N166,"f",FALSE)</f>
        <v>42488</v>
      </c>
      <c r="P166" s="92">
        <f>_xll.qlCalendarAdvance(Calendar,O166,NDays&amp;"D")</f>
        <v>42492</v>
      </c>
      <c r="Q166" s="81">
        <v>-3.8019175440864952E-3</v>
      </c>
      <c r="R166" s="85">
        <v>-3.8414894092730911E-3</v>
      </c>
    </row>
    <row r="167" spans="14:18" x14ac:dyDescent="0.2">
      <c r="N167" s="88" t="str">
        <f t="shared" si="8"/>
        <v>1D</v>
      </c>
      <c r="O167" s="82">
        <f>_xll.qlCalendarAdvance(Calendar,O166,N167,"f",FALSE)</f>
        <v>42489</v>
      </c>
      <c r="P167" s="92">
        <f>_xll.qlCalendarAdvance(Calendar,O167,NDays&amp;"D")</f>
        <v>42493</v>
      </c>
      <c r="Q167" s="81">
        <v>-3.7986835411075331E-3</v>
      </c>
      <c r="R167" s="85">
        <v>-3.8343304847998638E-3</v>
      </c>
    </row>
    <row r="168" spans="14:18" x14ac:dyDescent="0.2">
      <c r="N168" s="88" t="str">
        <f t="shared" si="8"/>
        <v>1D</v>
      </c>
      <c r="O168" s="82">
        <f>_xll.qlCalendarAdvance(Calendar,O167,N168,"f",FALSE)</f>
        <v>42492</v>
      </c>
      <c r="P168" s="92">
        <f>_xll.qlCalendarAdvance(Calendar,O168,NDays&amp;"D")</f>
        <v>42494</v>
      </c>
      <c r="Q168" s="81">
        <v>-3.7919045336040373E-3</v>
      </c>
      <c r="R168" s="85">
        <v>-3.828530313136902E-3</v>
      </c>
    </row>
    <row r="169" spans="14:18" x14ac:dyDescent="0.2">
      <c r="N169" s="88" t="str">
        <f t="shared" si="8"/>
        <v>1D</v>
      </c>
      <c r="O169" s="82">
        <f>_xll.qlCalendarAdvance(Calendar,O168,N169,"f",FALSE)</f>
        <v>42493</v>
      </c>
      <c r="P169" s="92">
        <f>_xll.qlCalendarAdvance(Calendar,O169,NDays&amp;"D")</f>
        <v>42496</v>
      </c>
      <c r="Q169" s="81">
        <v>-3.7887863681605335E-3</v>
      </c>
      <c r="R169" s="85">
        <v>-3.8255555795574381E-3</v>
      </c>
    </row>
    <row r="170" spans="14:18" x14ac:dyDescent="0.2">
      <c r="N170" s="88" t="str">
        <f t="shared" si="8"/>
        <v>1D</v>
      </c>
      <c r="O170" s="82">
        <f>_xll.qlCalendarAdvance(Calendar,O169,N170,"f",FALSE)</f>
        <v>42494</v>
      </c>
      <c r="P170" s="92">
        <f>_xll.qlCalendarAdvance(Calendar,O170,NDays&amp;"D")</f>
        <v>42499</v>
      </c>
      <c r="Q170" s="81">
        <v>-3.7785964486046443E-3</v>
      </c>
      <c r="R170" s="85">
        <v>-3.8225483092446666E-3</v>
      </c>
    </row>
    <row r="171" spans="14:18" x14ac:dyDescent="0.2">
      <c r="N171" s="88" t="str">
        <f t="shared" si="8"/>
        <v>1D</v>
      </c>
      <c r="O171" s="82">
        <f>_xll.qlCalendarAdvance(Calendar,O170,N171,"f",FALSE)</f>
        <v>42496</v>
      </c>
      <c r="P171" s="92">
        <f>_xll.qlCalendarAdvance(Calendar,O171,NDays&amp;"D")</f>
        <v>42500</v>
      </c>
      <c r="Q171" s="81">
        <v>-3.7751347538196277E-3</v>
      </c>
      <c r="R171" s="85">
        <v>-3.8195085021586195E-3</v>
      </c>
    </row>
    <row r="172" spans="14:18" x14ac:dyDescent="0.2">
      <c r="N172" s="88" t="str">
        <f t="shared" si="8"/>
        <v>1D</v>
      </c>
      <c r="O172" s="82">
        <f>_xll.qlCalendarAdvance(Calendar,O171,N172,"f",FALSE)</f>
        <v>42499</v>
      </c>
      <c r="P172" s="92">
        <f>_xll.qlCalendarAdvance(Calendar,O172,NDays&amp;"D")</f>
        <v>42501</v>
      </c>
      <c r="Q172" s="81">
        <v>-3.7679008659032643E-3</v>
      </c>
      <c r="R172" s="85">
        <v>-3.8116857620029698E-3</v>
      </c>
    </row>
    <row r="173" spans="14:18" x14ac:dyDescent="0.2">
      <c r="N173" s="88" t="str">
        <f t="shared" si="8"/>
        <v>1D</v>
      </c>
      <c r="O173" s="82">
        <f>_xll.qlCalendarAdvance(Calendar,O172,N173,"f",FALSE)</f>
        <v>42500</v>
      </c>
      <c r="P173" s="92">
        <f>_xll.qlCalendarAdvance(Calendar,O173,NDays&amp;"D")</f>
        <v>42502</v>
      </c>
      <c r="Q173" s="81">
        <v>-3.766233123875945E-3</v>
      </c>
      <c r="R173" s="85">
        <v>-3.8038214158087058E-3</v>
      </c>
    </row>
    <row r="174" spans="14:18" x14ac:dyDescent="0.2">
      <c r="N174" s="88" t="str">
        <f t="shared" si="8"/>
        <v>1D</v>
      </c>
      <c r="O174" s="82">
        <f>_xll.qlCalendarAdvance(Calendar,O173,N174,"f",FALSE)</f>
        <v>42501</v>
      </c>
      <c r="P174" s="92">
        <f>_xll.qlCalendarAdvance(Calendar,O174,NDays&amp;"D")</f>
        <v>42503</v>
      </c>
      <c r="Q174" s="81">
        <v>-3.7645545042541335E-3</v>
      </c>
      <c r="R174" s="85">
        <v>-3.800586388242877E-3</v>
      </c>
    </row>
    <row r="175" spans="14:18" x14ac:dyDescent="0.2">
      <c r="N175" s="88" t="str">
        <f t="shared" si="8"/>
        <v>1D</v>
      </c>
      <c r="O175" s="82">
        <f>_xll.qlCalendarAdvance(Calendar,O174,N175,"f",FALSE)</f>
        <v>42502</v>
      </c>
      <c r="P175" s="92">
        <f>_xll.qlCalendarAdvance(Calendar,O175,NDays&amp;"D")</f>
        <v>42507</v>
      </c>
      <c r="Q175" s="81">
        <v>-3.7499921182332185E-3</v>
      </c>
      <c r="R175" s="85">
        <v>-3.7973188241036127E-3</v>
      </c>
    </row>
    <row r="176" spans="14:18" x14ac:dyDescent="0.2">
      <c r="N176" s="88" t="str">
        <f t="shared" si="8"/>
        <v>1D</v>
      </c>
      <c r="O176" s="82">
        <f>_xll.qlCalendarAdvance(Calendar,O175,N176,"f",FALSE)</f>
        <v>42503</v>
      </c>
      <c r="P176" s="92">
        <f>_xll.qlCalendarAdvance(Calendar,O176,NDays&amp;"D")</f>
        <v>42508</v>
      </c>
      <c r="Q176" s="81">
        <v>-3.7423033769335879E-3</v>
      </c>
      <c r="R176" s="85">
        <v>-3.7906353254824054E-3</v>
      </c>
    </row>
    <row r="177" spans="14:18" x14ac:dyDescent="0.2">
      <c r="N177" s="88" t="str">
        <f t="shared" si="8"/>
        <v>1D</v>
      </c>
      <c r="O177" s="82">
        <f>_xll.qlCalendarAdvance(Calendar,O176,N177,"f",FALSE)</f>
        <v>42507</v>
      </c>
      <c r="P177" s="92">
        <f>_xll.qlCalendarAdvance(Calendar,O177,NDays&amp;"D")</f>
        <v>42509</v>
      </c>
      <c r="Q177" s="81">
        <v>-3.740521522205692E-3</v>
      </c>
      <c r="R177" s="85">
        <v>-3.783923199813799E-3</v>
      </c>
    </row>
    <row r="178" spans="14:18" x14ac:dyDescent="0.2">
      <c r="N178" s="88" t="str">
        <f t="shared" si="8"/>
        <v>1D</v>
      </c>
      <c r="O178" s="82">
        <f>_xll.qlCalendarAdvance(Calendar,O177,N178,"f",FALSE)</f>
        <v>42508</v>
      </c>
      <c r="P178" s="92">
        <f>_xll.qlCalendarAdvance(Calendar,O178,NDays&amp;"D")</f>
        <v>42510</v>
      </c>
      <c r="Q178" s="81">
        <v>-3.7387287876914257E-3</v>
      </c>
      <c r="R178" s="85">
        <v>-3.7804929519280606E-3</v>
      </c>
    </row>
    <row r="179" spans="14:18" x14ac:dyDescent="0.2">
      <c r="N179" s="88" t="str">
        <f t="shared" si="8"/>
        <v>1D</v>
      </c>
      <c r="O179" s="82">
        <f>_xll.qlCalendarAdvance(Calendar,O178,N179,"f",FALSE)</f>
        <v>42509</v>
      </c>
      <c r="P179" s="92">
        <f>_xll.qlCalendarAdvance(Calendar,O179,NDays&amp;"D")</f>
        <v>42513</v>
      </c>
      <c r="Q179" s="81">
        <v>-3.7271727067592522E-3</v>
      </c>
      <c r="R179" s="85">
        <v>-3.7770301673090145E-3</v>
      </c>
    </row>
    <row r="180" spans="14:18" x14ac:dyDescent="0.2">
      <c r="N180" s="88" t="str">
        <f t="shared" si="8"/>
        <v>1D</v>
      </c>
      <c r="O180" s="82">
        <f>_xll.qlCalendarAdvance(Calendar,O179,N180,"f",FALSE)</f>
        <v>42510</v>
      </c>
      <c r="P180" s="92">
        <f>_xll.qlCalendarAdvance(Calendar,O180,NDays&amp;"D")</f>
        <v>42514</v>
      </c>
      <c r="Q180" s="81">
        <v>-3.7169971567134232E-3</v>
      </c>
      <c r="R180" s="85">
        <v>-3.7735348457967888E-3</v>
      </c>
    </row>
    <row r="181" spans="14:18" x14ac:dyDescent="0.2">
      <c r="N181" s="88" t="str">
        <f t="shared" si="8"/>
        <v>1D</v>
      </c>
      <c r="O181" s="82">
        <f>_xll.qlCalendarAdvance(Calendar,O180,N181,"f",FALSE)</f>
        <v>42513</v>
      </c>
      <c r="P181" s="92">
        <f>_xll.qlCalendarAdvance(Calendar,O181,NDays&amp;"D")</f>
        <v>42515</v>
      </c>
      <c r="Q181" s="81">
        <v>-3.7151120554700483E-3</v>
      </c>
      <c r="R181" s="85">
        <v>-3.7663963417822188E-3</v>
      </c>
    </row>
    <row r="182" spans="14:18" x14ac:dyDescent="0.2">
      <c r="N182" s="88" t="str">
        <f t="shared" si="8"/>
        <v>1D</v>
      </c>
      <c r="O182" s="82">
        <f>_xll.qlCalendarAdvance(Calendar,O181,N182,"f",FALSE)</f>
        <v>42514</v>
      </c>
      <c r="P182" s="92">
        <f>_xll.qlCalendarAdvance(Calendar,O182,NDays&amp;"D")</f>
        <v>42516</v>
      </c>
      <c r="Q182" s="81">
        <v>-3.7132160726105479E-3</v>
      </c>
      <c r="R182" s="85">
        <v>-3.7592281927745219E-3</v>
      </c>
    </row>
    <row r="183" spans="14:18" x14ac:dyDescent="0.2">
      <c r="N183" s="88" t="str">
        <f t="shared" si="8"/>
        <v>1D</v>
      </c>
      <c r="O183" s="82">
        <f>_xll.qlCalendarAdvance(Calendar,O182,N183,"f",FALSE)</f>
        <v>42515</v>
      </c>
      <c r="P183" s="92">
        <f>_xll.qlCalendarAdvance(Calendar,O183,NDays&amp;"D")</f>
        <v>42517</v>
      </c>
      <c r="Q183" s="81">
        <v>-3.7113092078293105E-3</v>
      </c>
      <c r="R183" s="85">
        <v>-3.7555701877955983E-3</v>
      </c>
    </row>
    <row r="184" spans="14:18" x14ac:dyDescent="0.2">
      <c r="N184" s="88" t="str">
        <f t="shared" si="8"/>
        <v>1D</v>
      </c>
      <c r="O184" s="82">
        <f>_xll.qlCalendarAdvance(Calendar,O183,N184,"f",FALSE)</f>
        <v>42516</v>
      </c>
      <c r="P184" s="92">
        <f>_xll.qlCalendarAdvance(Calendar,O184,NDays&amp;"D")</f>
        <v>42520</v>
      </c>
      <c r="Q184" s="81">
        <v>-3.6990700392062095E-3</v>
      </c>
      <c r="R184" s="85">
        <v>-3.7518796458035908E-3</v>
      </c>
    </row>
    <row r="185" spans="14:18" x14ac:dyDescent="0.2">
      <c r="N185" s="88" t="str">
        <f t="shared" si="8"/>
        <v>1D</v>
      </c>
      <c r="O185" s="82">
        <f>_xll.qlCalendarAdvance(Calendar,O184,N185,"f",FALSE)</f>
        <v>42517</v>
      </c>
      <c r="P185" s="92">
        <f>_xll.qlCalendarAdvance(Calendar,O185,NDays&amp;"D")</f>
        <v>42521</v>
      </c>
      <c r="Q185" s="81">
        <v>-3.6971033736841186E-3</v>
      </c>
      <c r="R185" s="85">
        <v>-3.7481565672381478E-3</v>
      </c>
    </row>
    <row r="186" spans="14:18" x14ac:dyDescent="0.2">
      <c r="N186" s="88" t="str">
        <f t="shared" si="8"/>
        <v>1D</v>
      </c>
      <c r="O186" s="82">
        <f>_xll.qlCalendarAdvance(Calendar,O185,N186,"f",FALSE)</f>
        <v>42520</v>
      </c>
      <c r="P186" s="92">
        <f>_xll.qlCalendarAdvance(Calendar,O186,NDays&amp;"D")</f>
        <v>42522</v>
      </c>
      <c r="Q186" s="81">
        <v>-3.692942287768286E-3</v>
      </c>
      <c r="R186" s="85">
        <v>-3.7405630873799112E-3</v>
      </c>
    </row>
    <row r="187" spans="14:18" x14ac:dyDescent="0.2">
      <c r="N187" s="88" t="str">
        <f t="shared" si="8"/>
        <v>1D</v>
      </c>
      <c r="O187" s="82">
        <f>_xll.qlCalendarAdvance(Calendar,O186,N187,"f",FALSE)</f>
        <v>42521</v>
      </c>
      <c r="P187" s="92">
        <f>_xll.qlCalendarAdvance(Calendar,O187,NDays&amp;"D")</f>
        <v>42523</v>
      </c>
      <c r="Q187" s="81">
        <v>-3.6843167634972862E-3</v>
      </c>
      <c r="R187" s="85">
        <v>-3.7329388852436196E-3</v>
      </c>
    </row>
    <row r="188" spans="14:18" x14ac:dyDescent="0.2">
      <c r="N188" s="88" t="str">
        <f t="shared" si="8"/>
        <v>1D</v>
      </c>
      <c r="O188" s="82">
        <f>_xll.qlCalendarAdvance(Calendar,O187,N188,"f",FALSE)</f>
        <v>42522</v>
      </c>
      <c r="P188" s="92">
        <f>_xll.qlCalendarAdvance(Calendar,O188,NDays&amp;"D")</f>
        <v>42524</v>
      </c>
      <c r="Q188" s="81">
        <v>-3.6822957533800432E-3</v>
      </c>
      <c r="R188" s="85">
        <v>-3.7290531228517665E-3</v>
      </c>
    </row>
    <row r="189" spans="14:18" x14ac:dyDescent="0.2">
      <c r="N189" s="88" t="str">
        <f t="shared" si="8"/>
        <v>1D</v>
      </c>
      <c r="O189" s="82">
        <f>_xll.qlCalendarAdvance(Calendar,O188,N189,"f",FALSE)</f>
        <v>42523</v>
      </c>
      <c r="P189" s="92">
        <f>_xll.qlCalendarAdvance(Calendar,O189,NDays&amp;"D")</f>
        <v>42527</v>
      </c>
      <c r="Q189" s="81">
        <v>-3.6716489301338306E-3</v>
      </c>
      <c r="R189" s="85">
        <v>-3.7251348236466697E-3</v>
      </c>
    </row>
    <row r="190" spans="14:18" x14ac:dyDescent="0.2">
      <c r="N190" s="88" t="str">
        <f t="shared" si="8"/>
        <v>1D</v>
      </c>
      <c r="O190" s="82">
        <f>_xll.qlCalendarAdvance(Calendar,O189,N190,"f",FALSE)</f>
        <v>42524</v>
      </c>
      <c r="P190" s="92">
        <f>_xll.qlCalendarAdvance(Calendar,O190,NDays&amp;"D")</f>
        <v>42528</v>
      </c>
      <c r="Q190" s="81">
        <v>-3.6672926727510102E-3</v>
      </c>
      <c r="R190" s="85">
        <v>-3.7211839878281694E-3</v>
      </c>
    </row>
    <row r="191" spans="14:18" x14ac:dyDescent="0.2">
      <c r="N191" s="88" t="str">
        <f t="shared" si="8"/>
        <v>1D</v>
      </c>
      <c r="O191" s="82">
        <f>_xll.qlCalendarAdvance(Calendar,O190,N191,"f",FALSE)</f>
        <v>42527</v>
      </c>
      <c r="P191" s="92">
        <f>_xll.qlCalendarAdvance(Calendar,O191,NDays&amp;"D")</f>
        <v>42529</v>
      </c>
      <c r="Q191" s="81">
        <v>-3.6629038866657915E-3</v>
      </c>
      <c r="R191" s="85">
        <v>-3.7131355612629591E-3</v>
      </c>
    </row>
    <row r="192" spans="14:18" x14ac:dyDescent="0.2">
      <c r="N192" s="88" t="str">
        <f t="shared" si="8"/>
        <v>1D</v>
      </c>
      <c r="O192" s="82">
        <f>_xll.qlCalendarAdvance(Calendar,O191,N192,"f",FALSE)</f>
        <v>42528</v>
      </c>
      <c r="P192" s="92">
        <f>_xll.qlCalendarAdvance(Calendar,O192,NDays&amp;"D")</f>
        <v>42530</v>
      </c>
      <c r="Q192" s="81">
        <v>-3.6538235825657461E-3</v>
      </c>
      <c r="R192" s="85">
        <v>-3.7050552766615397E-3</v>
      </c>
    </row>
    <row r="193" spans="14:18" x14ac:dyDescent="0.2">
      <c r="N193" s="88" t="str">
        <f t="shared" si="8"/>
        <v>1D</v>
      </c>
      <c r="O193" s="82">
        <f>_xll.qlCalendarAdvance(Calendar,O192,N193,"f",FALSE)</f>
        <v>42529</v>
      </c>
      <c r="P193" s="92">
        <f>_xll.qlCalendarAdvance(Calendar,O193,NDays&amp;"D")</f>
        <v>42531</v>
      </c>
      <c r="Q193" s="81">
        <v>-3.6516884123906045E-3</v>
      </c>
      <c r="R193" s="85">
        <v>-3.7009417569766612E-3</v>
      </c>
    </row>
    <row r="194" spans="14:18" x14ac:dyDescent="0.2">
      <c r="N194" s="88" t="str">
        <f t="shared" si="8"/>
        <v>1D</v>
      </c>
      <c r="O194" s="82">
        <f>_xll.qlCalendarAdvance(Calendar,O193,N194,"f",FALSE)</f>
        <v>42530</v>
      </c>
      <c r="P194" s="92">
        <f>_xll.qlCalendarAdvance(Calendar,O194,NDays&amp;"D")</f>
        <v>42534</v>
      </c>
      <c r="Q194" s="81">
        <v>-3.6404720244833655E-3</v>
      </c>
      <c r="R194" s="85">
        <v>-3.696795700518507E-3</v>
      </c>
    </row>
    <row r="195" spans="14:18" x14ac:dyDescent="0.2">
      <c r="N195" s="88" t="str">
        <f t="shared" si="8"/>
        <v>1D</v>
      </c>
      <c r="O195" s="82">
        <f>_xll.qlCalendarAdvance(Calendar,O194,N195,"f",FALSE)</f>
        <v>42531</v>
      </c>
      <c r="P195" s="92">
        <f>_xll.qlCalendarAdvance(Calendar,O195,NDays&amp;"D")</f>
        <v>42535</v>
      </c>
      <c r="Q195" s="81">
        <v>-3.6358880654363546E-3</v>
      </c>
      <c r="R195" s="85">
        <v>-3.6926171072870773E-3</v>
      </c>
    </row>
    <row r="196" spans="14:18" x14ac:dyDescent="0.2">
      <c r="N196" s="88" t="str">
        <f t="shared" si="8"/>
        <v>1D</v>
      </c>
      <c r="O196" s="82">
        <f>_xll.qlCalendarAdvance(Calendar,O195,N196,"f",FALSE)</f>
        <v>42534</v>
      </c>
      <c r="P196" s="92">
        <f>_xll.qlCalendarAdvance(Calendar,O196,NDays&amp;"D")</f>
        <v>42536</v>
      </c>
      <c r="Q196" s="81">
        <v>-3.6312715774324822E-3</v>
      </c>
      <c r="R196" s="85">
        <v>-3.6841137623921938E-3</v>
      </c>
    </row>
    <row r="197" spans="14:18" x14ac:dyDescent="0.2">
      <c r="N197" s="88" t="str">
        <f t="shared" si="8"/>
        <v>1D</v>
      </c>
      <c r="O197" s="82">
        <f>_xll.qlCalendarAdvance(Calendar,O196,N197,"f",FALSE)</f>
        <v>42535</v>
      </c>
      <c r="P197" s="92">
        <f>_xll.qlCalendarAdvance(Calendar,O197,NDays&amp;"D")</f>
        <v>42537</v>
      </c>
      <c r="Q197" s="81">
        <v>-3.6217365168550453E-3</v>
      </c>
      <c r="R197" s="85">
        <v>-3.6755773666286018E-3</v>
      </c>
    </row>
    <row r="198" spans="14:18" x14ac:dyDescent="0.2">
      <c r="N198" s="88" t="str">
        <f t="shared" si="8"/>
        <v>1D</v>
      </c>
      <c r="O198" s="82">
        <f>_xll.qlCalendarAdvance(Calendar,O197,N198,"f",FALSE)</f>
        <v>42536</v>
      </c>
      <c r="P198" s="92">
        <f>_xll.qlCalendarAdvance(Calendar,O198,NDays&amp;"D")</f>
        <v>42538</v>
      </c>
      <c r="Q198" s="81">
        <v>-3.6194871722517257E-3</v>
      </c>
      <c r="R198" s="85">
        <v>-3.671236089730634E-3</v>
      </c>
    </row>
    <row r="199" spans="14:18" x14ac:dyDescent="0.2">
      <c r="N199" s="88" t="str">
        <f t="shared" si="8"/>
        <v>1D</v>
      </c>
      <c r="O199" s="82">
        <f>_xll.qlCalendarAdvance(Calendar,O198,N199,"f",FALSE)</f>
        <v>42537</v>
      </c>
      <c r="P199" s="92">
        <f>_xll.qlCalendarAdvance(Calendar,O199,NDays&amp;"D")</f>
        <v>42541</v>
      </c>
      <c r="Q199" s="81">
        <v>-3.6077012017532439E-3</v>
      </c>
      <c r="R199" s="85">
        <v>-3.6668622758195824E-3</v>
      </c>
    </row>
    <row r="200" spans="14:18" x14ac:dyDescent="0.2">
      <c r="N200" s="88" t="str">
        <f t="shared" si="8"/>
        <v>1D</v>
      </c>
      <c r="O200" s="82">
        <f>_xll.qlCalendarAdvance(Calendar,O199,N200,"f",FALSE)</f>
        <v>42538</v>
      </c>
      <c r="P200" s="92">
        <f>_xll.qlCalendarAdvance(Calendar,O200,NDays&amp;"D")</f>
        <v>42542</v>
      </c>
      <c r="Q200" s="81">
        <v>-3.6028895392181681E-3</v>
      </c>
      <c r="R200" s="85">
        <v>-3.6557093718492251E-3</v>
      </c>
    </row>
    <row r="201" spans="14:18" x14ac:dyDescent="0.2">
      <c r="N201" s="88" t="str">
        <f t="shared" si="8"/>
        <v>1D</v>
      </c>
      <c r="O201" s="82">
        <f>_xll.qlCalendarAdvance(Calendar,O200,N201,"f",FALSE)</f>
        <v>42541</v>
      </c>
      <c r="P201" s="92">
        <f>_xll.qlCalendarAdvance(Calendar,O201,NDays&amp;"D")</f>
        <v>42543</v>
      </c>
      <c r="Q201" s="81">
        <v>-3.5980453474544483E-3</v>
      </c>
      <c r="R201" s="85">
        <v>-3.644505155104838E-3</v>
      </c>
    </row>
    <row r="202" spans="14:18" x14ac:dyDescent="0.2">
      <c r="N202" s="88" t="str">
        <f t="shared" si="8"/>
        <v>1D</v>
      </c>
      <c r="O202" s="82">
        <f>_xll.qlCalendarAdvance(Calendar,O201,N202,"f",FALSE)</f>
        <v>42542</v>
      </c>
      <c r="P202" s="92">
        <f>_xll.qlCalendarAdvance(Calendar,O202,NDays&amp;"D")</f>
        <v>42544</v>
      </c>
      <c r="Q202" s="81">
        <v>-3.5880555527260938E-3</v>
      </c>
      <c r="R202" s="85">
        <v>-3.6399361205541325E-3</v>
      </c>
    </row>
    <row r="203" spans="14:18" x14ac:dyDescent="0.2">
      <c r="N203" s="88" t="str">
        <f t="shared" si="8"/>
        <v>1D</v>
      </c>
      <c r="O203" s="82">
        <f>_xll.qlCalendarAdvance(Calendar,O202,N203,"f",FALSE)</f>
        <v>42543</v>
      </c>
      <c r="P203" s="92">
        <f>_xll.qlCalendarAdvance(Calendar,O203,NDays&amp;"D")</f>
        <v>42548</v>
      </c>
      <c r="Q203" s="81">
        <v>-3.5733364488925723E-3</v>
      </c>
      <c r="R203" s="85">
        <v>-3.6353345492301514E-3</v>
      </c>
    </row>
    <row r="204" spans="14:18" x14ac:dyDescent="0.2">
      <c r="N204" s="88" t="str">
        <f t="shared" si="8"/>
        <v>1D</v>
      </c>
      <c r="O204" s="82">
        <f>_xll.qlCalendarAdvance(Calendar,O203,N204,"f",FALSE)</f>
        <v>42544</v>
      </c>
      <c r="P204" s="92">
        <f>_xll.qlCalendarAdvance(Calendar,O204,NDays&amp;"D")</f>
        <v>42549</v>
      </c>
      <c r="Q204" s="81">
        <v>-3.5682970809456371E-3</v>
      </c>
      <c r="R204" s="85">
        <v>-3.6307004412128308E-3</v>
      </c>
    </row>
    <row r="205" spans="14:18" x14ac:dyDescent="0.2">
      <c r="N205" s="88" t="str">
        <f t="shared" si="8"/>
        <v>1D</v>
      </c>
      <c r="O205" s="82">
        <f>_xll.qlCalendarAdvance(Calendar,O204,N205,"f",FALSE)</f>
        <v>42548</v>
      </c>
      <c r="P205" s="92">
        <f>_xll.qlCalendarAdvance(Calendar,O205,NDays&amp;"D")</f>
        <v>42550</v>
      </c>
      <c r="Q205" s="81">
        <v>-3.5632251834956108E-3</v>
      </c>
      <c r="R205" s="85">
        <v>-3.6212873415930602E-3</v>
      </c>
    </row>
    <row r="206" spans="14:18" x14ac:dyDescent="0.2">
      <c r="N206" s="88" t="str">
        <f t="shared" si="8"/>
        <v>1D</v>
      </c>
      <c r="O206" s="82">
        <f>_xll.qlCalendarAdvance(Calendar,O205,N206,"f",FALSE)</f>
        <v>42549</v>
      </c>
      <c r="P206" s="92">
        <f>_xll.qlCalendarAdvance(Calendar,O206,NDays&amp;"D")</f>
        <v>42551</v>
      </c>
      <c r="Q206" s="81">
        <v>-3.5607746108840179E-3</v>
      </c>
      <c r="R206" s="85">
        <v>-3.6118386411310155E-3</v>
      </c>
    </row>
    <row r="207" spans="14:18" x14ac:dyDescent="0.2">
      <c r="N207" s="88" t="str">
        <f t="shared" si="8"/>
        <v>1D</v>
      </c>
      <c r="O207" s="82">
        <f>_xll.qlCalendarAdvance(Calendar,O206,N207,"f",FALSE)</f>
        <v>42550</v>
      </c>
      <c r="P207" s="92">
        <f>_xll.qlCalendarAdvance(Calendar,O207,NDays&amp;"D")</f>
        <v>42552</v>
      </c>
      <c r="Q207" s="81">
        <v>-3.5503029408369816E-3</v>
      </c>
      <c r="R207" s="85">
        <v>-3.6070418492473166E-3</v>
      </c>
    </row>
    <row r="208" spans="14:18" x14ac:dyDescent="0.2">
      <c r="N208" s="88" t="str">
        <f t="shared" si="8"/>
        <v>1D</v>
      </c>
      <c r="O208" s="82">
        <f>_xll.qlCalendarAdvance(Calendar,O207,N208,"f",FALSE)</f>
        <v>42551</v>
      </c>
      <c r="P208" s="92">
        <f>_xll.qlCalendarAdvance(Calendar,O208,NDays&amp;"D")</f>
        <v>42555</v>
      </c>
      <c r="Q208" s="81">
        <v>-3.5346482525287367E-3</v>
      </c>
      <c r="R208" s="85">
        <v>-3.6022125204704381E-3</v>
      </c>
    </row>
    <row r="209" spans="14:18" x14ac:dyDescent="0.2">
      <c r="N209" s="88" t="str">
        <f t="shared" si="8"/>
        <v>1D</v>
      </c>
      <c r="O209" s="82">
        <f>_xll.qlCalendarAdvance(Calendar,O208,N209,"f",FALSE)</f>
        <v>42552</v>
      </c>
      <c r="P209" s="92">
        <f>_xll.qlCalendarAdvance(Calendar,O209,NDays&amp;"D")</f>
        <v>42556</v>
      </c>
      <c r="Q209" s="81">
        <v>-3.5293649640781351E-3</v>
      </c>
      <c r="R209" s="85">
        <v>-3.5973506548403478E-3</v>
      </c>
    </row>
    <row r="210" spans="14:18" x14ac:dyDescent="0.2">
      <c r="N210" s="88" t="str">
        <f t="shared" si="8"/>
        <v>1D</v>
      </c>
      <c r="O210" s="82">
        <f>_xll.qlCalendarAdvance(Calendar,O209,N210,"f",FALSE)</f>
        <v>42555</v>
      </c>
      <c r="P210" s="92">
        <f>_xll.qlCalendarAdvance(Calendar,O210,NDays&amp;"D")</f>
        <v>42557</v>
      </c>
      <c r="Q210" s="81">
        <v>-3.5184929277975001E-3</v>
      </c>
      <c r="R210" s="85">
        <v>-3.5874827171733514E-3</v>
      </c>
    </row>
    <row r="211" spans="14:18" x14ac:dyDescent="0.2">
      <c r="N211" s="88" t="str">
        <f t="shared" si="8"/>
        <v>1D</v>
      </c>
      <c r="O211" s="82">
        <f>_xll.qlCalendarAdvance(Calendar,O210,N211,"f",FALSE)</f>
        <v>42556</v>
      </c>
      <c r="P211" s="92">
        <f>_xll.qlCalendarAdvance(Calendar,O211,NDays&amp;"D")</f>
        <v>42558</v>
      </c>
      <c r="Q211" s="81">
        <v>-3.515911871253552E-3</v>
      </c>
      <c r="R211" s="85">
        <v>-3.5775778247471024E-3</v>
      </c>
    </row>
    <row r="212" spans="14:18" x14ac:dyDescent="0.2">
      <c r="N212" s="88" t="str">
        <f t="shared" si="8"/>
        <v>1D</v>
      </c>
      <c r="O212" s="82">
        <f>_xll.qlCalendarAdvance(Calendar,O211,N212,"f",FALSE)</f>
        <v>42557</v>
      </c>
      <c r="P212" s="92">
        <f>_xll.qlCalendarAdvance(Calendar,O212,NDays&amp;"D")</f>
        <v>42559</v>
      </c>
      <c r="Q212" s="81">
        <v>-3.5133199210613335E-3</v>
      </c>
      <c r="R212" s="85">
        <v>-3.5725532752106659E-3</v>
      </c>
    </row>
    <row r="213" spans="14:18" x14ac:dyDescent="0.2">
      <c r="N213" s="88" t="str">
        <f t="shared" ref="N213:N276" si="9">N212</f>
        <v>1D</v>
      </c>
      <c r="O213" s="82">
        <f>_xll.qlCalendarAdvance(Calendar,O212,N213,"f",FALSE)</f>
        <v>42558</v>
      </c>
      <c r="P213" s="92">
        <f>_xll.qlCalendarAdvance(Calendar,O213,NDays&amp;"D")</f>
        <v>42562</v>
      </c>
      <c r="Q213" s="81">
        <v>-3.4969821105981166E-3</v>
      </c>
      <c r="R213" s="85">
        <v>-3.5674961889009538E-3</v>
      </c>
    </row>
    <row r="214" spans="14:18" x14ac:dyDescent="0.2">
      <c r="N214" s="88" t="str">
        <f t="shared" si="9"/>
        <v>1D</v>
      </c>
      <c r="O214" s="82">
        <f>_xll.qlCalendarAdvance(Calendar,O213,N214,"f",FALSE)</f>
        <v>42559</v>
      </c>
      <c r="P214" s="92">
        <f>_xll.qlCalendarAdvance(Calendar,O214,NDays&amp;"D")</f>
        <v>42563</v>
      </c>
      <c r="Q214" s="81">
        <v>-3.4914711141312013E-3</v>
      </c>
      <c r="R214" s="85">
        <v>-3.562406565777998E-3</v>
      </c>
    </row>
    <row r="215" spans="14:18" x14ac:dyDescent="0.2">
      <c r="N215" s="88" t="str">
        <f t="shared" si="9"/>
        <v>1D</v>
      </c>
      <c r="O215" s="82">
        <f>_xll.qlCalendarAdvance(Calendar,O214,N215,"f",FALSE)</f>
        <v>42562</v>
      </c>
      <c r="P215" s="92">
        <f>_xll.qlCalendarAdvance(Calendar,O215,NDays&amp;"D")</f>
        <v>42564</v>
      </c>
      <c r="Q215" s="81">
        <v>-3.4801444059352382E-3</v>
      </c>
      <c r="R215" s="85">
        <v>-3.5520838149372125E-3</v>
      </c>
    </row>
    <row r="216" spans="14:18" x14ac:dyDescent="0.2">
      <c r="N216" s="88" t="str">
        <f t="shared" si="9"/>
        <v>1D</v>
      </c>
      <c r="O216" s="82">
        <f>_xll.qlCalendarAdvance(Calendar,O215,N216,"f",FALSE)</f>
        <v>42563</v>
      </c>
      <c r="P216" s="92">
        <f>_xll.qlCalendarAdvance(Calendar,O216,NDays&amp;"D")</f>
        <v>42565</v>
      </c>
      <c r="Q216" s="81">
        <v>-3.4774491232357485E-3</v>
      </c>
      <c r="R216" s="85">
        <v>-3.5417227053136102E-3</v>
      </c>
    </row>
    <row r="217" spans="14:18" x14ac:dyDescent="0.2">
      <c r="N217" s="88" t="str">
        <f t="shared" si="9"/>
        <v>1D</v>
      </c>
      <c r="O217" s="82">
        <f>_xll.qlCalendarAdvance(Calendar,O216,N217,"f",FALSE)</f>
        <v>42564</v>
      </c>
      <c r="P217" s="92">
        <f>_xll.qlCalendarAdvance(Calendar,O217,NDays&amp;"D")</f>
        <v>42566</v>
      </c>
      <c r="Q217" s="81">
        <v>-3.4747429451482824E-3</v>
      </c>
      <c r="R217" s="85">
        <v>-3.5364703980844681E-3</v>
      </c>
    </row>
    <row r="218" spans="14:18" x14ac:dyDescent="0.2">
      <c r="N218" s="88" t="str">
        <f t="shared" si="9"/>
        <v>1D</v>
      </c>
      <c r="O218" s="82">
        <f>_xll.qlCalendarAdvance(Calendar,O217,N218,"f",FALSE)</f>
        <v>42565</v>
      </c>
      <c r="P218" s="92">
        <f>_xll.qlCalendarAdvance(Calendar,O218,NDays&amp;"D")</f>
        <v>42569</v>
      </c>
      <c r="Q218" s="81">
        <v>-3.4577220058025718E-3</v>
      </c>
      <c r="R218" s="85">
        <v>-3.5311855542019543E-3</v>
      </c>
    </row>
    <row r="219" spans="14:18" x14ac:dyDescent="0.2">
      <c r="N219" s="88" t="str">
        <f t="shared" si="9"/>
        <v>1D</v>
      </c>
      <c r="O219" s="82">
        <f>_xll.qlCalendarAdvance(Calendar,O218,N219,"f",FALSE)</f>
        <v>42566</v>
      </c>
      <c r="P219" s="92">
        <f>_xll.qlCalendarAdvance(Calendar,O219,NDays&amp;"D")</f>
        <v>42570</v>
      </c>
      <c r="Q219" s="81">
        <v>-3.4519832990476118E-3</v>
      </c>
      <c r="R219" s="85">
        <v>-3.5258681734262609E-3</v>
      </c>
    </row>
    <row r="220" spans="14:18" x14ac:dyDescent="0.2">
      <c r="N220" s="88" t="str">
        <f t="shared" si="9"/>
        <v>1D</v>
      </c>
      <c r="O220" s="82">
        <f>_xll.qlCalendarAdvance(Calendar,O219,N220,"f",FALSE)</f>
        <v>42569</v>
      </c>
      <c r="P220" s="92">
        <f>_xll.qlCalendarAdvance(Calendar,O220,NDays&amp;"D")</f>
        <v>42571</v>
      </c>
      <c r="Q220" s="81">
        <v>-3.4402019366419627E-3</v>
      </c>
      <c r="R220" s="85">
        <v>-3.5150906335257304E-3</v>
      </c>
    </row>
    <row r="221" spans="14:18" x14ac:dyDescent="0.2">
      <c r="N221" s="88" t="str">
        <f t="shared" si="9"/>
        <v>1D</v>
      </c>
      <c r="O221" s="82">
        <f>_xll.qlCalendarAdvance(Calendar,O220,N221,"f",FALSE)</f>
        <v>42570</v>
      </c>
      <c r="P221" s="92">
        <f>_xll.qlCalendarAdvance(Calendar,O221,NDays&amp;"D")</f>
        <v>42572</v>
      </c>
      <c r="Q221" s="81">
        <v>-3.4373924154550151E-3</v>
      </c>
      <c r="R221" s="85">
        <v>-3.5042732823109546E-3</v>
      </c>
    </row>
    <row r="222" spans="14:18" x14ac:dyDescent="0.2">
      <c r="N222" s="88" t="str">
        <f t="shared" si="9"/>
        <v>1D</v>
      </c>
      <c r="O222" s="82">
        <f>_xll.qlCalendarAdvance(Calendar,O221,N222,"f",FALSE)</f>
        <v>42571</v>
      </c>
      <c r="P222" s="92">
        <f>_xll.qlCalendarAdvance(Calendar,O222,NDays&amp;"D")</f>
        <v>42573</v>
      </c>
      <c r="Q222" s="81">
        <v>-3.4345719972124714E-3</v>
      </c>
      <c r="R222" s="85">
        <v>-3.4987932174290748E-3</v>
      </c>
    </row>
    <row r="223" spans="14:18" x14ac:dyDescent="0.2">
      <c r="N223" s="88" t="str">
        <f t="shared" si="9"/>
        <v>1D</v>
      </c>
      <c r="O223" s="82">
        <f>_xll.qlCalendarAdvance(Calendar,O222,N223,"f",FALSE)</f>
        <v>42572</v>
      </c>
      <c r="P223" s="92">
        <f>_xll.qlCalendarAdvance(Calendar,O223,NDays&amp;"D")</f>
        <v>42576</v>
      </c>
      <c r="Q223" s="81">
        <v>-3.4168679219692328E-3</v>
      </c>
      <c r="R223" s="85">
        <v>-3.4932806158538554E-3</v>
      </c>
    </row>
    <row r="224" spans="14:18" x14ac:dyDescent="0.2">
      <c r="N224" s="88" t="str">
        <f t="shared" si="9"/>
        <v>1D</v>
      </c>
      <c r="O224" s="82">
        <f>_xll.qlCalendarAdvance(Calendar,O223,N224,"f",FALSE)</f>
        <v>42573</v>
      </c>
      <c r="P224" s="92">
        <f>_xll.qlCalendarAdvance(Calendar,O224,NDays&amp;"D")</f>
        <v>42577</v>
      </c>
      <c r="Q224" s="81">
        <v>-3.4109015025681148E-3</v>
      </c>
      <c r="R224" s="85">
        <v>-3.4877354773854563E-3</v>
      </c>
    </row>
    <row r="225" spans="14:18" x14ac:dyDescent="0.2">
      <c r="N225" s="88" t="str">
        <f t="shared" si="9"/>
        <v>1D</v>
      </c>
      <c r="O225" s="82">
        <f>_xll.qlCalendarAdvance(Calendar,O224,N225,"f",FALSE)</f>
        <v>42576</v>
      </c>
      <c r="P225" s="92">
        <f>_xll.qlCalendarAdvance(Calendar,O225,NDays&amp;"D")</f>
        <v>42578</v>
      </c>
      <c r="Q225" s="81">
        <v>-3.3986655023947195E-3</v>
      </c>
      <c r="R225" s="85">
        <v>-3.4765031714067973E-3</v>
      </c>
    </row>
    <row r="226" spans="14:18" x14ac:dyDescent="0.2">
      <c r="N226" s="88" t="str">
        <f t="shared" si="9"/>
        <v>1D</v>
      </c>
      <c r="O226" s="82">
        <f>_xll.qlCalendarAdvance(Calendar,O225,N226,"f",FALSE)</f>
        <v>42577</v>
      </c>
      <c r="P226" s="92">
        <f>_xll.qlCalendarAdvance(Calendar,O226,NDays&amp;"D")</f>
        <v>42579</v>
      </c>
      <c r="Q226" s="81">
        <v>-3.3957417308737303E-3</v>
      </c>
      <c r="R226" s="85">
        <v>-3.4652295552595191E-3</v>
      </c>
    </row>
    <row r="227" spans="14:18" x14ac:dyDescent="0.2">
      <c r="N227" s="88" t="str">
        <f t="shared" si="9"/>
        <v>1D</v>
      </c>
      <c r="O227" s="82">
        <f>_xll.qlCalendarAdvance(Calendar,O226,N227,"f",FALSE)</f>
        <v>42578</v>
      </c>
      <c r="P227" s="92">
        <f>_xll.qlCalendarAdvance(Calendar,O227,NDays&amp;"D")</f>
        <v>42580</v>
      </c>
      <c r="Q227" s="81">
        <v>-3.3865051781477688E-3</v>
      </c>
      <c r="R227" s="85">
        <v>-3.4595217326849337E-3</v>
      </c>
    </row>
    <row r="228" spans="14:18" x14ac:dyDescent="0.2">
      <c r="N228" s="88" t="str">
        <f t="shared" si="9"/>
        <v>1D</v>
      </c>
      <c r="O228" s="82">
        <f>_xll.qlCalendarAdvance(Calendar,O227,N228,"f",FALSE)</f>
        <v>42579</v>
      </c>
      <c r="P228" s="92">
        <f>_xll.qlCalendarAdvance(Calendar,O228,NDays&amp;"D")</f>
        <v>42583</v>
      </c>
      <c r="Q228" s="81">
        <v>-3.3744198422754283E-3</v>
      </c>
      <c r="R228" s="85">
        <v>-3.4537813732571365E-3</v>
      </c>
    </row>
    <row r="229" spans="14:18" x14ac:dyDescent="0.2">
      <c r="N229" s="88" t="str">
        <f t="shared" si="9"/>
        <v>1D</v>
      </c>
      <c r="O229" s="82">
        <f>_xll.qlCalendarAdvance(Calendar,O228,N229,"f",FALSE)</f>
        <v>42580</v>
      </c>
      <c r="P229" s="92">
        <f>_xll.qlCalendarAdvance(Calendar,O229,NDays&amp;"D")</f>
        <v>42584</v>
      </c>
      <c r="Q229" s="81">
        <v>-3.3682257077656051E-3</v>
      </c>
      <c r="R229" s="85">
        <v>-3.4480084770160957E-3</v>
      </c>
    </row>
    <row r="230" spans="14:18" x14ac:dyDescent="0.2">
      <c r="N230" s="88" t="str">
        <f t="shared" si="9"/>
        <v>1D</v>
      </c>
      <c r="O230" s="82">
        <f>_xll.qlCalendarAdvance(Calendar,O229,N230,"f",FALSE)</f>
        <v>42583</v>
      </c>
      <c r="P230" s="92">
        <f>_xll.qlCalendarAdvance(Calendar,O230,NDays&amp;"D")</f>
        <v>42585</v>
      </c>
      <c r="Q230" s="81">
        <v>-3.3555350849874674E-3</v>
      </c>
      <c r="R230" s="85">
        <v>-3.4363214271015963E-3</v>
      </c>
    </row>
    <row r="231" spans="14:18" x14ac:dyDescent="0.2">
      <c r="N231" s="88" t="str">
        <f t="shared" si="9"/>
        <v>1D</v>
      </c>
      <c r="O231" s="82">
        <f>_xll.qlCalendarAdvance(Calendar,O230,N231,"f",FALSE)</f>
        <v>42584</v>
      </c>
      <c r="P231" s="92">
        <f>_xll.qlCalendarAdvance(Calendar,O231,NDays&amp;"D")</f>
        <v>42586</v>
      </c>
      <c r="Q231" s="81">
        <v>-3.3524970517898045E-3</v>
      </c>
      <c r="R231" s="85">
        <v>-3.4245915237196556E-3</v>
      </c>
    </row>
    <row r="232" spans="14:18" x14ac:dyDescent="0.2">
      <c r="N232" s="88" t="str">
        <f t="shared" si="9"/>
        <v>1D</v>
      </c>
      <c r="O232" s="82">
        <f>_xll.qlCalendarAdvance(Calendar,O231,N232,"f",FALSE)</f>
        <v>42585</v>
      </c>
      <c r="P232" s="92">
        <f>_xll.qlCalendarAdvance(Calendar,O232,NDays&amp;"D")</f>
        <v>42587</v>
      </c>
      <c r="Q232" s="81">
        <v>-3.3494481184215275E-3</v>
      </c>
      <c r="R232" s="85">
        <v>-3.4186559432924923E-3</v>
      </c>
    </row>
    <row r="233" spans="14:18" x14ac:dyDescent="0.2">
      <c r="N233" s="88" t="str">
        <f t="shared" si="9"/>
        <v>1D</v>
      </c>
      <c r="O233" s="82">
        <f>_xll.qlCalendarAdvance(Calendar,O232,N233,"f",FALSE)</f>
        <v>42586</v>
      </c>
      <c r="P233" s="92">
        <f>_xll.qlCalendarAdvance(Calendar,O233,NDays&amp;"D")</f>
        <v>42590</v>
      </c>
      <c r="Q233" s="81">
        <v>-3.3303777492344998E-3</v>
      </c>
      <c r="R233" s="85">
        <v>-3.4126878260520854E-3</v>
      </c>
    </row>
    <row r="234" spans="14:18" x14ac:dyDescent="0.2">
      <c r="N234" s="88" t="str">
        <f t="shared" si="9"/>
        <v>1D</v>
      </c>
      <c r="O234" s="82">
        <f>_xll.qlCalendarAdvance(Calendar,O233,N234,"f",FALSE)</f>
        <v>42587</v>
      </c>
      <c r="P234" s="92">
        <f>_xll.qlCalendarAdvance(Calendar,O234,NDays&amp;"D")</f>
        <v>42591</v>
      </c>
      <c r="Q234" s="81">
        <v>-3.3239558970683323E-3</v>
      </c>
      <c r="R234" s="85">
        <v>-3.4066871719184988E-3</v>
      </c>
    </row>
    <row r="235" spans="14:18" x14ac:dyDescent="0.2">
      <c r="N235" s="88" t="str">
        <f t="shared" si="9"/>
        <v>1D</v>
      </c>
      <c r="O235" s="82">
        <f>_xll.qlCalendarAdvance(Calendar,O234,N235,"f",FALSE)</f>
        <v>42590</v>
      </c>
      <c r="P235" s="92">
        <f>_xll.qlCalendarAdvance(Calendar,O235,NDays&amp;"D")</f>
        <v>42592</v>
      </c>
      <c r="Q235" s="81">
        <v>-3.310810665514116E-3</v>
      </c>
      <c r="R235" s="85">
        <v>-3.3945453989447927E-3</v>
      </c>
    </row>
    <row r="236" spans="14:18" x14ac:dyDescent="0.2">
      <c r="N236" s="88" t="str">
        <f t="shared" si="9"/>
        <v>1D</v>
      </c>
      <c r="O236" s="82">
        <f>_xll.qlCalendarAdvance(Calendar,O235,N236,"f",FALSE)</f>
        <v>42591</v>
      </c>
      <c r="P236" s="92">
        <f>_xll.qlCalendarAdvance(Calendar,O236,NDays&amp;"D")</f>
        <v>42593</v>
      </c>
      <c r="Q236" s="81">
        <v>-3.3076583598166953E-3</v>
      </c>
      <c r="R236" s="85">
        <v>-3.3823591870518754E-3</v>
      </c>
    </row>
    <row r="237" spans="14:18" x14ac:dyDescent="0.2">
      <c r="N237" s="88" t="str">
        <f t="shared" si="9"/>
        <v>1D</v>
      </c>
      <c r="O237" s="82">
        <f>_xll.qlCalendarAdvance(Calendar,O236,N237,"f",FALSE)</f>
        <v>42592</v>
      </c>
      <c r="P237" s="92">
        <f>_xll.qlCalendarAdvance(Calendar,O237,NDays&amp;"D")</f>
        <v>42594</v>
      </c>
      <c r="Q237" s="81">
        <v>-3.3044951525105655E-3</v>
      </c>
      <c r="R237" s="85">
        <v>-3.3761958487721344E-3</v>
      </c>
    </row>
    <row r="238" spans="14:18" x14ac:dyDescent="0.2">
      <c r="N238" s="88" t="str">
        <f t="shared" si="9"/>
        <v>1D</v>
      </c>
      <c r="O238" s="82">
        <f>_xll.qlCalendarAdvance(Calendar,O237,N238,"f",FALSE)</f>
        <v>42593</v>
      </c>
      <c r="P238" s="92">
        <f>_xll.qlCalendarAdvance(Calendar,O238,NDays&amp;"D")</f>
        <v>42597</v>
      </c>
      <c r="Q238" s="81">
        <v>-3.2847416247086983E-3</v>
      </c>
      <c r="R238" s="85">
        <v>-3.3699999735992137E-3</v>
      </c>
    </row>
    <row r="239" spans="14:18" x14ac:dyDescent="0.2">
      <c r="N239" s="88" t="str">
        <f t="shared" si="9"/>
        <v>1D</v>
      </c>
      <c r="O239" s="82">
        <f>_xll.qlCalendarAdvance(Calendar,O238,N239,"f",FALSE)</f>
        <v>42594</v>
      </c>
      <c r="P239" s="92">
        <f>_xll.qlCalendarAdvance(Calendar,O239,NDays&amp;"D")</f>
        <v>42598</v>
      </c>
      <c r="Q239" s="81">
        <v>-3.27809205224185E-3</v>
      </c>
      <c r="R239" s="85">
        <v>-3.3637715614931452E-3</v>
      </c>
    </row>
    <row r="240" spans="14:18" x14ac:dyDescent="0.2">
      <c r="N240" s="88" t="str">
        <f t="shared" si="9"/>
        <v>1D</v>
      </c>
      <c r="O240" s="82">
        <f>_xll.qlCalendarAdvance(Calendar,O239,N240,"f",FALSE)</f>
        <v>42597</v>
      </c>
      <c r="P240" s="92">
        <f>_xll.qlCalendarAdvance(Calendar,O240,NDays&amp;"D")</f>
        <v>42599</v>
      </c>
      <c r="Q240" s="81">
        <v>-3.2644922243564201E-3</v>
      </c>
      <c r="R240" s="85">
        <v>-3.3511750853643107E-3</v>
      </c>
    </row>
    <row r="241" spans="14:18" x14ac:dyDescent="0.2">
      <c r="N241" s="88" t="str">
        <f t="shared" si="9"/>
        <v>1D</v>
      </c>
      <c r="O241" s="82">
        <f>_xll.qlCalendarAdvance(Calendar,O240,N241,"f",FALSE)</f>
        <v>42598</v>
      </c>
      <c r="P241" s="92">
        <f>_xll.qlCalendarAdvance(Calendar,O241,NDays&amp;"D")</f>
        <v>42600</v>
      </c>
      <c r="Q241" s="81">
        <v>-3.261225635888404E-3</v>
      </c>
      <c r="R241" s="85">
        <v>-3.3385325447765624E-3</v>
      </c>
    </row>
    <row r="242" spans="14:18" x14ac:dyDescent="0.2">
      <c r="N242" s="88" t="str">
        <f t="shared" si="9"/>
        <v>1D</v>
      </c>
      <c r="O242" s="82">
        <f>_xll.qlCalendarAdvance(Calendar,O241,N242,"f",FALSE)</f>
        <v>42599</v>
      </c>
      <c r="P242" s="92">
        <f>_xll.qlCalendarAdvance(Calendar,O242,NDays&amp;"D")</f>
        <v>42601</v>
      </c>
      <c r="Q242" s="81">
        <v>-3.2579481444535816E-3</v>
      </c>
      <c r="R242" s="85">
        <v>-3.3321414485243395E-3</v>
      </c>
    </row>
    <row r="243" spans="14:18" x14ac:dyDescent="0.2">
      <c r="N243" s="88" t="str">
        <f t="shared" si="9"/>
        <v>1D</v>
      </c>
      <c r="O243" s="82">
        <f>_xll.qlCalendarAdvance(Calendar,O242,N243,"f",FALSE)</f>
        <v>42600</v>
      </c>
      <c r="P243" s="92">
        <f>_xll.qlCalendarAdvance(Calendar,O243,NDays&amp;"D")</f>
        <v>42604</v>
      </c>
      <c r="Q243" s="81">
        <v>-3.2375114498988684E-3</v>
      </c>
      <c r="R243" s="85">
        <v>-3.3257178152990008E-3</v>
      </c>
    </row>
    <row r="244" spans="14:18" x14ac:dyDescent="0.2">
      <c r="N244" s="88" t="str">
        <f t="shared" si="9"/>
        <v>1D</v>
      </c>
      <c r="O244" s="82">
        <f>_xll.qlCalendarAdvance(Calendar,O243,N244,"f",FALSE)</f>
        <v>42601</v>
      </c>
      <c r="P244" s="92">
        <f>_xll.qlCalendarAdvance(Calendar,O244,NDays&amp;"D")</f>
        <v>42605</v>
      </c>
      <c r="Q244" s="81">
        <v>-3.2306341543903061E-3</v>
      </c>
      <c r="R244" s="85">
        <v>-3.3192616452604184E-3</v>
      </c>
    </row>
    <row r="245" spans="14:18" x14ac:dyDescent="0.2">
      <c r="N245" s="88" t="str">
        <f t="shared" si="9"/>
        <v>1D</v>
      </c>
      <c r="O245" s="82">
        <f>_xll.qlCalendarAdvance(Calendar,O244,N245,"f",FALSE)</f>
        <v>42604</v>
      </c>
      <c r="P245" s="92">
        <f>_xll.qlCalendarAdvance(Calendar,O245,NDays&amp;"D")</f>
        <v>42606</v>
      </c>
      <c r="Q245" s="81">
        <v>-3.2165797412118317E-3</v>
      </c>
      <c r="R245" s="85">
        <v>-3.3062104844949758E-3</v>
      </c>
    </row>
    <row r="246" spans="14:18" x14ac:dyDescent="0.2">
      <c r="N246" s="88" t="str">
        <f t="shared" si="9"/>
        <v>1D</v>
      </c>
      <c r="O246" s="82">
        <f>_xll.qlCalendarAdvance(Calendar,O245,N246,"f",FALSE)</f>
        <v>42605</v>
      </c>
      <c r="P246" s="92">
        <f>_xll.qlCalendarAdvance(Calendar,O246,NDays&amp;"D")</f>
        <v>42607</v>
      </c>
      <c r="Q246" s="81">
        <v>-3.2131988602657202E-3</v>
      </c>
      <c r="R246" s="85">
        <v>-3.2931115963341639E-3</v>
      </c>
    </row>
    <row r="247" spans="14:18" x14ac:dyDescent="0.2">
      <c r="N247" s="88" t="str">
        <f t="shared" si="9"/>
        <v>1D</v>
      </c>
      <c r="O247" s="82">
        <f>_xll.qlCalendarAdvance(Calendar,O246,N247,"f",FALSE)</f>
        <v>42606</v>
      </c>
      <c r="P247" s="92">
        <f>_xll.qlCalendarAdvance(Calendar,O247,NDays&amp;"D")</f>
        <v>42608</v>
      </c>
      <c r="Q247" s="81">
        <v>-3.2098070750749461E-3</v>
      </c>
      <c r="R247" s="85">
        <v>-3.286492741909619E-3</v>
      </c>
    </row>
    <row r="248" spans="14:18" x14ac:dyDescent="0.2">
      <c r="N248" s="88" t="str">
        <f t="shared" si="9"/>
        <v>1D</v>
      </c>
      <c r="O248" s="82">
        <f>_xll.qlCalendarAdvance(Calendar,O247,N248,"f",FALSE)</f>
        <v>42607</v>
      </c>
      <c r="P248" s="92">
        <f>_xll.qlCalendarAdvance(Calendar,O248,NDays&amp;"D")</f>
        <v>42611</v>
      </c>
      <c r="Q248" s="81">
        <v>-3.1886872053547618E-3</v>
      </c>
      <c r="R248" s="85">
        <v>-3.2798413506718305E-3</v>
      </c>
    </row>
    <row r="249" spans="14:18" x14ac:dyDescent="0.2">
      <c r="N249" s="88" t="str">
        <f t="shared" si="9"/>
        <v>1D</v>
      </c>
      <c r="O249" s="82">
        <f>_xll.qlCalendarAdvance(Calendar,O248,N249,"f",FALSE)</f>
        <v>42608</v>
      </c>
      <c r="P249" s="92">
        <f>_xll.qlCalendarAdvance(Calendar,O249,NDays&amp;"D")</f>
        <v>42612</v>
      </c>
      <c r="Q249" s="81">
        <v>-3.1815822697046242E-3</v>
      </c>
      <c r="R249" s="85">
        <v>-3.2731574224209581E-3</v>
      </c>
    </row>
    <row r="250" spans="14:18" x14ac:dyDescent="0.2">
      <c r="N250" s="88" t="str">
        <f t="shared" si="9"/>
        <v>1D</v>
      </c>
      <c r="O250" s="82">
        <f>_xll.qlCalendarAdvance(Calendar,O249,N250,"f",FALSE)</f>
        <v>42611</v>
      </c>
      <c r="P250" s="92">
        <f>_xll.qlCalendarAdvance(Calendar,O250,NDays&amp;"D")</f>
        <v>42613</v>
      </c>
      <c r="Q250" s="81">
        <v>-3.1781142674347507E-3</v>
      </c>
      <c r="R250" s="85">
        <v>-3.2596515946714533E-3</v>
      </c>
    </row>
    <row r="251" spans="14:18" x14ac:dyDescent="0.2">
      <c r="N251" s="88" t="str">
        <f t="shared" si="9"/>
        <v>1D</v>
      </c>
      <c r="O251" s="82">
        <f>_xll.qlCalendarAdvance(Calendar,O250,N251,"f",FALSE)</f>
        <v>42612</v>
      </c>
      <c r="P251" s="92">
        <f>_xll.qlCalendarAdvance(Calendar,O251,NDays&amp;"D")</f>
        <v>42614</v>
      </c>
      <c r="Q251" s="81">
        <v>-3.1635833279468339E-3</v>
      </c>
      <c r="R251" s="85">
        <v>-3.2460963410052557E-3</v>
      </c>
    </row>
    <row r="252" spans="14:18" x14ac:dyDescent="0.2">
      <c r="N252" s="88" t="str">
        <f t="shared" si="9"/>
        <v>1D</v>
      </c>
      <c r="O252" s="82">
        <f>_xll.qlCalendarAdvance(Calendar,O251,N252,"f",FALSE)</f>
        <v>42613</v>
      </c>
      <c r="P252" s="92">
        <f>_xll.qlCalendarAdvance(Calendar,O252,NDays&amp;"D")</f>
        <v>42615</v>
      </c>
      <c r="Q252" s="81">
        <v>-3.1600774114904522E-3</v>
      </c>
      <c r="R252" s="85">
        <v>-3.2392497284883248E-3</v>
      </c>
    </row>
    <row r="253" spans="14:18" x14ac:dyDescent="0.2">
      <c r="N253" s="88" t="str">
        <f t="shared" si="9"/>
        <v>1D</v>
      </c>
      <c r="O253" s="82">
        <f>_xll.qlCalendarAdvance(Calendar,O252,N253,"f",FALSE)</f>
        <v>42614</v>
      </c>
      <c r="P253" s="92">
        <f>_xll.qlCalendarAdvance(Calendar,O253,NDays&amp;"D")</f>
        <v>42618</v>
      </c>
      <c r="Q253" s="81">
        <v>-3.1420385707421339E-3</v>
      </c>
      <c r="R253" s="85">
        <v>-3.2323705789583101E-3</v>
      </c>
    </row>
    <row r="254" spans="14:18" x14ac:dyDescent="0.2">
      <c r="N254" s="88" t="str">
        <f t="shared" si="9"/>
        <v>1D</v>
      </c>
      <c r="O254" s="82">
        <f>_xll.qlCalendarAdvance(Calendar,O253,N254,"f",FALSE)</f>
        <v>42615</v>
      </c>
      <c r="P254" s="92">
        <f>_xll.qlCalendarAdvance(Calendar,O254,NDays&amp;"D")</f>
        <v>42619</v>
      </c>
      <c r="Q254" s="81">
        <v>-3.1347332744728895E-3</v>
      </c>
      <c r="R254" s="85">
        <v>-3.2254588926150518E-3</v>
      </c>
    </row>
    <row r="255" spans="14:18" x14ac:dyDescent="0.2">
      <c r="N255" s="88" t="str">
        <f t="shared" si="9"/>
        <v>1D</v>
      </c>
      <c r="O255" s="82">
        <f>_xll.qlCalendarAdvance(Calendar,O254,N255,"f",FALSE)</f>
        <v>42618</v>
      </c>
      <c r="P255" s="92">
        <f>_xll.qlCalendarAdvance(Calendar,O255,NDays&amp;"D")</f>
        <v>42620</v>
      </c>
      <c r="Q255" s="81">
        <v>-3.1273991660549783E-3</v>
      </c>
      <c r="R255" s="85">
        <v>-3.2114984140019232E-3</v>
      </c>
    </row>
    <row r="256" spans="14:18" x14ac:dyDescent="0.2">
      <c r="N256" s="88" t="str">
        <f t="shared" si="9"/>
        <v>1D</v>
      </c>
      <c r="O256" s="82">
        <f>_xll.qlCalendarAdvance(Calendar,O255,N256,"f",FALSE)</f>
        <v>42619</v>
      </c>
      <c r="P256" s="92">
        <f>_xll.qlCalendarAdvance(Calendar,O256,NDays&amp;"D")</f>
        <v>42621</v>
      </c>
      <c r="Q256" s="81">
        <v>-3.112473616231487E-3</v>
      </c>
      <c r="R256" s="85">
        <v>-3.1974867782302852E-3</v>
      </c>
    </row>
    <row r="257" spans="14:18" x14ac:dyDescent="0.2">
      <c r="N257" s="88" t="str">
        <f t="shared" si="9"/>
        <v>1D</v>
      </c>
      <c r="O257" s="82">
        <f>_xll.qlCalendarAdvance(Calendar,O256,N257,"f",FALSE)</f>
        <v>42620</v>
      </c>
      <c r="P257" s="92">
        <f>_xll.qlCalendarAdvance(Calendar,O257,NDays&amp;"D")</f>
        <v>42622</v>
      </c>
      <c r="Q257" s="81">
        <v>-3.108856784034884E-3</v>
      </c>
      <c r="R257" s="85">
        <v>-3.1904124074610962E-3</v>
      </c>
    </row>
    <row r="258" spans="14:18" x14ac:dyDescent="0.2">
      <c r="N258" s="88" t="str">
        <f t="shared" si="9"/>
        <v>1D</v>
      </c>
      <c r="O258" s="82">
        <f>_xll.qlCalendarAdvance(Calendar,O257,N258,"f",FALSE)</f>
        <v>42621</v>
      </c>
      <c r="P258" s="92">
        <f>_xll.qlCalendarAdvance(Calendar,O258,NDays&amp;"D")</f>
        <v>42625</v>
      </c>
      <c r="Q258" s="81">
        <v>-3.0903150443148952E-3</v>
      </c>
      <c r="R258" s="85">
        <v>-3.1833054996788235E-3</v>
      </c>
    </row>
    <row r="259" spans="14:18" x14ac:dyDescent="0.2">
      <c r="N259" s="88" t="str">
        <f t="shared" si="9"/>
        <v>1D</v>
      </c>
      <c r="O259" s="82">
        <f>_xll.qlCalendarAdvance(Calendar,O258,N259,"f",FALSE)</f>
        <v>42622</v>
      </c>
      <c r="P259" s="92">
        <f>_xll.qlCalendarAdvance(Calendar,O259,NDays&amp;"D")</f>
        <v>42626</v>
      </c>
      <c r="Q259" s="81">
        <v>-3.0828192245646591E-3</v>
      </c>
      <c r="R259" s="85">
        <v>-3.176166055043339E-3</v>
      </c>
    </row>
    <row r="260" spans="14:18" x14ac:dyDescent="0.2">
      <c r="N260" s="88" t="str">
        <f t="shared" si="9"/>
        <v>1D</v>
      </c>
      <c r="O260" s="82">
        <f>_xll.qlCalendarAdvance(Calendar,O259,N260,"f",FALSE)</f>
        <v>42625</v>
      </c>
      <c r="P260" s="92">
        <f>_xll.qlCalendarAdvance(Calendar,O260,NDays&amp;"D")</f>
        <v>42627</v>
      </c>
      <c r="Q260" s="81">
        <v>-3.0752983131923095E-3</v>
      </c>
      <c r="R260" s="85">
        <v>-3.1617509405013067E-3</v>
      </c>
    </row>
    <row r="261" spans="14:18" x14ac:dyDescent="0.2">
      <c r="N261" s="88" t="str">
        <f t="shared" si="9"/>
        <v>1D</v>
      </c>
      <c r="O261" s="82">
        <f>_xll.qlCalendarAdvance(Calendar,O260,N261,"f",FALSE)</f>
        <v>42626</v>
      </c>
      <c r="P261" s="92">
        <f>_xll.qlCalendarAdvance(Calendar,O261,NDays&amp;"D")</f>
        <v>42628</v>
      </c>
      <c r="Q261" s="81">
        <v>-3.0600383878821857E-3</v>
      </c>
      <c r="R261" s="85">
        <v>-3.1472829074097319E-3</v>
      </c>
    </row>
    <row r="262" spans="14:18" x14ac:dyDescent="0.2">
      <c r="N262" s="88" t="str">
        <f t="shared" si="9"/>
        <v>1D</v>
      </c>
      <c r="O262" s="82">
        <f>_xll.qlCalendarAdvance(Calendar,O261,N262,"f",FALSE)</f>
        <v>42627</v>
      </c>
      <c r="P262" s="92">
        <f>_xll.qlCalendarAdvance(Calendar,O262,NDays&amp;"D")</f>
        <v>42629</v>
      </c>
      <c r="Q262" s="81">
        <v>-3.0563192990401733E-3</v>
      </c>
      <c r="R262" s="85">
        <v>-3.1399807781884448E-3</v>
      </c>
    </row>
    <row r="263" spans="14:18" x14ac:dyDescent="0.2">
      <c r="N263" s="88" t="str">
        <f t="shared" si="9"/>
        <v>1D</v>
      </c>
      <c r="O263" s="82">
        <f>_xll.qlCalendarAdvance(Calendar,O262,N263,"f",FALSE)</f>
        <v>42628</v>
      </c>
      <c r="P263" s="92">
        <f>_xll.qlCalendarAdvance(Calendar,O263,NDays&amp;"D")</f>
        <v>42632</v>
      </c>
      <c r="Q263" s="81">
        <v>-3.0373359848780979E-3</v>
      </c>
      <c r="R263" s="85">
        <v>-3.1326461121139459E-3</v>
      </c>
    </row>
    <row r="264" spans="14:18" x14ac:dyDescent="0.2">
      <c r="N264" s="88" t="str">
        <f t="shared" si="9"/>
        <v>1D</v>
      </c>
      <c r="O264" s="82">
        <f>_xll.qlCalendarAdvance(Calendar,O263,N264,"f",FALSE)</f>
        <v>42629</v>
      </c>
      <c r="P264" s="92">
        <f>_xll.qlCalendarAdvance(Calendar,O264,NDays&amp;"D")</f>
        <v>42633</v>
      </c>
      <c r="Q264" s="81">
        <v>-3.0296756855112683E-3</v>
      </c>
      <c r="R264" s="85">
        <v>-3.1252789090663313E-3</v>
      </c>
    </row>
    <row r="265" spans="14:18" x14ac:dyDescent="0.2">
      <c r="N265" s="88" t="str">
        <f t="shared" si="9"/>
        <v>1D</v>
      </c>
      <c r="O265" s="82">
        <f>_xll.qlCalendarAdvance(Calendar,O264,N265,"f",FALSE)</f>
        <v>42632</v>
      </c>
      <c r="P265" s="92">
        <f>_xll.qlCalendarAdvance(Calendar,O265,NDays&amp;"D")</f>
        <v>42634</v>
      </c>
      <c r="Q265" s="81">
        <v>-3.0219940151061664E-3</v>
      </c>
      <c r="R265" s="85">
        <v>-3.1104091722777838E-3</v>
      </c>
    </row>
    <row r="266" spans="14:18" x14ac:dyDescent="0.2">
      <c r="N266" s="88" t="str">
        <f t="shared" si="9"/>
        <v>1D</v>
      </c>
      <c r="O266" s="82">
        <f>_xll.qlCalendarAdvance(Calendar,O265,N266,"f",FALSE)</f>
        <v>42633</v>
      </c>
      <c r="P266" s="92">
        <f>_xll.qlCalendarAdvance(Calendar,O266,NDays&amp;"D")</f>
        <v>42635</v>
      </c>
      <c r="Q266" s="81">
        <v>-3.0064485507717842E-3</v>
      </c>
      <c r="R266" s="85">
        <v>-3.0954847277442354E-3</v>
      </c>
    </row>
    <row r="267" spans="14:18" x14ac:dyDescent="0.2">
      <c r="N267" s="88" t="str">
        <f t="shared" si="9"/>
        <v>1D</v>
      </c>
      <c r="O267" s="82">
        <f>_xll.qlCalendarAdvance(Calendar,O266,N267,"f",FALSE)</f>
        <v>42634</v>
      </c>
      <c r="P267" s="92">
        <f>_xll.qlCalendarAdvance(Calendar,O267,NDays&amp;"D")</f>
        <v>42636</v>
      </c>
      <c r="Q267" s="81">
        <v>-3.0026413803302576E-3</v>
      </c>
      <c r="R267" s="85">
        <v>-3.0879548401507861E-3</v>
      </c>
    </row>
    <row r="268" spans="14:18" x14ac:dyDescent="0.2">
      <c r="N268" s="88" t="str">
        <f t="shared" si="9"/>
        <v>1D</v>
      </c>
      <c r="O268" s="82">
        <f>_xll.qlCalendarAdvance(Calendar,O267,N268,"f",FALSE)</f>
        <v>42635</v>
      </c>
      <c r="P268" s="92">
        <f>_xll.qlCalendarAdvance(Calendar,O268,NDays&amp;"D")</f>
        <v>42639</v>
      </c>
      <c r="Q268" s="81">
        <v>-2.9832837007082169E-3</v>
      </c>
      <c r="R268" s="85">
        <v>-3.080392415504285E-3</v>
      </c>
    </row>
    <row r="269" spans="14:18" x14ac:dyDescent="0.2">
      <c r="N269" s="88" t="str">
        <f t="shared" si="9"/>
        <v>1D</v>
      </c>
      <c r="O269" s="82">
        <f>_xll.qlCalendarAdvance(Calendar,O268,N269,"f",FALSE)</f>
        <v>42636</v>
      </c>
      <c r="P269" s="92">
        <f>_xll.qlCalendarAdvance(Calendar,O269,NDays&amp;"D")</f>
        <v>42640</v>
      </c>
      <c r="Q269" s="81">
        <v>-2.9754849659981986E-3</v>
      </c>
      <c r="R269" s="85">
        <v>-3.0728001124780135E-3</v>
      </c>
    </row>
    <row r="270" spans="14:18" x14ac:dyDescent="0.2">
      <c r="N270" s="88" t="str">
        <f t="shared" si="9"/>
        <v>1D</v>
      </c>
      <c r="O270" s="82">
        <f>_xll.qlCalendarAdvance(Calendar,O269,N270,"f",FALSE)</f>
        <v>42639</v>
      </c>
      <c r="P270" s="92">
        <f>_xll.qlCalendarAdvance(Calendar,O270,NDays&amp;"D")</f>
        <v>42641</v>
      </c>
      <c r="Q270" s="81">
        <v>-2.96766858089903E-3</v>
      </c>
      <c r="R270" s="85">
        <v>-3.0575289334500155E-3</v>
      </c>
    </row>
    <row r="271" spans="14:18" x14ac:dyDescent="0.2">
      <c r="N271" s="88" t="str">
        <f t="shared" si="9"/>
        <v>1D</v>
      </c>
      <c r="O271" s="82">
        <f>_xll.qlCalendarAdvance(Calendar,O270,N271,"f",FALSE)</f>
        <v>42640</v>
      </c>
      <c r="P271" s="92">
        <f>_xll.qlCalendarAdvance(Calendar,O271,NDays&amp;"D")</f>
        <v>42642</v>
      </c>
      <c r="Q271" s="81">
        <v>-2.9518750156445894E-3</v>
      </c>
      <c r="R271" s="85">
        <v>-3.0422544032360221E-3</v>
      </c>
    </row>
    <row r="272" spans="14:18" x14ac:dyDescent="0.2">
      <c r="N272" s="88" t="str">
        <f t="shared" si="9"/>
        <v>1D</v>
      </c>
      <c r="O272" s="82">
        <f>_xll.qlCalendarAdvance(Calendar,O271,N272,"f",FALSE)</f>
        <v>42641</v>
      </c>
      <c r="P272" s="92">
        <f>_xll.qlCalendarAdvance(Calendar,O272,NDays&amp;"D")</f>
        <v>42643</v>
      </c>
      <c r="Q272" s="81">
        <v>-2.9479993688817964E-3</v>
      </c>
      <c r="R272" s="85">
        <v>-3.0345765101547073E-3</v>
      </c>
    </row>
    <row r="273" spans="14:18" x14ac:dyDescent="0.2">
      <c r="N273" s="88" t="str">
        <f t="shared" si="9"/>
        <v>1D</v>
      </c>
      <c r="O273" s="82">
        <f>_xll.qlCalendarAdvance(Calendar,O272,N273,"f",FALSE)</f>
        <v>42642</v>
      </c>
      <c r="P273" s="92">
        <f>_xll.qlCalendarAdvance(Calendar,O273,NDays&amp;"D")</f>
        <v>42646</v>
      </c>
      <c r="Q273" s="81">
        <v>-2.924324616768224E-3</v>
      </c>
      <c r="R273" s="85">
        <v>-3.0268820307410849E-3</v>
      </c>
    </row>
    <row r="274" spans="14:18" x14ac:dyDescent="0.2">
      <c r="N274" s="88" t="str">
        <f t="shared" si="9"/>
        <v>1D</v>
      </c>
      <c r="O274" s="82">
        <f>_xll.qlCalendarAdvance(Calendar,O273,N274,"f",FALSE)</f>
        <v>42643</v>
      </c>
      <c r="P274" s="92">
        <f>_xll.qlCalendarAdvance(Calendar,O274,NDays&amp;"D")</f>
        <v>42647</v>
      </c>
      <c r="Q274" s="81">
        <v>-2.9163998577347128E-3</v>
      </c>
      <c r="R274" s="85">
        <v>-3.0191709649951548E-3</v>
      </c>
    </row>
    <row r="275" spans="14:18" x14ac:dyDescent="0.2">
      <c r="N275" s="88" t="str">
        <f t="shared" si="9"/>
        <v>1D</v>
      </c>
      <c r="O275" s="82">
        <f>_xll.qlCalendarAdvance(Calendar,O274,N275,"f",FALSE)</f>
        <v>42646</v>
      </c>
      <c r="P275" s="92">
        <f>_xll.qlCalendarAdvance(Calendar,O275,NDays&amp;"D")</f>
        <v>42648</v>
      </c>
      <c r="Q275" s="81">
        <v>-2.9003887692115949E-3</v>
      </c>
      <c r="R275" s="85">
        <v>-3.0036684842293937E-3</v>
      </c>
    </row>
    <row r="276" spans="14:18" x14ac:dyDescent="0.2">
      <c r="N276" s="88" t="str">
        <f t="shared" si="9"/>
        <v>1D</v>
      </c>
      <c r="O276" s="82">
        <f>_xll.qlCalendarAdvance(Calendar,O275,N276,"f",FALSE)</f>
        <v>42647</v>
      </c>
      <c r="P276" s="92">
        <f>_xll.qlCalendarAdvance(Calendar,O276,NDays&amp;"D")</f>
        <v>42649</v>
      </c>
      <c r="Q276" s="81">
        <v>-2.8964602082430513E-3</v>
      </c>
      <c r="R276" s="85">
        <v>-2.9881608386483904E-3</v>
      </c>
    </row>
    <row r="277" spans="14:18" x14ac:dyDescent="0.2">
      <c r="N277" s="88" t="str">
        <f t="shared" ref="N277:N340" si="10">N276</f>
        <v>1D</v>
      </c>
      <c r="O277" s="82">
        <f>_xll.qlCalendarAdvance(Calendar,O276,N277,"f",FALSE)</f>
        <v>42648</v>
      </c>
      <c r="P277" s="92">
        <f>_xll.qlCalendarAdvance(Calendar,O277,NDays&amp;"D")</f>
        <v>42650</v>
      </c>
      <c r="Q277" s="81">
        <v>-2.8925260551534186E-3</v>
      </c>
      <c r="R277" s="85">
        <v>-2.9803668412808904E-3</v>
      </c>
    </row>
    <row r="278" spans="14:18" x14ac:dyDescent="0.2">
      <c r="N278" s="88" t="str">
        <f t="shared" si="10"/>
        <v>1D</v>
      </c>
      <c r="O278" s="82">
        <f>_xll.qlCalendarAdvance(Calendar,O277,N278,"f",FALSE)</f>
        <v>42649</v>
      </c>
      <c r="P278" s="92">
        <f>_xll.qlCalendarAdvance(Calendar,O278,NDays&amp;"D")</f>
        <v>42653</v>
      </c>
      <c r="Q278" s="81">
        <v>-2.8685029636515442E-3</v>
      </c>
      <c r="R278" s="85">
        <v>-2.9725562575011466E-3</v>
      </c>
    </row>
    <row r="279" spans="14:18" x14ac:dyDescent="0.2">
      <c r="N279" s="88" t="str">
        <f t="shared" si="10"/>
        <v>1D</v>
      </c>
      <c r="O279" s="82">
        <f>_xll.qlCalendarAdvance(Calendar,O278,N279,"f",FALSE)</f>
        <v>42650</v>
      </c>
      <c r="P279" s="92">
        <f>_xll.qlCalendarAdvance(Calendar,O279,NDays&amp;"D")</f>
        <v>42654</v>
      </c>
      <c r="Q279" s="81">
        <v>-2.860462091006404E-3</v>
      </c>
      <c r="R279" s="85">
        <v>-2.9647290874290633E-3</v>
      </c>
    </row>
    <row r="280" spans="14:18" x14ac:dyDescent="0.2">
      <c r="N280" s="88" t="str">
        <f t="shared" si="10"/>
        <v>1D</v>
      </c>
      <c r="O280" s="82">
        <f>_xll.qlCalendarAdvance(Calendar,O279,N280,"f",FALSE)</f>
        <v>42653</v>
      </c>
      <c r="P280" s="92">
        <f>_xll.qlCalendarAdvance(Calendar,O280,NDays&amp;"D")</f>
        <v>42655</v>
      </c>
      <c r="Q280" s="81">
        <v>-2.8442196705496577E-3</v>
      </c>
      <c r="R280" s="85">
        <v>-2.9489953020744863E-3</v>
      </c>
    </row>
    <row r="281" spans="14:18" x14ac:dyDescent="0.2">
      <c r="N281" s="88" t="str">
        <f t="shared" si="10"/>
        <v>1D</v>
      </c>
      <c r="O281" s="82">
        <f>_xll.qlCalendarAdvance(Calendar,O280,N281,"f",FALSE)</f>
        <v>42654</v>
      </c>
      <c r="P281" s="92">
        <f>_xll.qlCalendarAdvance(Calendar,O281,NDays&amp;"D")</f>
        <v>42656</v>
      </c>
      <c r="Q281" s="81">
        <v>-2.8402326042939463E-3</v>
      </c>
      <c r="R281" s="85">
        <v>-2.9332545437776858E-3</v>
      </c>
    </row>
    <row r="282" spans="14:18" x14ac:dyDescent="0.2">
      <c r="N282" s="88" t="str">
        <f t="shared" si="10"/>
        <v>1D</v>
      </c>
      <c r="O282" s="82">
        <f>_xll.qlCalendarAdvance(Calendar,O281,N282,"f",FALSE)</f>
        <v>42655</v>
      </c>
      <c r="P282" s="92">
        <f>_xll.qlCalendarAdvance(Calendar,O282,NDays&amp;"D")</f>
        <v>42657</v>
      </c>
      <c r="Q282" s="81">
        <v>-2.8362399461616889E-3</v>
      </c>
      <c r="R282" s="85">
        <v>-2.9253444420440644E-3</v>
      </c>
    </row>
    <row r="283" spans="14:18" x14ac:dyDescent="0.2">
      <c r="N283" s="88" t="str">
        <f t="shared" si="10"/>
        <v>1D</v>
      </c>
      <c r="O283" s="82">
        <f>_xll.qlCalendarAdvance(Calendar,O282,N283,"f",FALSE)</f>
        <v>42656</v>
      </c>
      <c r="P283" s="92">
        <f>_xll.qlCalendarAdvance(Calendar,O283,NDays&amp;"D")</f>
        <v>42660</v>
      </c>
      <c r="Q283" s="81">
        <v>-2.8118685102239372E-3</v>
      </c>
      <c r="R283" s="85">
        <v>-2.9174177539781354E-3</v>
      </c>
    </row>
    <row r="284" spans="14:18" x14ac:dyDescent="0.2">
      <c r="N284" s="88" t="str">
        <f t="shared" si="10"/>
        <v>1D</v>
      </c>
      <c r="O284" s="82">
        <f>_xll.qlCalendarAdvance(Calendar,O283,N284,"f",FALSE)</f>
        <v>42657</v>
      </c>
      <c r="P284" s="92">
        <f>_xll.qlCalendarAdvance(Calendar,O284,NDays&amp;"D")</f>
        <v>42661</v>
      </c>
      <c r="Q284" s="81">
        <v>-2.8037115222833537E-3</v>
      </c>
      <c r="R284" s="85">
        <v>-2.9094744794599947E-3</v>
      </c>
    </row>
    <row r="285" spans="14:18" x14ac:dyDescent="0.2">
      <c r="N285" s="88" t="str">
        <f t="shared" si="10"/>
        <v>1D</v>
      </c>
      <c r="O285" s="82">
        <f>_xll.qlCalendarAdvance(Calendar,O284,N285,"f",FALSE)</f>
        <v>42660</v>
      </c>
      <c r="P285" s="92">
        <f>_xll.qlCalendarAdvance(Calendar,O285,NDays&amp;"D")</f>
        <v>42662</v>
      </c>
      <c r="Q285" s="81">
        <v>-2.7872377615583751E-3</v>
      </c>
      <c r="R285" s="85">
        <v>-2.8935093859061567E-3</v>
      </c>
    </row>
    <row r="286" spans="14:18" x14ac:dyDescent="0.2">
      <c r="N286" s="88" t="str">
        <f t="shared" si="10"/>
        <v>1D</v>
      </c>
      <c r="O286" s="82">
        <f>_xll.qlCalendarAdvance(Calendar,O285,N286,"f",FALSE)</f>
        <v>42661</v>
      </c>
      <c r="P286" s="92">
        <f>_xll.qlCalendarAdvance(Calendar,O286,NDays&amp;"D")</f>
        <v>42663</v>
      </c>
      <c r="Q286" s="81">
        <v>-2.7831921916120217E-3</v>
      </c>
      <c r="R286" s="85">
        <v>-2.877535518304164E-3</v>
      </c>
    </row>
    <row r="287" spans="14:18" x14ac:dyDescent="0.2">
      <c r="N287" s="88" t="str">
        <f t="shared" si="10"/>
        <v>1D</v>
      </c>
      <c r="O287" s="82">
        <f>_xll.qlCalendarAdvance(Calendar,O286,N287,"f",FALSE)</f>
        <v>42662</v>
      </c>
      <c r="P287" s="92">
        <f>_xll.qlCalendarAdvance(Calendar,O287,NDays&amp;"D")</f>
        <v>42664</v>
      </c>
      <c r="Q287" s="81">
        <v>-2.7791410300902521E-3</v>
      </c>
      <c r="R287" s="85">
        <v>-2.8695093122044213E-3</v>
      </c>
    </row>
    <row r="288" spans="14:18" x14ac:dyDescent="0.2">
      <c r="N288" s="88" t="str">
        <f t="shared" si="10"/>
        <v>1D</v>
      </c>
      <c r="O288" s="82">
        <f>_xll.qlCalendarAdvance(Calendar,O287,N288,"f",FALSE)</f>
        <v>42663</v>
      </c>
      <c r="P288" s="92">
        <f>_xll.qlCalendarAdvance(Calendar,O288,NDays&amp;"D")</f>
        <v>42667</v>
      </c>
      <c r="Q288" s="81">
        <v>-2.7544212445994266E-3</v>
      </c>
      <c r="R288" s="85">
        <v>-2.8614665196524669E-3</v>
      </c>
    </row>
    <row r="289" spans="14:18" x14ac:dyDescent="0.2">
      <c r="N289" s="88" t="str">
        <f t="shared" si="10"/>
        <v>1D</v>
      </c>
      <c r="O289" s="82">
        <f>_xll.qlCalendarAdvance(Calendar,O288,N289,"f",FALSE)</f>
        <v>42664</v>
      </c>
      <c r="P289" s="92">
        <f>_xll.qlCalendarAdvance(Calendar,O289,NDays&amp;"D")</f>
        <v>42668</v>
      </c>
      <c r="Q289" s="81">
        <v>-2.7461481396499317E-3</v>
      </c>
      <c r="R289" s="85">
        <v>-2.8534071408081729E-3</v>
      </c>
    </row>
    <row r="290" spans="14:18" x14ac:dyDescent="0.2">
      <c r="N290" s="88" t="str">
        <f t="shared" si="10"/>
        <v>1D</v>
      </c>
      <c r="O290" s="82">
        <f>_xll.qlCalendarAdvance(Calendar,O289,N290,"f",FALSE)</f>
        <v>42667</v>
      </c>
      <c r="P290" s="92">
        <f>_xll.qlCalendarAdvance(Calendar,O290,NDays&amp;"D")</f>
        <v>42669</v>
      </c>
      <c r="Q290" s="81">
        <v>-2.7294430294940017E-3</v>
      </c>
      <c r="R290" s="85">
        <v>-2.8372107345786546E-3</v>
      </c>
    </row>
    <row r="291" spans="14:18" x14ac:dyDescent="0.2">
      <c r="N291" s="88" t="str">
        <f t="shared" si="10"/>
        <v>1D</v>
      </c>
      <c r="O291" s="82">
        <f>_xll.qlCalendarAdvance(Calendar,O290,N291,"f",FALSE)</f>
        <v>42668</v>
      </c>
      <c r="P291" s="92">
        <f>_xll.qlCalendarAdvance(Calendar,O291,NDays&amp;"D")</f>
        <v>42670</v>
      </c>
      <c r="Q291" s="81">
        <v>-2.7253389578334175E-3</v>
      </c>
      <c r="R291" s="85">
        <v>-2.8210037618681127E-3</v>
      </c>
    </row>
    <row r="292" spans="14:18" x14ac:dyDescent="0.2">
      <c r="N292" s="88" t="str">
        <f t="shared" si="10"/>
        <v>1D</v>
      </c>
      <c r="O292" s="82">
        <f>_xll.qlCalendarAdvance(Calendar,O291,N292,"f",FALSE)</f>
        <v>42669</v>
      </c>
      <c r="P292" s="92">
        <f>_xll.qlCalendarAdvance(Calendar,O292,NDays&amp;"D")</f>
        <v>42671</v>
      </c>
      <c r="Q292" s="81">
        <v>-2.7212292949435435E-3</v>
      </c>
      <c r="R292" s="85">
        <v>-2.8128614512423766E-3</v>
      </c>
    </row>
    <row r="293" spans="14:18" x14ac:dyDescent="0.2">
      <c r="N293" s="88" t="str">
        <f t="shared" si="10"/>
        <v>1D</v>
      </c>
      <c r="O293" s="82">
        <f>_xll.qlCalendarAdvance(Calendar,O292,N293,"f",FALSE)</f>
        <v>42670</v>
      </c>
      <c r="P293" s="92">
        <f>_xll.qlCalendarAdvance(Calendar,O293,NDays&amp;"D")</f>
        <v>42674</v>
      </c>
      <c r="Q293" s="81">
        <v>-2.700401821658982E-3</v>
      </c>
      <c r="R293" s="85">
        <v>-2.8047025542443649E-3</v>
      </c>
    </row>
    <row r="294" spans="14:18" x14ac:dyDescent="0.2">
      <c r="N294" s="88" t="str">
        <f t="shared" si="10"/>
        <v>1D</v>
      </c>
      <c r="O294" s="82">
        <f>_xll.qlCalendarAdvance(Calendar,O293,N294,"f",FALSE)</f>
        <v>42671</v>
      </c>
      <c r="P294" s="92">
        <f>_xll.qlCalendarAdvance(Calendar,O294,NDays&amp;"D")</f>
        <v>42675</v>
      </c>
      <c r="Q294" s="81">
        <v>-2.6920208294693992E-3</v>
      </c>
      <c r="R294" s="85">
        <v>-2.7965270709939816E-3</v>
      </c>
    </row>
    <row r="295" spans="14:18" x14ac:dyDescent="0.2">
      <c r="N295" s="88" t="str">
        <f t="shared" si="10"/>
        <v>1D</v>
      </c>
      <c r="O295" s="82">
        <f>_xll.qlCalendarAdvance(Calendar,O294,N295,"f",FALSE)</f>
        <v>42674</v>
      </c>
      <c r="P295" s="92">
        <f>_xll.qlCalendarAdvance(Calendar,O295,NDays&amp;"D")</f>
        <v>42676</v>
      </c>
      <c r="Q295" s="81">
        <v>-2.6836232488371969E-3</v>
      </c>
      <c r="R295" s="85">
        <v>-2.7800993468929391E-3</v>
      </c>
    </row>
    <row r="296" spans="14:18" x14ac:dyDescent="0.2">
      <c r="N296" s="88" t="str">
        <f t="shared" si="10"/>
        <v>1D</v>
      </c>
      <c r="O296" s="82">
        <f>_xll.qlCalendarAdvance(Calendar,O295,N296,"f",FALSE)</f>
        <v>42675</v>
      </c>
      <c r="P296" s="92">
        <f>_xll.qlCalendarAdvance(Calendar,O296,NDays&amp;"D")</f>
        <v>42677</v>
      </c>
      <c r="Q296" s="81">
        <v>-2.6666728904119197E-3</v>
      </c>
      <c r="R296" s="85">
        <v>-2.7636592740698518E-3</v>
      </c>
    </row>
    <row r="297" spans="14:18" x14ac:dyDescent="0.2">
      <c r="N297" s="88" t="str">
        <f t="shared" si="10"/>
        <v>1D</v>
      </c>
      <c r="O297" s="82">
        <f>_xll.qlCalendarAdvance(Calendar,O296,N297,"f",FALSE)</f>
        <v>42676</v>
      </c>
      <c r="P297" s="92">
        <f>_xll.qlCalendarAdvance(Calendar,O297,NDays&amp;"D")</f>
        <v>42678</v>
      </c>
      <c r="Q297" s="81">
        <v>-2.6625047285622565E-3</v>
      </c>
      <c r="R297" s="85">
        <v>-2.7554008588781542E-3</v>
      </c>
    </row>
    <row r="298" spans="14:18" x14ac:dyDescent="0.2">
      <c r="N298" s="88" t="str">
        <f t="shared" si="10"/>
        <v>1D</v>
      </c>
      <c r="O298" s="82">
        <f>_xll.qlCalendarAdvance(Calendar,O297,N298,"f",FALSE)</f>
        <v>42677</v>
      </c>
      <c r="P298" s="92">
        <f>_xll.qlCalendarAdvance(Calendar,O298,NDays&amp;"D")</f>
        <v>42681</v>
      </c>
      <c r="Q298" s="81">
        <v>-2.6413865177565832E-3</v>
      </c>
      <c r="R298" s="85">
        <v>-2.7471258574740531E-3</v>
      </c>
    </row>
    <row r="299" spans="14:18" x14ac:dyDescent="0.2">
      <c r="N299" s="88" t="str">
        <f t="shared" si="10"/>
        <v>1D</v>
      </c>
      <c r="O299" s="82">
        <f>_xll.qlCalendarAdvance(Calendar,O298,N299,"f",FALSE)</f>
        <v>42678</v>
      </c>
      <c r="P299" s="92">
        <f>_xll.qlCalendarAdvance(Calendar,O299,NDays&amp;"D")</f>
        <v>42682</v>
      </c>
      <c r="Q299" s="81">
        <v>-2.6328894057119356E-3</v>
      </c>
      <c r="R299" s="85">
        <v>-2.7388342694978363E-3</v>
      </c>
    </row>
    <row r="300" spans="14:18" x14ac:dyDescent="0.2">
      <c r="N300" s="88" t="str">
        <f t="shared" si="10"/>
        <v>1D</v>
      </c>
      <c r="O300" s="82">
        <f>_xll.qlCalendarAdvance(Calendar,O299,N300,"f",FALSE)</f>
        <v>42681</v>
      </c>
      <c r="P300" s="92">
        <f>_xll.qlCalendarAdvance(Calendar,O300,NDays&amp;"D")</f>
        <v>42683</v>
      </c>
      <c r="Q300" s="81">
        <v>-2.6243757049781991E-3</v>
      </c>
      <c r="R300" s="85">
        <v>-2.7221752217831963E-3</v>
      </c>
    </row>
    <row r="301" spans="14:18" x14ac:dyDescent="0.2">
      <c r="N301" s="88" t="str">
        <f t="shared" si="10"/>
        <v>1D</v>
      </c>
      <c r="O301" s="82">
        <f>_xll.qlCalendarAdvance(Calendar,O300,N301,"f",FALSE)</f>
        <v>42682</v>
      </c>
      <c r="P301" s="92">
        <f>_xll.qlCalendarAdvance(Calendar,O301,NDays&amp;"D")</f>
        <v>42684</v>
      </c>
      <c r="Q301" s="81">
        <v>-2.607193976638944E-3</v>
      </c>
      <c r="R301" s="85">
        <v>-2.7055020544297648E-3</v>
      </c>
    </row>
    <row r="302" spans="14:18" x14ac:dyDescent="0.2">
      <c r="N302" s="88" t="str">
        <f t="shared" si="10"/>
        <v>1D</v>
      </c>
      <c r="O302" s="82">
        <f>_xll.qlCalendarAdvance(Calendar,O301,N302,"f",FALSE)</f>
        <v>42683</v>
      </c>
      <c r="P302" s="92">
        <f>_xll.qlCalendarAdvance(Calendar,O302,NDays&amp;"D")</f>
        <v>42685</v>
      </c>
      <c r="Q302" s="81">
        <v>-2.6029673186220561E-3</v>
      </c>
      <c r="R302" s="85">
        <v>-2.6971275348319779E-3</v>
      </c>
    </row>
    <row r="303" spans="14:18" x14ac:dyDescent="0.2">
      <c r="N303" s="88" t="str">
        <f t="shared" si="10"/>
        <v>1D</v>
      </c>
      <c r="O303" s="82">
        <f>_xll.qlCalendarAdvance(Calendar,O302,N303,"f",FALSE)</f>
        <v>42684</v>
      </c>
      <c r="P303" s="92">
        <f>_xll.qlCalendarAdvance(Calendar,O303,NDays&amp;"D")</f>
        <v>42688</v>
      </c>
      <c r="Q303" s="81">
        <v>-2.5815583696928712E-3</v>
      </c>
      <c r="R303" s="85">
        <v>-2.6887364286620752E-3</v>
      </c>
    </row>
    <row r="304" spans="14:18" x14ac:dyDescent="0.2">
      <c r="N304" s="88" t="str">
        <f t="shared" si="10"/>
        <v>1D</v>
      </c>
      <c r="O304" s="82">
        <f>_xll.qlCalendarAdvance(Calendar,O303,N304,"f",FALSE)</f>
        <v>42685</v>
      </c>
      <c r="P304" s="92">
        <f>_xll.qlCalendarAdvance(Calendar,O304,NDays&amp;"D")</f>
        <v>42689</v>
      </c>
      <c r="Q304" s="81">
        <v>-2.5729451360678723E-3</v>
      </c>
      <c r="R304" s="85">
        <v>-2.6803287362398009E-3</v>
      </c>
    </row>
    <row r="305" spans="14:18" x14ac:dyDescent="0.2">
      <c r="N305" s="88" t="str">
        <f t="shared" si="10"/>
        <v>1D</v>
      </c>
      <c r="O305" s="82">
        <f>_xll.qlCalendarAdvance(Calendar,O304,N305,"f",FALSE)</f>
        <v>42688</v>
      </c>
      <c r="P305" s="92">
        <f>_xll.qlCalendarAdvance(Calendar,O305,NDays&amp;"D")</f>
        <v>42690</v>
      </c>
      <c r="Q305" s="81">
        <v>-2.5643153134993213E-3</v>
      </c>
      <c r="R305" s="85">
        <v>-2.6634383580104171E-3</v>
      </c>
    </row>
    <row r="306" spans="14:18" x14ac:dyDescent="0.2">
      <c r="N306" s="88" t="str">
        <f t="shared" si="10"/>
        <v>1D</v>
      </c>
      <c r="O306" s="82">
        <f>_xll.qlCalendarAdvance(Calendar,O305,N306,"f",FALSE)</f>
        <v>42689</v>
      </c>
      <c r="P306" s="92">
        <f>_xll.qlCalendarAdvance(Calendar,O306,NDays&amp;"D")</f>
        <v>42691</v>
      </c>
      <c r="Q306" s="81">
        <v>-2.5469022036210542E-3</v>
      </c>
      <c r="R306" s="85">
        <v>-2.6465321027080435E-3</v>
      </c>
    </row>
    <row r="307" spans="14:18" x14ac:dyDescent="0.2">
      <c r="N307" s="88" t="str">
        <f t="shared" si="10"/>
        <v>1D</v>
      </c>
      <c r="O307" s="82">
        <f>_xll.qlCalendarAdvance(Calendar,O306,N307,"f",FALSE)</f>
        <v>42690</v>
      </c>
      <c r="P307" s="92">
        <f>_xll.qlCalendarAdvance(Calendar,O307,NDays&amp;"D")</f>
        <v>42692</v>
      </c>
      <c r="Q307" s="81">
        <v>-2.5426170526168176E-3</v>
      </c>
      <c r="R307" s="85">
        <v>-2.6380414784243911E-3</v>
      </c>
    </row>
    <row r="308" spans="14:18" x14ac:dyDescent="0.2">
      <c r="N308" s="88" t="str">
        <f t="shared" si="10"/>
        <v>1D</v>
      </c>
      <c r="O308" s="82">
        <f>_xll.qlCalendarAdvance(Calendar,O307,N308,"f",FALSE)</f>
        <v>42691</v>
      </c>
      <c r="P308" s="92">
        <f>_xll.qlCalendarAdvance(Calendar,O308,NDays&amp;"D")</f>
        <v>42695</v>
      </c>
      <c r="Q308" s="81">
        <v>-2.5209173653135686E-3</v>
      </c>
      <c r="R308" s="85">
        <v>-2.629534267728495E-3</v>
      </c>
    </row>
    <row r="309" spans="14:18" x14ac:dyDescent="0.2">
      <c r="N309" s="88" t="str">
        <f t="shared" si="10"/>
        <v>1D</v>
      </c>
      <c r="O309" s="82">
        <f>_xll.qlCalendarAdvance(Calendar,O308,N309,"f",FALSE)</f>
        <v>42692</v>
      </c>
      <c r="P309" s="92">
        <f>_xll.qlCalendarAdvance(Calendar,O309,NDays&amp;"D")</f>
        <v>42696</v>
      </c>
      <c r="Q309" s="81">
        <v>-2.5121880083536219E-3</v>
      </c>
      <c r="R309" s="85">
        <v>-2.6210104706603232E-3</v>
      </c>
    </row>
    <row r="310" spans="14:18" x14ac:dyDescent="0.2">
      <c r="N310" s="88" t="str">
        <f t="shared" si="10"/>
        <v>1D</v>
      </c>
      <c r="O310" s="82">
        <f>_xll.qlCalendarAdvance(Calendar,O309,N310,"f",FALSE)</f>
        <v>42695</v>
      </c>
      <c r="P310" s="92">
        <f>_xll.qlCalendarAdvance(Calendar,O310,NDays&amp;"D")</f>
        <v>42697</v>
      </c>
      <c r="Q310" s="81">
        <v>-2.503442062200989E-3</v>
      </c>
      <c r="R310" s="85">
        <v>-2.603888754362238E-3</v>
      </c>
    </row>
    <row r="311" spans="14:18" x14ac:dyDescent="0.2">
      <c r="N311" s="88" t="str">
        <f t="shared" si="10"/>
        <v>1D</v>
      </c>
      <c r="O311" s="82">
        <f>_xll.qlCalendarAdvance(Calendar,O310,N311,"f",FALSE)</f>
        <v>42696</v>
      </c>
      <c r="P311" s="92">
        <f>_xll.qlCalendarAdvance(Calendar,O311,NDays&amp;"D")</f>
        <v>42698</v>
      </c>
      <c r="Q311" s="81">
        <v>-2.4813483720978725E-3</v>
      </c>
      <c r="R311" s="85">
        <v>-2.5867494184250717E-3</v>
      </c>
    </row>
    <row r="312" spans="14:18" x14ac:dyDescent="0.2">
      <c r="N312" s="88" t="str">
        <f t="shared" si="10"/>
        <v>1D</v>
      </c>
      <c r="O312" s="82">
        <f>_xll.qlCalendarAdvance(Calendar,O311,N312,"f",FALSE)</f>
        <v>42697</v>
      </c>
      <c r="P312" s="92">
        <f>_xll.qlCalendarAdvance(Calendar,O312,NDays&amp;"D")</f>
        <v>42699</v>
      </c>
      <c r="Q312" s="81">
        <v>-2.4770019655408204E-3</v>
      </c>
      <c r="R312" s="85">
        <v>-2.5781426894955217E-3</v>
      </c>
    </row>
    <row r="313" spans="14:18" x14ac:dyDescent="0.2">
      <c r="N313" s="88" t="str">
        <f t="shared" si="10"/>
        <v>1D</v>
      </c>
      <c r="O313" s="82">
        <f>_xll.qlCalendarAdvance(Calendar,O312,N313,"f",FALSE)</f>
        <v>42698</v>
      </c>
      <c r="P313" s="92">
        <f>_xll.qlCalendarAdvance(Calendar,O313,NDays&amp;"D")</f>
        <v>42702</v>
      </c>
      <c r="Q313" s="81">
        <v>-2.4594634922912029E-3</v>
      </c>
      <c r="R313" s="85">
        <v>-2.569519374033824E-3</v>
      </c>
    </row>
    <row r="314" spans="14:18" x14ac:dyDescent="0.2">
      <c r="N314" s="88" t="str">
        <f t="shared" si="10"/>
        <v>1D</v>
      </c>
      <c r="O314" s="82">
        <f>_xll.qlCalendarAdvance(Calendar,O313,N314,"f",FALSE)</f>
        <v>42699</v>
      </c>
      <c r="P314" s="92">
        <f>_xll.qlCalendarAdvance(Calendar,O314,NDays&amp;"D")</f>
        <v>42703</v>
      </c>
      <c r="Q314" s="81">
        <v>-2.4506180102270569E-3</v>
      </c>
      <c r="R314" s="85">
        <v>-2.5608794723197548E-3</v>
      </c>
    </row>
    <row r="315" spans="14:18" x14ac:dyDescent="0.2">
      <c r="N315" s="88" t="str">
        <f t="shared" si="10"/>
        <v>1D</v>
      </c>
      <c r="O315" s="82">
        <f>_xll.qlCalendarAdvance(Calendar,O314,N315,"f",FALSE)</f>
        <v>42702</v>
      </c>
      <c r="P315" s="92">
        <f>_xll.qlCalendarAdvance(Calendar,O315,NDays&amp;"D")</f>
        <v>42704</v>
      </c>
      <c r="Q315" s="81">
        <v>-2.4417559387104326E-3</v>
      </c>
      <c r="R315" s="85">
        <v>-2.5435264096662635E-3</v>
      </c>
    </row>
    <row r="316" spans="14:18" x14ac:dyDescent="0.2">
      <c r="N316" s="88" t="str">
        <f t="shared" si="10"/>
        <v>1D</v>
      </c>
      <c r="O316" s="82">
        <f>_xll.qlCalendarAdvance(Calendar,O315,N316,"f",FALSE)</f>
        <v>42703</v>
      </c>
      <c r="P316" s="92">
        <f>_xll.qlCalendarAdvance(Calendar,O316,NDays&amp;"D")</f>
        <v>42705</v>
      </c>
      <c r="Q316" s="81">
        <v>-2.4238800273899963E-3</v>
      </c>
      <c r="R316" s="85">
        <v>-2.526154001301073E-3</v>
      </c>
    </row>
    <row r="317" spans="14:18" x14ac:dyDescent="0.2">
      <c r="N317" s="88" t="str">
        <f t="shared" si="10"/>
        <v>1D</v>
      </c>
      <c r="O317" s="82">
        <f>_xll.qlCalendarAdvance(Calendar,O316,N317,"f",FALSE)</f>
        <v>42704</v>
      </c>
      <c r="P317" s="92">
        <f>_xll.qlCalendarAdvance(Calendar,O317,NDays&amp;"D")</f>
        <v>42706</v>
      </c>
      <c r="Q317" s="81">
        <v>-2.4194779015435275E-3</v>
      </c>
      <c r="R317" s="85">
        <v>-2.5174311674458494E-3</v>
      </c>
    </row>
    <row r="318" spans="14:18" x14ac:dyDescent="0.2">
      <c r="N318" s="88" t="str">
        <f t="shared" si="10"/>
        <v>1D</v>
      </c>
      <c r="O318" s="82">
        <f>_xll.qlCalendarAdvance(Calendar,O317,N318,"f",FALSE)</f>
        <v>42705</v>
      </c>
      <c r="P318" s="92">
        <f>_xll.qlCalendarAdvance(Calendar,O318,NDays&amp;"D")</f>
        <v>42709</v>
      </c>
      <c r="Q318" s="81">
        <v>-2.3926679071731741E-3</v>
      </c>
      <c r="R318" s="85">
        <v>-2.5086917473382542E-3</v>
      </c>
    </row>
    <row r="319" spans="14:18" x14ac:dyDescent="0.2">
      <c r="N319" s="88" t="str">
        <f t="shared" si="10"/>
        <v>1D</v>
      </c>
      <c r="O319" s="82">
        <f>_xll.qlCalendarAdvance(Calendar,O318,N319,"f",FALSE)</f>
        <v>42706</v>
      </c>
      <c r="P319" s="92">
        <f>_xll.qlCalendarAdvance(Calendar,O319,NDays&amp;"D")</f>
        <v>42710</v>
      </c>
      <c r="Q319" s="81">
        <v>-2.3700540474533459E-3</v>
      </c>
      <c r="R319" s="85">
        <v>-2.4999357408184153E-3</v>
      </c>
    </row>
    <row r="320" spans="14:18" x14ac:dyDescent="0.2">
      <c r="N320" s="88" t="str">
        <f t="shared" si="10"/>
        <v>1D</v>
      </c>
      <c r="O320" s="82">
        <f>_xll.qlCalendarAdvance(Calendar,O319,N320,"f",FALSE)</f>
        <v>42709</v>
      </c>
      <c r="P320" s="92">
        <f>_xll.qlCalendarAdvance(Calendar,O320,NDays&amp;"D")</f>
        <v>42711</v>
      </c>
      <c r="Q320" s="81">
        <v>-2.3656046164731818E-3</v>
      </c>
      <c r="R320" s="85">
        <v>-2.4823513227234528E-3</v>
      </c>
    </row>
    <row r="321" spans="14:18" x14ac:dyDescent="0.2">
      <c r="N321" s="88" t="str">
        <f t="shared" si="10"/>
        <v>1D</v>
      </c>
      <c r="O321" s="82">
        <f>_xll.qlCalendarAdvance(Calendar,O320,N321,"f",FALSE)</f>
        <v>42710</v>
      </c>
      <c r="P321" s="92">
        <f>_xll.qlCalendarAdvance(Calendar,O321,NDays&amp;"D")</f>
        <v>42712</v>
      </c>
      <c r="Q321" s="81">
        <v>-2.3611495975119079E-3</v>
      </c>
      <c r="R321" s="85">
        <v>-2.4647458506565911E-3</v>
      </c>
    </row>
    <row r="322" spans="14:18" x14ac:dyDescent="0.2">
      <c r="N322" s="88" t="str">
        <f t="shared" si="10"/>
        <v>1D</v>
      </c>
      <c r="O322" s="82">
        <f>_xll.qlCalendarAdvance(Calendar,O321,N322,"f",FALSE)</f>
        <v>42711</v>
      </c>
      <c r="P322" s="92">
        <f>_xll.qlCalendarAdvance(Calendar,O322,NDays&amp;"D")</f>
        <v>42713</v>
      </c>
      <c r="Q322" s="81">
        <v>-2.3566889906226083E-3</v>
      </c>
      <c r="R322" s="85">
        <v>-2.4559069120755339E-3</v>
      </c>
    </row>
    <row r="323" spans="14:18" x14ac:dyDescent="0.2">
      <c r="N323" s="88" t="str">
        <f t="shared" si="10"/>
        <v>1D</v>
      </c>
      <c r="O323" s="82">
        <f>_xll.qlCalendarAdvance(Calendar,O322,N323,"f",FALSE)</f>
        <v>42712</v>
      </c>
      <c r="P323" s="92">
        <f>_xll.qlCalendarAdvance(Calendar,O323,NDays&amp;"D")</f>
        <v>42716</v>
      </c>
      <c r="Q323" s="81">
        <v>-2.3295306088249607E-3</v>
      </c>
      <c r="R323" s="85">
        <v>-2.4470513871621691E-3</v>
      </c>
    </row>
    <row r="324" spans="14:18" x14ac:dyDescent="0.2">
      <c r="N324" s="88" t="str">
        <f t="shared" si="10"/>
        <v>1D</v>
      </c>
      <c r="O324" s="82">
        <f>_xll.qlCalendarAdvance(Calendar,O323,N324,"f",FALSE)</f>
        <v>42713</v>
      </c>
      <c r="P324" s="92">
        <f>_xll.qlCalendarAdvance(Calendar,O324,NDays&amp;"D")</f>
        <v>42717</v>
      </c>
      <c r="Q324" s="81">
        <v>-2.3204446348027681E-3</v>
      </c>
      <c r="R324" s="85">
        <v>-2.4381792757566245E-3</v>
      </c>
    </row>
    <row r="325" spans="14:18" x14ac:dyDescent="0.2">
      <c r="N325" s="88" t="str">
        <f t="shared" si="10"/>
        <v>1D</v>
      </c>
      <c r="O325" s="82">
        <f>_xll.qlCalendarAdvance(Calendar,O324,N325,"f",FALSE)</f>
        <v>42716</v>
      </c>
      <c r="P325" s="92">
        <f>_xll.qlCalendarAdvance(Calendar,O325,NDays&amp;"D")</f>
        <v>42718</v>
      </c>
      <c r="Q325" s="81">
        <v>-2.3021197510176739E-3</v>
      </c>
      <c r="R325" s="85">
        <v>-2.4203634922681516E-3</v>
      </c>
    </row>
    <row r="326" spans="14:18" x14ac:dyDescent="0.2">
      <c r="N326" s="88" t="str">
        <f t="shared" si="10"/>
        <v>1D</v>
      </c>
      <c r="O326" s="82">
        <f>_xll.qlCalendarAdvance(Calendar,O325,N326,"f",FALSE)</f>
        <v>42717</v>
      </c>
      <c r="P326" s="92">
        <f>_xll.qlCalendarAdvance(Calendar,O326,NDays&amp;"D")</f>
        <v>42719</v>
      </c>
      <c r="Q326" s="81">
        <v>-2.2976062550565668E-3</v>
      </c>
      <c r="R326" s="85">
        <v>-2.4025249662518178E-3</v>
      </c>
    </row>
    <row r="327" spans="14:18" x14ac:dyDescent="0.2">
      <c r="N327" s="88" t="str">
        <f t="shared" si="10"/>
        <v>1D</v>
      </c>
      <c r="O327" s="82">
        <f>_xll.qlCalendarAdvance(Calendar,O326,N327,"f",FALSE)</f>
        <v>42718</v>
      </c>
      <c r="P327" s="92">
        <f>_xll.qlCalendarAdvance(Calendar,O327,NDays&amp;"D")</f>
        <v>42720</v>
      </c>
      <c r="Q327" s="81">
        <v>-2.2930871719231785E-3</v>
      </c>
      <c r="R327" s="85">
        <v>-2.3935699228649909E-3</v>
      </c>
    </row>
    <row r="328" spans="14:18" x14ac:dyDescent="0.2">
      <c r="N328" s="88" t="str">
        <f t="shared" si="10"/>
        <v>1D</v>
      </c>
      <c r="O328" s="82">
        <f>_xll.qlCalendarAdvance(Calendar,O327,N328,"f",FALSE)</f>
        <v>42719</v>
      </c>
      <c r="P328" s="92">
        <f>_xll.qlCalendarAdvance(Calendar,O328,NDays&amp;"D")</f>
        <v>42723</v>
      </c>
      <c r="Q328" s="81">
        <v>-2.2655803969982803E-3</v>
      </c>
      <c r="R328" s="85">
        <v>-2.3845982929859844E-3</v>
      </c>
    </row>
    <row r="329" spans="14:18" x14ac:dyDescent="0.2">
      <c r="N329" s="88" t="str">
        <f t="shared" si="10"/>
        <v>1D</v>
      </c>
      <c r="O329" s="82">
        <f>_xll.qlCalendarAdvance(Calendar,O328,N329,"f",FALSE)</f>
        <v>42720</v>
      </c>
      <c r="P329" s="92">
        <f>_xll.qlCalendarAdvance(Calendar,O329,NDays&amp;"D")</f>
        <v>42724</v>
      </c>
      <c r="Q329" s="81">
        <v>-2.2563782913865814E-3</v>
      </c>
      <c r="R329" s="85">
        <v>-2.3756100767746702E-3</v>
      </c>
    </row>
    <row r="330" spans="14:18" x14ac:dyDescent="0.2">
      <c r="N330" s="88" t="str">
        <f t="shared" si="10"/>
        <v>1D</v>
      </c>
      <c r="O330" s="82">
        <f>_xll.qlCalendarAdvance(Calendar,O329,N330,"f",FALSE)</f>
        <v>42723</v>
      </c>
      <c r="P330" s="92">
        <f>_xll.qlCalendarAdvance(Calendar,O330,NDays&amp;"D")</f>
        <v>42725</v>
      </c>
      <c r="Q330" s="81">
        <v>-2.2378219540521794E-3</v>
      </c>
      <c r="R330" s="85">
        <v>-2.3530335340393727E-3</v>
      </c>
    </row>
    <row r="331" spans="14:18" x14ac:dyDescent="0.2">
      <c r="N331" s="88" t="str">
        <f t="shared" si="10"/>
        <v>1D</v>
      </c>
      <c r="O331" s="82">
        <f>_xll.qlCalendarAdvance(Calendar,O330,N331,"f",FALSE)</f>
        <v>42724</v>
      </c>
      <c r="P331" s="92">
        <f>_xll.qlCalendarAdvance(Calendar,O331,NDays&amp;"D")</f>
        <v>42726</v>
      </c>
      <c r="Q331" s="81">
        <v>-2.233249986249991E-3</v>
      </c>
      <c r="R331" s="85">
        <v>-2.3304201993346041E-3</v>
      </c>
    </row>
    <row r="332" spans="14:18" x14ac:dyDescent="0.2">
      <c r="N332" s="88" t="str">
        <f t="shared" si="10"/>
        <v>1D</v>
      </c>
      <c r="O332" s="82">
        <f>_xll.qlCalendarAdvance(Calendar,O331,N332,"f",FALSE)</f>
        <v>42725</v>
      </c>
      <c r="P332" s="92">
        <f>_xll.qlCalendarAdvance(Calendar,O332,NDays&amp;"D")</f>
        <v>42727</v>
      </c>
      <c r="Q332" s="81">
        <v>-2.2286724320894698E-3</v>
      </c>
      <c r="R332" s="85">
        <v>-2.3213324646098599E-3</v>
      </c>
    </row>
    <row r="333" spans="14:18" x14ac:dyDescent="0.2">
      <c r="N333" s="88" t="str">
        <f t="shared" si="10"/>
        <v>1D</v>
      </c>
      <c r="O333" s="82">
        <f>_xll.qlCalendarAdvance(Calendar,O332,N333,"f",FALSE)</f>
        <v>42726</v>
      </c>
      <c r="P333" s="92">
        <f>_xll.qlCalendarAdvance(Calendar,O333,NDays&amp;"D")</f>
        <v>42731</v>
      </c>
      <c r="Q333" s="81">
        <v>-2.1914990191274435E-3</v>
      </c>
      <c r="R333" s="85">
        <v>-2.3122281433929359E-3</v>
      </c>
    </row>
    <row r="334" spans="14:18" x14ac:dyDescent="0.2">
      <c r="N334" s="88" t="str">
        <f t="shared" si="10"/>
        <v>1D</v>
      </c>
      <c r="O334" s="82">
        <f>_xll.qlCalendarAdvance(Calendar,O333,N334,"f",FALSE)</f>
        <v>42727</v>
      </c>
      <c r="P334" s="92">
        <f>_xll.qlCalendarAdvance(Calendar,O334,NDays&amp;"D")</f>
        <v>42732</v>
      </c>
      <c r="Q334" s="81">
        <v>-2.1727112112087969E-3</v>
      </c>
      <c r="R334" s="85">
        <v>-2.2939495956908473E-3</v>
      </c>
    </row>
    <row r="335" spans="14:18" x14ac:dyDescent="0.2">
      <c r="N335" s="88" t="str">
        <f t="shared" si="10"/>
        <v>1D</v>
      </c>
      <c r="O335" s="82">
        <f>_xll.qlCalendarAdvance(Calendar,O334,N335,"f",FALSE)</f>
        <v>42731</v>
      </c>
      <c r="P335" s="92">
        <f>_xll.qlCalendarAdvance(Calendar,O335,NDays&amp;"D")</f>
        <v>42733</v>
      </c>
      <c r="Q335" s="81">
        <v>-2.1680807771395916E-3</v>
      </c>
      <c r="R335" s="85">
        <v>-2.2756449945227075E-3</v>
      </c>
    </row>
    <row r="336" spans="14:18" x14ac:dyDescent="0.2">
      <c r="N336" s="88" t="str">
        <f t="shared" si="10"/>
        <v>1D</v>
      </c>
      <c r="O336" s="82">
        <f>_xll.qlCalendarAdvance(Calendar,O335,N336,"f",FALSE)</f>
        <v>42732</v>
      </c>
      <c r="P336" s="92">
        <f>_xll.qlCalendarAdvance(Calendar,O336,NDays&amp;"D")</f>
        <v>42734</v>
      </c>
      <c r="Q336" s="81">
        <v>-2.1587045268296745E-3</v>
      </c>
      <c r="R336" s="85">
        <v>-2.2664577411646292E-3</v>
      </c>
    </row>
    <row r="337" spans="14:18" x14ac:dyDescent="0.2">
      <c r="N337" s="88" t="str">
        <f t="shared" si="10"/>
        <v>1D</v>
      </c>
      <c r="O337" s="82">
        <f>_xll.qlCalendarAdvance(Calendar,O336,N337,"f",FALSE)</f>
        <v>42733</v>
      </c>
      <c r="P337" s="92">
        <f>_xll.qlCalendarAdvance(Calendar,O337,NDays&amp;"D")</f>
        <v>42737</v>
      </c>
      <c r="Q337" s="81">
        <v>-2.1352411790132747E-3</v>
      </c>
      <c r="R337" s="85">
        <v>-2.2572539014342752E-3</v>
      </c>
    </row>
    <row r="338" spans="14:18" x14ac:dyDescent="0.2">
      <c r="N338" s="88" t="str">
        <f t="shared" si="10"/>
        <v>1D</v>
      </c>
      <c r="O338" s="82">
        <f>_xll.qlCalendarAdvance(Calendar,O337,N338,"f",FALSE)</f>
        <v>42734</v>
      </c>
      <c r="P338" s="92">
        <f>_xll.qlCalendarAdvance(Calendar,O338,NDays&amp;"D")</f>
        <v>42738</v>
      </c>
      <c r="Q338" s="81">
        <v>-2.1258068043988349E-3</v>
      </c>
      <c r="R338" s="85">
        <v>-2.2341405723036445E-3</v>
      </c>
    </row>
    <row r="339" spans="14:18" x14ac:dyDescent="0.2">
      <c r="N339" s="88" t="str">
        <f t="shared" si="10"/>
        <v>1D</v>
      </c>
      <c r="O339" s="82">
        <f>_xll.qlCalendarAdvance(Calendar,O338,N339,"f",FALSE)</f>
        <v>42737</v>
      </c>
      <c r="P339" s="92">
        <f>_xll.qlCalendarAdvance(Calendar,O339,NDays&amp;"D")</f>
        <v>42739</v>
      </c>
      <c r="Q339" s="81">
        <v>-2.1067875079234196E-3</v>
      </c>
      <c r="R339" s="85">
        <v>-2.2109859062391379E-3</v>
      </c>
    </row>
    <row r="340" spans="14:18" x14ac:dyDescent="0.2">
      <c r="N340" s="88" t="str">
        <f t="shared" si="10"/>
        <v>1D</v>
      </c>
      <c r="O340" s="82">
        <f>_xll.qlCalendarAdvance(Calendar,O339,N340,"f",FALSE)</f>
        <v>42738</v>
      </c>
      <c r="P340" s="92">
        <f>_xll.qlCalendarAdvance(Calendar,O340,NDays&amp;"D")</f>
        <v>42740</v>
      </c>
      <c r="Q340" s="81">
        <v>-2.1020986135991682E-3</v>
      </c>
      <c r="R340" s="85">
        <v>-2.2016825478354818E-3</v>
      </c>
    </row>
    <row r="341" spans="14:18" x14ac:dyDescent="0.2">
      <c r="N341" s="88" t="str">
        <f t="shared" ref="N341:N404" si="11">N340</f>
        <v>1D</v>
      </c>
      <c r="O341" s="82">
        <f>_xll.qlCalendarAdvance(Calendar,O340,N341,"f",FALSE)</f>
        <v>42739</v>
      </c>
      <c r="P341" s="92">
        <f>_xll.qlCalendarAdvance(Calendar,O341,NDays&amp;"D")</f>
        <v>42744</v>
      </c>
      <c r="Q341" s="81">
        <v>-2.0688521454845861E-3</v>
      </c>
      <c r="R341" s="85">
        <v>-2.1923626029796139E-3</v>
      </c>
    </row>
    <row r="342" spans="14:18" x14ac:dyDescent="0.2">
      <c r="N342" s="88" t="str">
        <f t="shared" si="11"/>
        <v>1D</v>
      </c>
      <c r="O342" s="82">
        <f>_xll.qlCalendarAdvance(Calendar,O341,N342,"f",FALSE)</f>
        <v>42740</v>
      </c>
      <c r="P342" s="92">
        <f>_xll.qlCalendarAdvance(Calendar,O342,NDays&amp;"D")</f>
        <v>42745</v>
      </c>
      <c r="Q342" s="81">
        <v>-2.0593016334104972E-3</v>
      </c>
      <c r="R342" s="85">
        <v>-2.1830260718314065E-3</v>
      </c>
    </row>
    <row r="343" spans="14:18" x14ac:dyDescent="0.2">
      <c r="N343" s="88" t="str">
        <f t="shared" si="11"/>
        <v>1D</v>
      </c>
      <c r="O343" s="82">
        <f>_xll.qlCalendarAdvance(Calendar,O342,N343,"f",FALSE)</f>
        <v>42744</v>
      </c>
      <c r="P343" s="92">
        <f>_xll.qlCalendarAdvance(Calendar,O343,NDays&amp;"D")</f>
        <v>42746</v>
      </c>
      <c r="Q343" s="81">
        <v>-2.0400508294696452E-3</v>
      </c>
      <c r="R343" s="85">
        <v>-2.1642847096892126E-3</v>
      </c>
    </row>
    <row r="344" spans="14:18" x14ac:dyDescent="0.2">
      <c r="N344" s="88" t="str">
        <f t="shared" si="11"/>
        <v>1D</v>
      </c>
      <c r="O344" s="82">
        <f>_xll.qlCalendarAdvance(Calendar,O343,N344,"f",FALSE)</f>
        <v>42745</v>
      </c>
      <c r="P344" s="92">
        <f>_xll.qlCalendarAdvance(Calendar,O344,NDays&amp;"D")</f>
        <v>42747</v>
      </c>
      <c r="Q344" s="81">
        <v>-2.0353034813339055E-3</v>
      </c>
      <c r="R344" s="85">
        <v>-2.1455140824366836E-3</v>
      </c>
    </row>
    <row r="345" spans="14:18" x14ac:dyDescent="0.2">
      <c r="N345" s="88" t="str">
        <f t="shared" si="11"/>
        <v>1D</v>
      </c>
      <c r="O345" s="82">
        <f>_xll.qlCalendarAdvance(Calendar,O344,N345,"f",FALSE)</f>
        <v>42746</v>
      </c>
      <c r="P345" s="92">
        <f>_xll.qlCalendarAdvance(Calendar,O345,NDays&amp;"D")</f>
        <v>42748</v>
      </c>
      <c r="Q345" s="81">
        <v>-2.0305505496580108E-3</v>
      </c>
      <c r="R345" s="85">
        <v>-2.1360946189075136E-3</v>
      </c>
    </row>
    <row r="346" spans="14:18" x14ac:dyDescent="0.2">
      <c r="N346" s="88" t="str">
        <f t="shared" si="11"/>
        <v>1D</v>
      </c>
      <c r="O346" s="82">
        <f>_xll.qlCalendarAdvance(Calendar,O345,N346,"f",FALSE)</f>
        <v>42747</v>
      </c>
      <c r="P346" s="92">
        <f>_xll.qlCalendarAdvance(Calendar,O346,NDays&amp;"D")</f>
        <v>42751</v>
      </c>
      <c r="Q346" s="81">
        <v>-2.0016501437341233E-3</v>
      </c>
      <c r="R346" s="85">
        <v>-2.126658569086004E-3</v>
      </c>
    </row>
    <row r="347" spans="14:18" x14ac:dyDescent="0.2">
      <c r="N347" s="88" t="str">
        <f t="shared" si="11"/>
        <v>1D</v>
      </c>
      <c r="O347" s="82">
        <f>_xll.qlCalendarAdvance(Calendar,O346,N347,"f",FALSE)</f>
        <v>42748</v>
      </c>
      <c r="P347" s="92">
        <f>_xll.qlCalendarAdvance(Calendar,O347,NDays&amp;"D")</f>
        <v>42752</v>
      </c>
      <c r="Q347" s="81">
        <v>-1.9919834921955371E-3</v>
      </c>
      <c r="R347" s="85">
        <v>-2.1172059326923787E-3</v>
      </c>
    </row>
    <row r="348" spans="14:18" x14ac:dyDescent="0.2">
      <c r="N348" s="88" t="str">
        <f t="shared" si="11"/>
        <v>1D</v>
      </c>
      <c r="O348" s="82">
        <f>_xll.qlCalendarAdvance(Calendar,O347,N348,"f",FALSE)</f>
        <v>42751</v>
      </c>
      <c r="P348" s="92">
        <f>_xll.qlCalendarAdvance(Calendar,O348,NDays&amp;"D")</f>
        <v>42753</v>
      </c>
      <c r="Q348" s="81">
        <v>-1.9725011609248648E-3</v>
      </c>
      <c r="R348" s="85">
        <v>-2.0982331423669009E-3</v>
      </c>
    </row>
    <row r="349" spans="14:18" x14ac:dyDescent="0.2">
      <c r="N349" s="88" t="str">
        <f t="shared" si="11"/>
        <v>1D</v>
      </c>
      <c r="O349" s="82">
        <f>_xll.qlCalendarAdvance(Calendar,O348,N349,"f",FALSE)</f>
        <v>42752</v>
      </c>
      <c r="P349" s="92">
        <f>_xll.qlCalendarAdvance(Calendar,O349,NDays&amp;"D")</f>
        <v>42754</v>
      </c>
      <c r="Q349" s="81">
        <v>-1.9676953658541441E-3</v>
      </c>
      <c r="R349" s="85">
        <v>-2.0792295226756963E-3</v>
      </c>
    </row>
    <row r="350" spans="14:18" x14ac:dyDescent="0.2">
      <c r="N350" s="88" t="str">
        <f t="shared" si="11"/>
        <v>1D</v>
      </c>
      <c r="O350" s="82">
        <f>_xll.qlCalendarAdvance(Calendar,O349,N350,"f",FALSE)</f>
        <v>42753</v>
      </c>
      <c r="P350" s="92">
        <f>_xll.qlCalendarAdvance(Calendar,O350,NDays&amp;"D")</f>
        <v>42755</v>
      </c>
      <c r="Q350" s="81">
        <v>-1.9628839883141739E-3</v>
      </c>
      <c r="R350" s="85">
        <v>-2.0696939541009485E-3</v>
      </c>
    </row>
    <row r="351" spans="14:18" x14ac:dyDescent="0.2">
      <c r="N351" s="88" t="str">
        <f t="shared" si="11"/>
        <v>1D</v>
      </c>
      <c r="O351" s="82">
        <f>_xll.qlCalendarAdvance(Calendar,O350,N351,"f",FALSE)</f>
        <v>42754</v>
      </c>
      <c r="P351" s="92">
        <f>_xll.qlCalendarAdvance(Calendar,O351,NDays&amp;"D")</f>
        <v>42758</v>
      </c>
      <c r="Q351" s="81">
        <v>-1.9336351596505937E-3</v>
      </c>
      <c r="R351" s="85">
        <v>-2.0601417990340209E-3</v>
      </c>
    </row>
    <row r="352" spans="14:18" x14ac:dyDescent="0.2">
      <c r="N352" s="88" t="str">
        <f t="shared" si="11"/>
        <v>1D</v>
      </c>
      <c r="O352" s="82">
        <f>_xll.qlCalendarAdvance(Calendar,O351,N352,"f",FALSE)</f>
        <v>42755</v>
      </c>
      <c r="P352" s="92">
        <f>_xll.qlCalendarAdvance(Calendar,O352,NDays&amp;"D")</f>
        <v>42759</v>
      </c>
      <c r="Q352" s="81">
        <v>-1.9238523666194553E-3</v>
      </c>
      <c r="R352" s="85">
        <v>-2.0505730573949776E-3</v>
      </c>
    </row>
    <row r="353" spans="14:18" x14ac:dyDescent="0.2">
      <c r="N353" s="88" t="str">
        <f t="shared" si="11"/>
        <v>1D</v>
      </c>
      <c r="O353" s="82">
        <f>_xll.qlCalendarAdvance(Calendar,O352,N353,"f",FALSE)</f>
        <v>42758</v>
      </c>
      <c r="P353" s="92">
        <f>_xll.qlCalendarAdvance(Calendar,O353,NDays&amp;"D")</f>
        <v>42760</v>
      </c>
      <c r="Q353" s="81">
        <v>-1.9041384871872197E-3</v>
      </c>
      <c r="R353" s="85">
        <v>-2.0313688237383332E-3</v>
      </c>
    </row>
    <row r="354" spans="14:18" x14ac:dyDescent="0.2">
      <c r="N354" s="88" t="str">
        <f t="shared" si="11"/>
        <v>1D</v>
      </c>
      <c r="O354" s="82">
        <f>_xll.qlCalendarAdvance(Calendar,O353,N354,"f",FALSE)</f>
        <v>42759</v>
      </c>
      <c r="P354" s="92">
        <f>_xll.qlCalendarAdvance(Calendar,O354,NDays&amp;"D")</f>
        <v>42761</v>
      </c>
      <c r="Q354" s="81">
        <v>-1.8992742525103523E-3</v>
      </c>
      <c r="R354" s="85">
        <v>-2.0121322265964636E-3</v>
      </c>
    </row>
    <row r="355" spans="14:18" x14ac:dyDescent="0.2">
      <c r="N355" s="88" t="str">
        <f t="shared" si="11"/>
        <v>1D</v>
      </c>
      <c r="O355" s="82">
        <f>_xll.qlCalendarAdvance(Calendar,O354,N355,"f",FALSE)</f>
        <v>42760</v>
      </c>
      <c r="P355" s="92">
        <f>_xll.qlCalendarAdvance(Calendar,O355,NDays&amp;"D")</f>
        <v>42762</v>
      </c>
      <c r="Q355" s="81">
        <v>-1.8944044364966849E-3</v>
      </c>
      <c r="R355" s="85">
        <v>-2.0024805527762979E-3</v>
      </c>
    </row>
    <row r="356" spans="14:18" x14ac:dyDescent="0.2">
      <c r="N356" s="88" t="str">
        <f t="shared" si="11"/>
        <v>1D</v>
      </c>
      <c r="O356" s="82">
        <f>_xll.qlCalendarAdvance(Calendar,O355,N356,"f",FALSE)</f>
        <v>42761</v>
      </c>
      <c r="P356" s="92">
        <f>_xll.qlCalendarAdvance(Calendar,O356,NDays&amp;"D")</f>
        <v>42765</v>
      </c>
      <c r="Q356" s="81">
        <v>-1.8747822054026948E-3</v>
      </c>
      <c r="R356" s="85">
        <v>-1.9928122924239844E-3</v>
      </c>
    </row>
    <row r="357" spans="14:18" x14ac:dyDescent="0.2">
      <c r="N357" s="88" t="str">
        <f t="shared" si="11"/>
        <v>1D</v>
      </c>
      <c r="O357" s="82">
        <f>_xll.qlCalendarAdvance(Calendar,O356,N357,"f",FALSE)</f>
        <v>42762</v>
      </c>
      <c r="P357" s="92">
        <f>_xll.qlCalendarAdvance(Calendar,O357,NDays&amp;"D")</f>
        <v>42766</v>
      </c>
      <c r="Q357" s="81">
        <v>-1.8698872987827591E-3</v>
      </c>
      <c r="R357" s="85">
        <v>-1.9831274456194592E-3</v>
      </c>
    </row>
    <row r="358" spans="14:18" x14ac:dyDescent="0.2">
      <c r="N358" s="88" t="str">
        <f t="shared" si="11"/>
        <v>1D</v>
      </c>
      <c r="O358" s="82">
        <f>_xll.qlCalendarAdvance(Calendar,O357,N358,"f",FALSE)</f>
        <v>42765</v>
      </c>
      <c r="P358" s="92">
        <f>_xll.qlCalendarAdvance(Calendar,O358,NDays&amp;"D")</f>
        <v>42767</v>
      </c>
      <c r="Q358" s="81">
        <v>-1.8599965046147851E-3</v>
      </c>
      <c r="R358" s="85">
        <v>-1.9636917523913056E-3</v>
      </c>
    </row>
    <row r="359" spans="14:18" x14ac:dyDescent="0.2">
      <c r="N359" s="88" t="str">
        <f t="shared" si="11"/>
        <v>1D</v>
      </c>
      <c r="O359" s="82">
        <f>_xll.qlCalendarAdvance(Calendar,O358,N359,"f",FALSE)</f>
        <v>42766</v>
      </c>
      <c r="P359" s="92">
        <f>_xll.qlCalendarAdvance(Calendar,O359,NDays&amp;"D")</f>
        <v>42768</v>
      </c>
      <c r="Q359" s="81">
        <v>-1.850089118925797E-3</v>
      </c>
      <c r="R359" s="85">
        <v>-1.9442221936794013E-3</v>
      </c>
    </row>
    <row r="360" spans="14:18" x14ac:dyDescent="0.2">
      <c r="N360" s="88" t="str">
        <f t="shared" si="11"/>
        <v>1D</v>
      </c>
      <c r="O360" s="82">
        <f>_xll.qlCalendarAdvance(Calendar,O359,N360,"f",FALSE)</f>
        <v>42767</v>
      </c>
      <c r="P360" s="92">
        <f>_xll.qlCalendarAdvance(Calendar,O360,NDays&amp;"D")</f>
        <v>42769</v>
      </c>
      <c r="Q360" s="81">
        <v>-1.8401651416715442E-3</v>
      </c>
      <c r="R360" s="85">
        <v>-1.9344544144939135E-3</v>
      </c>
    </row>
    <row r="361" spans="14:18" x14ac:dyDescent="0.2">
      <c r="N361" s="88" t="str">
        <f t="shared" si="11"/>
        <v>1D</v>
      </c>
      <c r="O361" s="82">
        <f>_xll.qlCalendarAdvance(Calendar,O360,N361,"f",FALSE)</f>
        <v>42768</v>
      </c>
      <c r="P361" s="92">
        <f>_xll.qlCalendarAdvance(Calendar,O361,NDays&amp;"D")</f>
        <v>42772</v>
      </c>
      <c r="Q361" s="81">
        <v>-1.8102936601574868E-3</v>
      </c>
      <c r="R361" s="85">
        <v>-1.9246700488961821E-3</v>
      </c>
    </row>
    <row r="362" spans="14:18" x14ac:dyDescent="0.2">
      <c r="N362" s="88" t="str">
        <f t="shared" si="11"/>
        <v>1D</v>
      </c>
      <c r="O362" s="82">
        <f>_xll.qlCalendarAdvance(Calendar,O361,N362,"f",FALSE)</f>
        <v>42769</v>
      </c>
      <c r="P362" s="92">
        <f>_xll.qlCalendarAdvance(Calendar,O362,NDays&amp;"D")</f>
        <v>42773</v>
      </c>
      <c r="Q362" s="81">
        <v>-1.8003033162710441E-3</v>
      </c>
      <c r="R362" s="85">
        <v>-1.9148690966863668E-3</v>
      </c>
    </row>
    <row r="363" spans="14:18" x14ac:dyDescent="0.2">
      <c r="N363" s="88" t="str">
        <f t="shared" si="11"/>
        <v>1D</v>
      </c>
      <c r="O363" s="82">
        <f>_xll.qlCalendarAdvance(Calendar,O362,N363,"f",FALSE)</f>
        <v>42772</v>
      </c>
      <c r="P363" s="92">
        <f>_xll.qlCalendarAdvance(Calendar,O363,NDays&amp;"D")</f>
        <v>42774</v>
      </c>
      <c r="Q363" s="81">
        <v>-1.7902963806309164E-3</v>
      </c>
      <c r="R363" s="85">
        <v>-1.8952019270335185E-3</v>
      </c>
    </row>
    <row r="364" spans="14:18" x14ac:dyDescent="0.2">
      <c r="N364" s="88" t="str">
        <f t="shared" si="11"/>
        <v>1D</v>
      </c>
      <c r="O364" s="82">
        <f>_xll.qlCalendarAdvance(Calendar,O363,N364,"f",FALSE)</f>
        <v>42773</v>
      </c>
      <c r="P364" s="92">
        <f>_xll.qlCalendarAdvance(Calendar,O364,NDays&amp;"D")</f>
        <v>42775</v>
      </c>
      <c r="Q364" s="81">
        <v>-1.7802728531942805E-3</v>
      </c>
      <c r="R364" s="85">
        <v>-1.8754994234049249E-3</v>
      </c>
    </row>
    <row r="365" spans="14:18" x14ac:dyDescent="0.2">
      <c r="N365" s="88" t="str">
        <f t="shared" si="11"/>
        <v>1D</v>
      </c>
      <c r="O365" s="82">
        <f>_xll.qlCalendarAdvance(Calendar,O364,N365,"f",FALSE)</f>
        <v>42774</v>
      </c>
      <c r="P365" s="92">
        <f>_xll.qlCalendarAdvance(Calendar,O365,NDays&amp;"D")</f>
        <v>42776</v>
      </c>
      <c r="Q365" s="81">
        <v>-1.7702327339311605E-3</v>
      </c>
      <c r="R365" s="85">
        <v>-1.8656155389340512E-3</v>
      </c>
    </row>
    <row r="366" spans="14:18" x14ac:dyDescent="0.2">
      <c r="N366" s="88" t="str">
        <f t="shared" si="11"/>
        <v>1D</v>
      </c>
      <c r="O366" s="82">
        <f>_xll.qlCalendarAdvance(Calendar,O365,N366,"f",FALSE)</f>
        <v>42775</v>
      </c>
      <c r="P366" s="92">
        <f>_xll.qlCalendarAdvance(Calendar,O366,NDays&amp;"D")</f>
        <v>42779</v>
      </c>
      <c r="Q366" s="81">
        <v>-1.7400128247446744E-3</v>
      </c>
      <c r="R366" s="85">
        <v>-1.8557150678111256E-3</v>
      </c>
    </row>
    <row r="367" spans="14:18" x14ac:dyDescent="0.2">
      <c r="N367" s="88" t="str">
        <f t="shared" si="11"/>
        <v>1D</v>
      </c>
      <c r="O367" s="82">
        <f>_xll.qlCalendarAdvance(Calendar,O366,N367,"f",FALSE)</f>
        <v>42776</v>
      </c>
      <c r="P367" s="92">
        <f>_xll.qlCalendarAdvance(Calendar,O367,NDays&amp;"D")</f>
        <v>42780</v>
      </c>
      <c r="Q367" s="81">
        <v>-1.7299063377588084E-3</v>
      </c>
      <c r="R367" s="85">
        <v>-1.8457980103159244E-3</v>
      </c>
    </row>
    <row r="368" spans="14:18" x14ac:dyDescent="0.2">
      <c r="N368" s="88" t="str">
        <f t="shared" si="11"/>
        <v>1D</v>
      </c>
      <c r="O368" s="82">
        <f>_xll.qlCalendarAdvance(Calendar,O367,N368,"f",FALSE)</f>
        <v>42779</v>
      </c>
      <c r="P368" s="92">
        <f>_xll.qlCalendarAdvance(Calendar,O368,NDays&amp;"D")</f>
        <v>42781</v>
      </c>
      <c r="Q368" s="81">
        <v>-1.7197832587437631E-3</v>
      </c>
      <c r="R368" s="85">
        <v>-1.825899346186155E-3</v>
      </c>
    </row>
    <row r="369" spans="14:18" x14ac:dyDescent="0.2">
      <c r="N369" s="88" t="str">
        <f t="shared" si="11"/>
        <v>1D</v>
      </c>
      <c r="O369" s="82">
        <f>_xll.qlCalendarAdvance(Calendar,O368,N369,"f",FALSE)</f>
        <v>42780</v>
      </c>
      <c r="P369" s="92">
        <f>_xll.qlCalendarAdvance(Calendar,O369,NDays&amp;"D")</f>
        <v>42782</v>
      </c>
      <c r="Q369" s="81">
        <v>-1.7096435876652802E-3</v>
      </c>
      <c r="R369" s="85">
        <v>-1.8059639154133222E-3</v>
      </c>
    </row>
    <row r="370" spans="14:18" x14ac:dyDescent="0.2">
      <c r="N370" s="88" t="str">
        <f t="shared" si="11"/>
        <v>1D</v>
      </c>
      <c r="O370" s="82">
        <f>_xll.qlCalendarAdvance(Calendar,O369,N370,"f",FALSE)</f>
        <v>42781</v>
      </c>
      <c r="P370" s="92">
        <f>_xll.qlCalendarAdvance(Calendar,O370,NDays&amp;"D")</f>
        <v>42783</v>
      </c>
      <c r="Q370" s="81">
        <v>-1.6994873244833919E-3</v>
      </c>
      <c r="R370" s="85">
        <v>-1.7959639253772863E-3</v>
      </c>
    </row>
    <row r="371" spans="14:18" x14ac:dyDescent="0.2">
      <c r="N371" s="88" t="str">
        <f t="shared" si="11"/>
        <v>1D</v>
      </c>
      <c r="O371" s="82">
        <f>_xll.qlCalendarAdvance(Calendar,O370,N371,"f",FALSE)</f>
        <v>42782</v>
      </c>
      <c r="P371" s="92">
        <f>_xll.qlCalendarAdvance(Calendar,O371,NDays&amp;"D")</f>
        <v>42786</v>
      </c>
      <c r="Q371" s="81">
        <v>-1.6689189818947753E-3</v>
      </c>
      <c r="R371" s="85">
        <v>-1.7859473489290068E-3</v>
      </c>
    </row>
    <row r="372" spans="14:18" x14ac:dyDescent="0.2">
      <c r="N372" s="88" t="str">
        <f t="shared" si="11"/>
        <v>1D</v>
      </c>
      <c r="O372" s="82">
        <f>_xll.qlCalendarAdvance(Calendar,O371,N372,"f",FALSE)</f>
        <v>42783</v>
      </c>
      <c r="P372" s="92">
        <f>_xll.qlCalendarAdvance(Calendar,O372,NDays&amp;"D")</f>
        <v>42787</v>
      </c>
      <c r="Q372" s="81">
        <v>-1.6586963498895926E-3</v>
      </c>
      <c r="R372" s="85">
        <v>-1.7759141859885474E-3</v>
      </c>
    </row>
    <row r="373" spans="14:18" x14ac:dyDescent="0.2">
      <c r="N373" s="88" t="str">
        <f t="shared" si="11"/>
        <v>1D</v>
      </c>
      <c r="O373" s="82">
        <f>_xll.qlCalendarAdvance(Calendar,O372,N373,"f",FALSE)</f>
        <v>42786</v>
      </c>
      <c r="P373" s="92">
        <f>_xll.qlCalendarAdvance(Calendar,O373,NDays&amp;"D")</f>
        <v>42788</v>
      </c>
      <c r="Q373" s="81">
        <v>-1.6484571255854469E-3</v>
      </c>
      <c r="R373" s="85">
        <v>-1.7557840084769794E-3</v>
      </c>
    </row>
    <row r="374" spans="14:18" x14ac:dyDescent="0.2">
      <c r="N374" s="88" t="str">
        <f t="shared" si="11"/>
        <v>1D</v>
      </c>
      <c r="O374" s="82">
        <f>_xll.qlCalendarAdvance(Calendar,O373,N374,"f",FALSE)</f>
        <v>42787</v>
      </c>
      <c r="P374" s="92">
        <f>_xll.qlCalendarAdvance(Calendar,O374,NDays&amp;"D")</f>
        <v>42789</v>
      </c>
      <c r="Q374" s="81">
        <v>-1.6382013089395147E-3</v>
      </c>
      <c r="R374" s="85">
        <v>-1.7356156691450408E-3</v>
      </c>
    </row>
    <row r="375" spans="14:18" x14ac:dyDescent="0.2">
      <c r="N375" s="88" t="str">
        <f t="shared" si="11"/>
        <v>1D</v>
      </c>
      <c r="O375" s="82">
        <f>_xll.qlCalendarAdvance(Calendar,O374,N375,"f",FALSE)</f>
        <v>42788</v>
      </c>
      <c r="P375" s="92">
        <f>_xll.qlCalendarAdvance(Calendar,O375,NDays&amp;"D")</f>
        <v>42790</v>
      </c>
      <c r="Q375" s="81">
        <v>-1.6279288999075459E-3</v>
      </c>
      <c r="R375" s="85">
        <v>-1.7254995736237788E-3</v>
      </c>
    </row>
    <row r="376" spans="14:18" x14ac:dyDescent="0.2">
      <c r="N376" s="88" t="str">
        <f t="shared" si="11"/>
        <v>1D</v>
      </c>
      <c r="O376" s="82">
        <f>_xll.qlCalendarAdvance(Calendar,O375,N376,"f",FALSE)</f>
        <v>42789</v>
      </c>
      <c r="P376" s="92">
        <f>_xll.qlCalendarAdvance(Calendar,O376,NDays&amp;"D")</f>
        <v>42793</v>
      </c>
      <c r="Q376" s="81">
        <v>-1.5970121181214342E-3</v>
      </c>
      <c r="R376" s="85">
        <v>-1.7153668917302412E-3</v>
      </c>
    </row>
    <row r="377" spans="14:18" x14ac:dyDescent="0.2">
      <c r="N377" s="88" t="str">
        <f t="shared" si="11"/>
        <v>1D</v>
      </c>
      <c r="O377" s="82">
        <f>_xll.qlCalendarAdvance(Calendar,O376,N377,"f",FALSE)</f>
        <v>42790</v>
      </c>
      <c r="P377" s="92">
        <f>_xll.qlCalendarAdvance(Calendar,O377,NDays&amp;"D")</f>
        <v>42794</v>
      </c>
      <c r="Q377" s="81">
        <v>-1.5710014665714484E-3</v>
      </c>
      <c r="R377" s="85">
        <v>-1.7052176231446836E-3</v>
      </c>
    </row>
    <row r="378" spans="14:18" x14ac:dyDescent="0.2">
      <c r="N378" s="88" t="str">
        <f t="shared" si="11"/>
        <v>1D</v>
      </c>
      <c r="O378" s="82">
        <f>_xll.qlCalendarAdvance(Calendar,O377,N378,"f",FALSE)</f>
        <v>42793</v>
      </c>
      <c r="P378" s="92">
        <f>_xll.qlCalendarAdvance(Calendar,O378,NDays&amp;"D")</f>
        <v>42795</v>
      </c>
      <c r="Q378" s="81">
        <v>-1.5501294994171098E-3</v>
      </c>
      <c r="R378" s="85">
        <v>-1.6848559124937879E-3</v>
      </c>
    </row>
    <row r="379" spans="14:18" x14ac:dyDescent="0.2">
      <c r="N379" s="88" t="str">
        <f t="shared" si="11"/>
        <v>1D</v>
      </c>
      <c r="O379" s="82">
        <f>_xll.qlCalendarAdvance(Calendar,O378,N379,"f",FALSE)</f>
        <v>42794</v>
      </c>
      <c r="P379" s="92">
        <f>_xll.qlCalendarAdvance(Calendar,O379,NDays&amp;"D")</f>
        <v>42796</v>
      </c>
      <c r="Q379" s="81">
        <v>-1.54497319256236E-3</v>
      </c>
      <c r="R379" s="85">
        <v>-1.6644546841604324E-3</v>
      </c>
    </row>
    <row r="380" spans="14:18" x14ac:dyDescent="0.2">
      <c r="N380" s="88" t="str">
        <f t="shared" si="11"/>
        <v>1D</v>
      </c>
      <c r="O380" s="82">
        <f>_xll.qlCalendarAdvance(Calendar,O379,N380,"f",FALSE)</f>
        <v>42795</v>
      </c>
      <c r="P380" s="92">
        <f>_xll.qlCalendarAdvance(Calendar,O380,NDays&amp;"D")</f>
        <v>42797</v>
      </c>
      <c r="Q380" s="81">
        <v>-1.539811311030551E-3</v>
      </c>
      <c r="R380" s="85">
        <v>-1.6542224830740082E-3</v>
      </c>
    </row>
    <row r="381" spans="14:18" x14ac:dyDescent="0.2">
      <c r="N381" s="88" t="str">
        <f t="shared" si="11"/>
        <v>1D</v>
      </c>
      <c r="O381" s="82">
        <f>_xll.qlCalendarAdvance(Calendar,O380,N381,"f",FALSE)</f>
        <v>42796</v>
      </c>
      <c r="P381" s="92">
        <f>_xll.qlCalendarAdvance(Calendar,O381,NDays&amp;"D")</f>
        <v>42800</v>
      </c>
      <c r="Q381" s="81">
        <v>-1.5084718143953241E-3</v>
      </c>
      <c r="R381" s="85">
        <v>-1.6439736954954043E-3</v>
      </c>
    </row>
    <row r="382" spans="14:18" x14ac:dyDescent="0.2">
      <c r="N382" s="88" t="str">
        <f t="shared" si="11"/>
        <v>1D</v>
      </c>
      <c r="O382" s="82">
        <f>_xll.qlCalendarAdvance(Calendar,O381,N382,"f",FALSE)</f>
        <v>42797</v>
      </c>
      <c r="P382" s="92">
        <f>_xll.qlCalendarAdvance(Calendar,O382,NDays&amp;"D")</f>
        <v>42801</v>
      </c>
      <c r="Q382" s="81">
        <v>-1.4979921283950473E-3</v>
      </c>
      <c r="R382" s="85">
        <v>-1.6337083215045567E-3</v>
      </c>
    </row>
    <row r="383" spans="14:18" x14ac:dyDescent="0.2">
      <c r="N383" s="88" t="str">
        <f t="shared" si="11"/>
        <v>1D</v>
      </c>
      <c r="O383" s="82">
        <f>_xll.qlCalendarAdvance(Calendar,O382,N383,"f",FALSE)</f>
        <v>42800</v>
      </c>
      <c r="P383" s="92">
        <f>_xll.qlCalendarAdvance(Calendar,O383,NDays&amp;"D")</f>
        <v>42802</v>
      </c>
      <c r="Q383" s="81">
        <v>-1.476888467254366E-3</v>
      </c>
      <c r="R383" s="85">
        <v>-1.6131150567710861E-3</v>
      </c>
    </row>
    <row r="384" spans="14:18" x14ac:dyDescent="0.2">
      <c r="N384" s="88" t="str">
        <f t="shared" si="11"/>
        <v>1D</v>
      </c>
      <c r="O384" s="82">
        <f>_xll.qlCalendarAdvance(Calendar,O383,N384,"f",FALSE)</f>
        <v>42801</v>
      </c>
      <c r="P384" s="92">
        <f>_xll.qlCalendarAdvance(Calendar,O384,NDays&amp;"D")</f>
        <v>42803</v>
      </c>
      <c r="Q384" s="81">
        <v>-1.4716737744072117E-3</v>
      </c>
      <c r="R384" s="85">
        <v>-1.5924809599798806E-3</v>
      </c>
    </row>
    <row r="385" spans="14:18" x14ac:dyDescent="0.2">
      <c r="N385" s="88" t="str">
        <f t="shared" si="11"/>
        <v>1D</v>
      </c>
      <c r="O385" s="82">
        <f>_xll.qlCalendarAdvance(Calendar,O384,N385,"f",FALSE)</f>
        <v>42802</v>
      </c>
      <c r="P385" s="92">
        <f>_xll.qlCalendarAdvance(Calendar,O385,NDays&amp;"D")</f>
        <v>42804</v>
      </c>
      <c r="Q385" s="81">
        <v>-1.4664535084149108E-3</v>
      </c>
      <c r="R385" s="85">
        <v>-1.5821326532483582E-3</v>
      </c>
    </row>
    <row r="386" spans="14:18" x14ac:dyDescent="0.2">
      <c r="N386" s="88" t="str">
        <f t="shared" si="11"/>
        <v>1D</v>
      </c>
      <c r="O386" s="82">
        <f>_xll.qlCalendarAdvance(Calendar,O385,N386,"f",FALSE)</f>
        <v>42803</v>
      </c>
      <c r="P386" s="92">
        <f>_xll.qlCalendarAdvance(Calendar,O386,NDays&amp;"D")</f>
        <v>42807</v>
      </c>
      <c r="Q386" s="81">
        <v>-1.4347655445078717E-3</v>
      </c>
      <c r="R386" s="85">
        <v>-1.571767760064624E-3</v>
      </c>
    </row>
    <row r="387" spans="14:18" x14ac:dyDescent="0.2">
      <c r="N387" s="88" t="str">
        <f t="shared" si="11"/>
        <v>1D</v>
      </c>
      <c r="O387" s="82">
        <f>_xll.qlCalendarAdvance(Calendar,O386,N387,"f",FALSE)</f>
        <v>42804</v>
      </c>
      <c r="P387" s="92">
        <f>_xll.qlCalendarAdvance(Calendar,O387,NDays&amp;"D")</f>
        <v>42808</v>
      </c>
      <c r="Q387" s="81">
        <v>-1.4027348761610015E-3</v>
      </c>
      <c r="R387" s="85">
        <v>-1.5613862803887102E-3</v>
      </c>
    </row>
    <row r="388" spans="14:18" x14ac:dyDescent="0.2">
      <c r="N388" s="88" t="str">
        <f t="shared" si="11"/>
        <v>1D</v>
      </c>
      <c r="O388" s="82">
        <f>_xll.qlCalendarAdvance(Calendar,O387,N388,"f",FALSE)</f>
        <v>42807</v>
      </c>
      <c r="P388" s="92">
        <f>_xll.qlCalendarAdvance(Calendar,O388,NDays&amp;"D")</f>
        <v>42809</v>
      </c>
      <c r="Q388" s="81">
        <v>-1.3974646125480175E-3</v>
      </c>
      <c r="R388" s="85">
        <v>-1.5405614398833478E-3</v>
      </c>
    </row>
    <row r="389" spans="14:18" x14ac:dyDescent="0.2">
      <c r="N389" s="88" t="str">
        <f t="shared" si="11"/>
        <v>1D</v>
      </c>
      <c r="O389" s="82">
        <f>_xll.qlCalendarAdvance(Calendar,O388,N389,"f",FALSE)</f>
        <v>42808</v>
      </c>
      <c r="P389" s="92">
        <f>_xll.qlCalendarAdvance(Calendar,O389,NDays&amp;"D")</f>
        <v>42810</v>
      </c>
      <c r="Q389" s="81">
        <v>-1.3921887773126298E-3</v>
      </c>
      <c r="R389" s="85">
        <v>-1.519694496043833E-3</v>
      </c>
    </row>
    <row r="390" spans="14:18" x14ac:dyDescent="0.2">
      <c r="N390" s="88" t="str">
        <f t="shared" si="11"/>
        <v>1D</v>
      </c>
      <c r="O390" s="82">
        <f>_xll.qlCalendarAdvance(Calendar,O389,N390,"f",FALSE)</f>
        <v>42809</v>
      </c>
      <c r="P390" s="92">
        <f>_xll.qlCalendarAdvance(Calendar,O390,NDays&amp;"D")</f>
        <v>42811</v>
      </c>
      <c r="Q390" s="81">
        <v>-1.3869073706147816E-3</v>
      </c>
      <c r="R390" s="85">
        <v>-1.5092300837071804E-3</v>
      </c>
    </row>
    <row r="391" spans="14:18" x14ac:dyDescent="0.2">
      <c r="N391" s="88" t="str">
        <f t="shared" si="11"/>
        <v>1D</v>
      </c>
      <c r="O391" s="82">
        <f>_xll.qlCalendarAdvance(Calendar,O390,N391,"f",FALSE)</f>
        <v>42810</v>
      </c>
      <c r="P391" s="92">
        <f>_xll.qlCalendarAdvance(Calendar,O391,NDays&amp;"D")</f>
        <v>42814</v>
      </c>
      <c r="Q391" s="81">
        <v>-1.3602461732496695E-3</v>
      </c>
      <c r="R391" s="85">
        <v>-1.498749084798412E-3</v>
      </c>
    </row>
    <row r="392" spans="14:18" x14ac:dyDescent="0.2">
      <c r="N392" s="88" t="str">
        <f t="shared" si="11"/>
        <v>1D</v>
      </c>
      <c r="O392" s="82">
        <f>_xll.qlCalendarAdvance(Calendar,O391,N392,"f",FALSE)</f>
        <v>42811</v>
      </c>
      <c r="P392" s="92">
        <f>_xll.qlCalendarAdvance(Calendar,O392,NDays&amp;"D")</f>
        <v>42815</v>
      </c>
      <c r="Q392" s="81">
        <v>-1.3495341722524756E-3</v>
      </c>
      <c r="R392" s="85">
        <v>-1.4882514992775597E-3</v>
      </c>
    </row>
    <row r="393" spans="14:18" x14ac:dyDescent="0.2">
      <c r="N393" s="88" t="str">
        <f t="shared" si="11"/>
        <v>1D</v>
      </c>
      <c r="O393" s="82">
        <f>_xll.qlCalendarAdvance(Calendar,O392,N393,"f",FALSE)</f>
        <v>42814</v>
      </c>
      <c r="P393" s="92">
        <f>_xll.qlCalendarAdvance(Calendar,O393,NDays&amp;"D")</f>
        <v>42816</v>
      </c>
      <c r="Q393" s="81">
        <v>-1.3279670384306029E-3</v>
      </c>
      <c r="R393" s="85">
        <v>-1.4671950603251105E-3</v>
      </c>
    </row>
    <row r="394" spans="14:18" x14ac:dyDescent="0.2">
      <c r="N394" s="88" t="str">
        <f t="shared" si="11"/>
        <v>1D</v>
      </c>
      <c r="O394" s="82">
        <f>_xll.qlCalendarAdvance(Calendar,O393,N394,"f",FALSE)</f>
        <v>42815</v>
      </c>
      <c r="P394" s="92">
        <f>_xll.qlCalendarAdvance(Calendar,O394,NDays&amp;"D")</f>
        <v>42817</v>
      </c>
      <c r="Q394" s="81">
        <v>-1.3226356058682054E-3</v>
      </c>
      <c r="R394" s="85">
        <v>-1.4460952920325454E-3</v>
      </c>
    </row>
    <row r="395" spans="14:18" x14ac:dyDescent="0.2">
      <c r="N395" s="88" t="str">
        <f t="shared" si="11"/>
        <v>1D</v>
      </c>
      <c r="O395" s="82">
        <f>_xll.qlCalendarAdvance(Calendar,O394,N395,"f",FALSE)</f>
        <v>42816</v>
      </c>
      <c r="P395" s="92">
        <f>_xll.qlCalendarAdvance(Calendar,O395,NDays&amp;"D")</f>
        <v>42818</v>
      </c>
      <c r="Q395" s="81">
        <v>-1.3172986034472357E-3</v>
      </c>
      <c r="R395" s="85">
        <v>-1.4355147738109864E-3</v>
      </c>
    </row>
    <row r="396" spans="14:18" x14ac:dyDescent="0.2">
      <c r="N396" s="88" t="str">
        <f t="shared" si="11"/>
        <v>1D</v>
      </c>
      <c r="O396" s="82">
        <f>_xll.qlCalendarAdvance(Calendar,O395,N396,"f",FALSE)</f>
        <v>42817</v>
      </c>
      <c r="P396" s="92">
        <f>_xll.qlCalendarAdvance(Calendar,O396,NDays&amp;"D")</f>
        <v>42821</v>
      </c>
      <c r="Q396" s="81">
        <v>-1.2849136849700112E-3</v>
      </c>
      <c r="R396" s="85">
        <v>-1.4249176691372156E-3</v>
      </c>
    </row>
    <row r="397" spans="14:18" x14ac:dyDescent="0.2">
      <c r="N397" s="88" t="str">
        <f t="shared" si="11"/>
        <v>1D</v>
      </c>
      <c r="O397" s="82">
        <f>_xll.qlCalendarAdvance(Calendar,O396,N397,"f",FALSE)</f>
        <v>42818</v>
      </c>
      <c r="P397" s="92">
        <f>_xll.qlCalendarAdvance(Calendar,O397,NDays&amp;"D")</f>
        <v>42822</v>
      </c>
      <c r="Q397" s="81">
        <v>-1.2740855231073748E-3</v>
      </c>
      <c r="R397" s="85">
        <v>-1.4143039778913291E-3</v>
      </c>
    </row>
    <row r="398" spans="14:18" x14ac:dyDescent="0.2">
      <c r="N398" s="88" t="str">
        <f t="shared" si="11"/>
        <v>1D</v>
      </c>
      <c r="O398" s="82">
        <f>_xll.qlCalendarAdvance(Calendar,O397,N398,"f",FALSE)</f>
        <v>42821</v>
      </c>
      <c r="P398" s="92">
        <f>_xll.qlCalendarAdvance(Calendar,O398,NDays&amp;"D")</f>
        <v>42823</v>
      </c>
      <c r="Q398" s="81">
        <v>-1.2687096071144488E-3</v>
      </c>
      <c r="R398" s="85">
        <v>-1.3930159166175571E-3</v>
      </c>
    </row>
    <row r="399" spans="14:18" x14ac:dyDescent="0.2">
      <c r="N399" s="88" t="str">
        <f t="shared" si="11"/>
        <v>1D</v>
      </c>
      <c r="O399" s="82">
        <f>_xll.qlCalendarAdvance(Calendar,O398,N399,"f",FALSE)</f>
        <v>42822</v>
      </c>
      <c r="P399" s="92">
        <f>_xll.qlCalendarAdvance(Calendar,O399,NDays&amp;"D")</f>
        <v>42824</v>
      </c>
      <c r="Q399" s="81">
        <v>-1.2633281226020457E-3</v>
      </c>
      <c r="R399" s="85">
        <v>-1.3716833473065293E-3</v>
      </c>
    </row>
    <row r="400" spans="14:18" x14ac:dyDescent="0.2">
      <c r="N400" s="88" t="str">
        <f t="shared" si="11"/>
        <v>1D</v>
      </c>
      <c r="O400" s="82">
        <f>_xll.qlCalendarAdvance(Calendar,O399,N400,"f",FALSE)</f>
        <v>42823</v>
      </c>
      <c r="P400" s="92">
        <f>_xll.qlCalendarAdvance(Calendar,O400,NDays&amp;"D")</f>
        <v>42825</v>
      </c>
      <c r="Q400" s="81">
        <v>-1.2579410697456858E-3</v>
      </c>
      <c r="R400" s="85">
        <v>-1.3609867232400319E-3</v>
      </c>
    </row>
    <row r="401" spans="14:18" x14ac:dyDescent="0.2">
      <c r="N401" s="88" t="str">
        <f t="shared" si="11"/>
        <v>1D</v>
      </c>
      <c r="O401" s="82">
        <f>_xll.qlCalendarAdvance(Calendar,O400,N401,"f",FALSE)</f>
        <v>42824</v>
      </c>
      <c r="P401" s="92">
        <f>_xll.qlCalendarAdvance(Calendar,O401,NDays&amp;"D")</f>
        <v>42828</v>
      </c>
      <c r="Q401" s="81">
        <v>-1.2142782036446143E-3</v>
      </c>
      <c r="R401" s="85">
        <v>-1.3502735126813548E-3</v>
      </c>
    </row>
    <row r="402" spans="14:18" x14ac:dyDescent="0.2">
      <c r="N402" s="88" t="str">
        <f t="shared" si="11"/>
        <v>1D</v>
      </c>
      <c r="O402" s="82">
        <f>_xll.qlCalendarAdvance(Calendar,O401,N402,"f",FALSE)</f>
        <v>42825</v>
      </c>
      <c r="P402" s="92">
        <f>_xll.qlCalendarAdvance(Calendar,O402,NDays&amp;"D")</f>
        <v>42829</v>
      </c>
      <c r="Q402" s="81">
        <v>-1.203342139406427E-3</v>
      </c>
      <c r="R402" s="85">
        <v>-1.3395437154706258E-3</v>
      </c>
    </row>
    <row r="403" spans="14:18" x14ac:dyDescent="0.2">
      <c r="N403" s="88" t="str">
        <f t="shared" si="11"/>
        <v>1D</v>
      </c>
      <c r="O403" s="82">
        <f>_xll.qlCalendarAdvance(Calendar,O402,N403,"f",FALSE)</f>
        <v>42828</v>
      </c>
      <c r="P403" s="92">
        <f>_xll.qlCalendarAdvance(Calendar,O403,NDays&amp;"D")</f>
        <v>42830</v>
      </c>
      <c r="Q403" s="81">
        <v>-1.1923894805505597E-3</v>
      </c>
      <c r="R403" s="85">
        <v>-1.3180240072951932E-3</v>
      </c>
    </row>
    <row r="404" spans="14:18" x14ac:dyDescent="0.2">
      <c r="N404" s="88" t="str">
        <f t="shared" si="11"/>
        <v>1D</v>
      </c>
      <c r="O404" s="82">
        <f>_xll.qlCalendarAdvance(Calendar,O403,N404,"f",FALSE)</f>
        <v>42829</v>
      </c>
      <c r="P404" s="92">
        <f>_xll.qlCalendarAdvance(Calendar,O404,NDays&amp;"D")</f>
        <v>42831</v>
      </c>
      <c r="Q404" s="81">
        <v>-1.1703448863843724E-3</v>
      </c>
      <c r="R404" s="85">
        <v>-1.2964586613861684E-3</v>
      </c>
    </row>
    <row r="405" spans="14:18" x14ac:dyDescent="0.2">
      <c r="N405" s="88" t="str">
        <f t="shared" ref="N405:N468" si="12">N404</f>
        <v>1D</v>
      </c>
      <c r="O405" s="82">
        <f>_xll.qlCalendarAdvance(Calendar,O404,N405,"f",FALSE)</f>
        <v>42830</v>
      </c>
      <c r="P405" s="92">
        <f>_xll.qlCalendarAdvance(Calendar,O405,NDays&amp;"D")</f>
        <v>42832</v>
      </c>
      <c r="Q405" s="81">
        <v>-1.1648911941466015E-3</v>
      </c>
      <c r="R405" s="85">
        <v>-1.2856459313548285E-3</v>
      </c>
    </row>
    <row r="406" spans="14:18" x14ac:dyDescent="0.2">
      <c r="N406" s="88" t="str">
        <f t="shared" si="12"/>
        <v>1D</v>
      </c>
      <c r="O406" s="82">
        <f>_xll.qlCalendarAdvance(Calendar,O405,N406,"f",FALSE)</f>
        <v>42831</v>
      </c>
      <c r="P406" s="92">
        <f>_xll.qlCalendarAdvance(Calendar,O406,NDays&amp;"D")</f>
        <v>42835</v>
      </c>
      <c r="Q406" s="81">
        <v>-1.1373772653753278E-3</v>
      </c>
      <c r="R406" s="85">
        <v>-1.274816614871277E-3</v>
      </c>
    </row>
    <row r="407" spans="14:18" x14ac:dyDescent="0.2">
      <c r="N407" s="88" t="str">
        <f t="shared" si="12"/>
        <v>1D</v>
      </c>
      <c r="O407" s="82">
        <f>_xll.qlCalendarAdvance(Calendar,O406,N407,"f",FALSE)</f>
        <v>42832</v>
      </c>
      <c r="P407" s="92">
        <f>_xll.qlCalendarAdvance(Calendar,O407,NDays&amp;"D")</f>
        <v>42836</v>
      </c>
      <c r="Q407" s="81">
        <v>-1.1263250378394929E-3</v>
      </c>
      <c r="R407" s="85">
        <v>-1.2422039869930401E-3</v>
      </c>
    </row>
    <row r="408" spans="14:18" x14ac:dyDescent="0.2">
      <c r="N408" s="88" t="str">
        <f t="shared" si="12"/>
        <v>1D</v>
      </c>
      <c r="O408" s="82">
        <f>_xll.qlCalendarAdvance(Calendar,O407,N408,"f",FALSE)</f>
        <v>42835</v>
      </c>
      <c r="P408" s="92">
        <f>_xll.qlCalendarAdvance(Calendar,O408,NDays&amp;"D")</f>
        <v>42837</v>
      </c>
      <c r="Q408" s="81">
        <v>-1.115256215367566E-3</v>
      </c>
      <c r="R408" s="85">
        <v>-1.2094923977556959E-3</v>
      </c>
    </row>
    <row r="409" spans="14:18" x14ac:dyDescent="0.2">
      <c r="N409" s="88" t="str">
        <f t="shared" si="12"/>
        <v>1D</v>
      </c>
      <c r="O409" s="82">
        <f>_xll.qlCalendarAdvance(Calendar,O408,N409,"f",FALSE)</f>
        <v>42836</v>
      </c>
      <c r="P409" s="92">
        <f>_xll.qlCalendarAdvance(Calendar,O409,NDays&amp;"D")</f>
        <v>42838</v>
      </c>
      <c r="Q409" s="81">
        <v>-1.0929797788815365E-3</v>
      </c>
      <c r="R409" s="85">
        <v>-1.1985469753472699E-3</v>
      </c>
    </row>
    <row r="410" spans="14:18" x14ac:dyDescent="0.2">
      <c r="N410" s="88" t="str">
        <f t="shared" si="12"/>
        <v>1D</v>
      </c>
      <c r="O410" s="82">
        <f>_xll.qlCalendarAdvance(Calendar,O409,N410,"f",FALSE)</f>
        <v>42837</v>
      </c>
      <c r="P410" s="92">
        <f>_xll.qlCalendarAdvance(Calendar,O410,NDays&amp;"D")</f>
        <v>42843</v>
      </c>
      <c r="Q410" s="81">
        <v>-1.0484947842308578E-3</v>
      </c>
      <c r="R410" s="85">
        <v>-1.187584966166888E-3</v>
      </c>
    </row>
    <row r="411" spans="14:18" x14ac:dyDescent="0.2">
      <c r="N411" s="88" t="str">
        <f t="shared" si="12"/>
        <v>1D</v>
      </c>
      <c r="O411" s="82">
        <f>_xll.qlCalendarAdvance(Calendar,O410,N411,"f",FALSE)</f>
        <v>42838</v>
      </c>
      <c r="P411" s="92">
        <f>_xll.qlCalendarAdvance(Calendar,O411,NDays&amp;"D")</f>
        <v>42844</v>
      </c>
      <c r="Q411" s="81">
        <v>-1.0373097958940036E-3</v>
      </c>
      <c r="R411" s="85">
        <v>-1.1656018854777628E-3</v>
      </c>
    </row>
    <row r="412" spans="14:18" x14ac:dyDescent="0.2">
      <c r="N412" s="88" t="str">
        <f t="shared" si="12"/>
        <v>1D</v>
      </c>
      <c r="O412" s="82">
        <f>_xll.qlCalendarAdvance(Calendar,O411,N412,"f",FALSE)</f>
        <v>42843</v>
      </c>
      <c r="P412" s="92">
        <f>_xll.qlCalendarAdvance(Calendar,O412,NDays&amp;"D")</f>
        <v>42845</v>
      </c>
      <c r="Q412" s="81">
        <v>-1.0148014838988473E-3</v>
      </c>
      <c r="R412" s="85">
        <v>-1.1435710639640106E-3</v>
      </c>
    </row>
    <row r="413" spans="14:18" x14ac:dyDescent="0.2">
      <c r="N413" s="88" t="str">
        <f t="shared" si="12"/>
        <v>1D</v>
      </c>
      <c r="O413" s="82">
        <f>_xll.qlCalendarAdvance(Calendar,O412,N413,"f",FALSE)</f>
        <v>42844</v>
      </c>
      <c r="P413" s="92">
        <f>_xll.qlCalendarAdvance(Calendar,O413,NDays&amp;"D")</f>
        <v>42846</v>
      </c>
      <c r="Q413" s="81">
        <v>-1.0092311524799401E-3</v>
      </c>
      <c r="R413" s="85">
        <v>-1.1325261218830818E-3</v>
      </c>
    </row>
    <row r="414" spans="14:18" x14ac:dyDescent="0.2">
      <c r="N414" s="88" t="str">
        <f t="shared" si="12"/>
        <v>1D</v>
      </c>
      <c r="O414" s="82">
        <f>_xll.qlCalendarAdvance(Calendar,O413,N414,"f",FALSE)</f>
        <v>42845</v>
      </c>
      <c r="P414" s="92">
        <f>_xll.qlCalendarAdvance(Calendar,O414,NDays&amp;"D")</f>
        <v>42849</v>
      </c>
      <c r="Q414" s="81">
        <v>-9.8113592364956759E-4</v>
      </c>
      <c r="R414" s="85">
        <v>-1.1214645933499412E-3</v>
      </c>
    </row>
    <row r="415" spans="14:18" x14ac:dyDescent="0.2">
      <c r="N415" s="88" t="str">
        <f t="shared" si="12"/>
        <v>1D</v>
      </c>
      <c r="O415" s="82">
        <f>_xll.qlCalendarAdvance(Calendar,O414,N415,"f",FALSE)</f>
        <v>42846</v>
      </c>
      <c r="P415" s="92">
        <f>_xll.qlCalendarAdvance(Calendar,O415,NDays&amp;"D")</f>
        <v>42850</v>
      </c>
      <c r="Q415" s="81">
        <v>-9.6415941436271463E-4</v>
      </c>
      <c r="R415" s="85">
        <v>-1.1103864780848127E-3</v>
      </c>
    </row>
    <row r="416" spans="14:18" x14ac:dyDescent="0.2">
      <c r="N416" s="88" t="str">
        <f t="shared" si="12"/>
        <v>1D</v>
      </c>
      <c r="O416" s="82">
        <f>_xll.qlCalendarAdvance(Calendar,O415,N416,"f",FALSE)</f>
        <v>42849</v>
      </c>
      <c r="P416" s="92">
        <f>_xll.qlCalendarAdvance(Calendar,O416,NDays&amp;"D")</f>
        <v>42851</v>
      </c>
      <c r="Q416" s="81">
        <v>-9.5855020628654586E-4</v>
      </c>
      <c r="R416" s="85">
        <v>-1.0826033738675633E-3</v>
      </c>
    </row>
    <row r="417" spans="14:18" x14ac:dyDescent="0.2">
      <c r="N417" s="88" t="str">
        <f t="shared" si="12"/>
        <v>1D</v>
      </c>
      <c r="O417" s="82">
        <f>_xll.qlCalendarAdvance(Calendar,O416,N417,"f",FALSE)</f>
        <v>42850</v>
      </c>
      <c r="P417" s="92">
        <f>_xll.qlCalendarAdvance(Calendar,O417,NDays&amp;"D")</f>
        <v>42852</v>
      </c>
      <c r="Q417" s="81">
        <v>-9.3580998449485642E-4</v>
      </c>
      <c r="R417" s="85">
        <v>-1.0547471032174016E-3</v>
      </c>
    </row>
    <row r="418" spans="14:18" x14ac:dyDescent="0.2">
      <c r="N418" s="88" t="str">
        <f t="shared" si="12"/>
        <v>1D</v>
      </c>
      <c r="O418" s="82">
        <f>_xll.qlCalendarAdvance(Calendar,O417,N418,"f",FALSE)</f>
        <v>42851</v>
      </c>
      <c r="P418" s="92">
        <f>_xll.qlCalendarAdvance(Calendar,O418,NDays&amp;"D")</f>
        <v>42853</v>
      </c>
      <c r="Q418" s="81">
        <v>-9.1873134351489426E-4</v>
      </c>
      <c r="R418" s="85">
        <v>-1.0435694684396424E-3</v>
      </c>
    </row>
    <row r="419" spans="14:18" x14ac:dyDescent="0.2">
      <c r="N419" s="88" t="str">
        <f t="shared" si="12"/>
        <v>1D</v>
      </c>
      <c r="O419" s="82">
        <f>_xll.qlCalendarAdvance(Calendar,O418,N419,"f",FALSE)</f>
        <v>42852</v>
      </c>
      <c r="P419" s="92">
        <f>_xll.qlCalendarAdvance(Calendar,O419,NDays&amp;"D")</f>
        <v>42857</v>
      </c>
      <c r="Q419" s="81">
        <v>-8.8464492777927351E-4</v>
      </c>
      <c r="R419" s="85">
        <v>-1.0323752471297354E-3</v>
      </c>
    </row>
    <row r="420" spans="14:18" x14ac:dyDescent="0.2">
      <c r="N420" s="88" t="str">
        <f t="shared" si="12"/>
        <v>1D</v>
      </c>
      <c r="O420" s="82">
        <f>_xll.qlCalendarAdvance(Calendar,O419,N420,"f",FALSE)</f>
        <v>42853</v>
      </c>
      <c r="P420" s="92">
        <f>_xll.qlCalendarAdvance(Calendar,O420,NDays&amp;"D")</f>
        <v>42858</v>
      </c>
      <c r="Q420" s="81">
        <v>-8.5591201081353422E-4</v>
      </c>
      <c r="R420" s="85">
        <v>-1.0099286825626663E-3</v>
      </c>
    </row>
    <row r="421" spans="14:18" x14ac:dyDescent="0.2">
      <c r="N421" s="88" t="str">
        <f t="shared" si="12"/>
        <v>1D</v>
      </c>
      <c r="O421" s="82">
        <f>_xll.qlCalendarAdvance(Calendar,O420,N421,"f",FALSE)</f>
        <v>42857</v>
      </c>
      <c r="P421" s="92">
        <f>_xll.qlCalendarAdvance(Calendar,O421,NDays&amp;"D")</f>
        <v>42859</v>
      </c>
      <c r="Q421" s="81">
        <v>-8.5022788583274695E-4</v>
      </c>
      <c r="R421" s="85">
        <v>-9.8743249552946111E-4</v>
      </c>
    </row>
    <row r="422" spans="14:18" x14ac:dyDescent="0.2">
      <c r="N422" s="88" t="str">
        <f t="shared" si="12"/>
        <v>1D</v>
      </c>
      <c r="O422" s="82">
        <f>_xll.qlCalendarAdvance(Calendar,O421,N422,"f",FALSE)</f>
        <v>42858</v>
      </c>
      <c r="P422" s="92">
        <f>_xll.qlCalendarAdvance(Calendar,O422,NDays&amp;"D")</f>
        <v>42860</v>
      </c>
      <c r="Q422" s="81">
        <v>-8.4453820268115543E-4</v>
      </c>
      <c r="R422" s="85">
        <v>-9.7615534123907111E-4</v>
      </c>
    </row>
    <row r="423" spans="14:18" x14ac:dyDescent="0.2">
      <c r="N423" s="88" t="str">
        <f t="shared" si="12"/>
        <v>1D</v>
      </c>
      <c r="O423" s="82">
        <f>_xll.qlCalendarAdvance(Calendar,O422,N423,"f",FALSE)</f>
        <v>42859</v>
      </c>
      <c r="P423" s="92">
        <f>_xll.qlCalendarAdvance(Calendar,O423,NDays&amp;"D")</f>
        <v>42863</v>
      </c>
      <c r="Q423" s="81">
        <v>-8.158423999339268E-4</v>
      </c>
      <c r="R423" s="85">
        <v>-9.6486160017672518E-4</v>
      </c>
    </row>
    <row r="424" spans="14:18" x14ac:dyDescent="0.2">
      <c r="N424" s="88" t="str">
        <f t="shared" si="12"/>
        <v>1D</v>
      </c>
      <c r="O424" s="82">
        <f>_xll.qlCalendarAdvance(Calendar,O423,N424,"f",FALSE)</f>
        <v>42860</v>
      </c>
      <c r="P424" s="92">
        <f>_xll.qlCalendarAdvance(Calendar,O424,NDays&amp;"D")</f>
        <v>42864</v>
      </c>
      <c r="Q424" s="81">
        <v>-8.0431722429685055E-4</v>
      </c>
      <c r="R424" s="85">
        <v>-9.5355127258223149E-4</v>
      </c>
    </row>
    <row r="425" spans="14:18" x14ac:dyDescent="0.2">
      <c r="N425" s="88" t="str">
        <f t="shared" si="12"/>
        <v>1D</v>
      </c>
      <c r="O425" s="82">
        <f>_xll.qlCalendarAdvance(Calendar,O424,N425,"f",FALSE)</f>
        <v>42863</v>
      </c>
      <c r="P425" s="92">
        <f>_xll.qlCalendarAdvance(Calendar,O425,NDays&amp;"D")</f>
        <v>42865</v>
      </c>
      <c r="Q425" s="81">
        <v>-7.811269338953154E-4</v>
      </c>
      <c r="R425" s="85">
        <v>-9.3087292175830783E-4</v>
      </c>
    </row>
    <row r="426" spans="14:18" x14ac:dyDescent="0.2">
      <c r="N426" s="88" t="str">
        <f t="shared" si="12"/>
        <v>1D</v>
      </c>
      <c r="O426" s="82">
        <f>_xll.qlCalendarAdvance(Calendar,O425,N426,"f",FALSE)</f>
        <v>42864</v>
      </c>
      <c r="P426" s="92">
        <f>_xll.qlCalendarAdvance(Calendar,O426,NDays&amp;"D")</f>
        <v>42866</v>
      </c>
      <c r="Q426" s="81">
        <v>-7.7538730374540621E-4</v>
      </c>
      <c r="R426" s="85">
        <v>-9.0814409596351453E-4</v>
      </c>
    </row>
    <row r="427" spans="14:18" x14ac:dyDescent="0.2">
      <c r="N427" s="88" t="str">
        <f t="shared" si="12"/>
        <v>1D</v>
      </c>
      <c r="O427" s="82">
        <f>_xll.qlCalendarAdvance(Calendar,O426,N427,"f",FALSE)</f>
        <v>42865</v>
      </c>
      <c r="P427" s="92">
        <f>_xll.qlCalendarAdvance(Calendar,O427,NDays&amp;"D")</f>
        <v>42867</v>
      </c>
      <c r="Q427" s="81">
        <v>-7.6964211753802821E-4</v>
      </c>
      <c r="R427" s="85">
        <v>-8.9675083530860178E-4</v>
      </c>
    </row>
    <row r="428" spans="14:18" x14ac:dyDescent="0.2">
      <c r="N428" s="88" t="str">
        <f t="shared" si="12"/>
        <v>1D</v>
      </c>
      <c r="O428" s="82">
        <f>_xll.qlCalendarAdvance(Calendar,O427,N428,"f",FALSE)</f>
        <v>42866</v>
      </c>
      <c r="P428" s="92">
        <f>_xll.qlCalendarAdvance(Calendar,O428,NDays&amp;"D")</f>
        <v>42870</v>
      </c>
      <c r="Q428" s="81">
        <v>-7.3481763997444846E-4</v>
      </c>
      <c r="R428" s="85">
        <v>-8.8534098804160521E-4</v>
      </c>
    </row>
    <row r="429" spans="14:18" x14ac:dyDescent="0.2">
      <c r="N429" s="88" t="str">
        <f t="shared" si="12"/>
        <v>1D</v>
      </c>
      <c r="O429" s="82">
        <f>_xll.qlCalendarAdvance(Calendar,O428,N429,"f",FALSE)</f>
        <v>42867</v>
      </c>
      <c r="P429" s="92">
        <f>_xll.qlCalendarAdvance(Calendar,O429,NDays&amp;"D")</f>
        <v>42871</v>
      </c>
      <c r="Q429" s="81">
        <v>-7.2317628704506975E-4</v>
      </c>
      <c r="R429" s="85">
        <v>-8.7391455404262075E-4</v>
      </c>
    </row>
    <row r="430" spans="14:18" x14ac:dyDescent="0.2">
      <c r="N430" s="88" t="str">
        <f t="shared" si="12"/>
        <v>1D</v>
      </c>
      <c r="O430" s="82">
        <f>_xll.qlCalendarAdvance(Calendar,O429,N430,"f",FALSE)</f>
        <v>42870</v>
      </c>
      <c r="P430" s="92">
        <f>_xll.qlCalendarAdvance(Calendar,O430,NDays&amp;"D")</f>
        <v>42872</v>
      </c>
      <c r="Q430" s="81">
        <v>-6.9975397514349623E-4</v>
      </c>
      <c r="R430" s="85">
        <v>-8.5100438588003868E-4</v>
      </c>
    </row>
    <row r="431" spans="14:18" x14ac:dyDescent="0.2">
      <c r="N431" s="88" t="str">
        <f t="shared" si="12"/>
        <v>1D</v>
      </c>
      <c r="O431" s="82">
        <f>_xll.qlCalendarAdvance(Calendar,O430,N431,"f",FALSE)</f>
        <v>42871</v>
      </c>
      <c r="P431" s="92">
        <f>_xll.qlCalendarAdvance(Calendar,O431,NDays&amp;"D")</f>
        <v>42873</v>
      </c>
      <c r="Q431" s="81">
        <v>-6.9395608762401473E-4</v>
      </c>
      <c r="R431" s="85">
        <v>-8.2804295208571688E-4</v>
      </c>
    </row>
    <row r="432" spans="14:18" x14ac:dyDescent="0.2">
      <c r="N432" s="88" t="str">
        <f t="shared" si="12"/>
        <v>1D</v>
      </c>
      <c r="O432" s="82">
        <f>_xll.qlCalendarAdvance(Calendar,O431,N432,"f",FALSE)</f>
        <v>42872</v>
      </c>
      <c r="P432" s="92">
        <f>_xll.qlCalendarAdvance(Calendar,O432,NDays&amp;"D")</f>
        <v>42874</v>
      </c>
      <c r="Q432" s="81">
        <v>-6.8815264632326653E-4</v>
      </c>
      <c r="R432" s="85">
        <v>-8.1653358502631335E-4</v>
      </c>
    </row>
    <row r="433" spans="14:18" x14ac:dyDescent="0.2">
      <c r="N433" s="88" t="str">
        <f t="shared" si="12"/>
        <v>1D</v>
      </c>
      <c r="O433" s="82">
        <f>_xll.qlCalendarAdvance(Calendar,O432,N433,"f",FALSE)</f>
        <v>42873</v>
      </c>
      <c r="P433" s="92">
        <f>_xll.qlCalendarAdvance(Calendar,O433,NDays&amp;"D")</f>
        <v>42877</v>
      </c>
      <c r="Q433" s="81">
        <v>-6.5297963165341396E-4</v>
      </c>
      <c r="R433" s="85">
        <v>-7.992354740027352E-4</v>
      </c>
    </row>
    <row r="434" spans="14:18" x14ac:dyDescent="0.2">
      <c r="N434" s="88" t="str">
        <f t="shared" si="12"/>
        <v>1D</v>
      </c>
      <c r="O434" s="82">
        <f>_xll.qlCalendarAdvance(Calendar,O433,N434,"f",FALSE)</f>
        <v>42874</v>
      </c>
      <c r="P434" s="92">
        <f>_xll.qlCalendarAdvance(Calendar,O434,NDays&amp;"D")</f>
        <v>42878</v>
      </c>
      <c r="Q434" s="81">
        <v>-6.2341830415039089E-4</v>
      </c>
      <c r="R434" s="85">
        <v>-7.7032307332913774E-4</v>
      </c>
    </row>
    <row r="435" spans="14:18" x14ac:dyDescent="0.2">
      <c r="N435" s="88" t="str">
        <f t="shared" si="12"/>
        <v>1D</v>
      </c>
      <c r="O435" s="82">
        <f>_xll.qlCalendarAdvance(Calendar,O434,N435,"f",FALSE)</f>
        <v>42877</v>
      </c>
      <c r="P435" s="92">
        <f>_xll.qlCalendarAdvance(Calendar,O435,NDays&amp;"D")</f>
        <v>42879</v>
      </c>
      <c r="Q435" s="81">
        <v>-6.1756772667852613E-4</v>
      </c>
      <c r="R435" s="85">
        <v>-7.4712906333651574E-4</v>
      </c>
    </row>
    <row r="436" spans="14:18" x14ac:dyDescent="0.2">
      <c r="N436" s="88" t="str">
        <f t="shared" si="12"/>
        <v>1D</v>
      </c>
      <c r="O436" s="82">
        <f>_xll.qlCalendarAdvance(Calendar,O435,N436,"f",FALSE)</f>
        <v>42878</v>
      </c>
      <c r="P436" s="92">
        <f>_xll.qlCalendarAdvance(Calendar,O436,NDays&amp;"D")</f>
        <v>42881</v>
      </c>
      <c r="Q436" s="81">
        <v>-6.0584991694317795E-4</v>
      </c>
      <c r="R436" s="85">
        <v>-7.3550358975271735E-4</v>
      </c>
    </row>
    <row r="437" spans="14:18" x14ac:dyDescent="0.2">
      <c r="N437" s="88" t="str">
        <f t="shared" si="12"/>
        <v>1D</v>
      </c>
      <c r="O437" s="82">
        <f>_xll.qlCalendarAdvance(Calendar,O436,N437,"f",FALSE)</f>
        <v>42879</v>
      </c>
      <c r="P437" s="92">
        <f>_xll.qlCalendarAdvance(Calendar,O437,NDays&amp;"D")</f>
        <v>42884</v>
      </c>
      <c r="Q437" s="81">
        <v>-5.7032835778199212E-4</v>
      </c>
      <c r="R437" s="85">
        <v>-7.2386152955683514E-4</v>
      </c>
    </row>
    <row r="438" spans="14:18" x14ac:dyDescent="0.2">
      <c r="N438" s="88" t="str">
        <f t="shared" si="12"/>
        <v>1D</v>
      </c>
      <c r="O438" s="82">
        <f>_xll.qlCalendarAdvance(Calendar,O437,N438,"f",FALSE)</f>
        <v>42881</v>
      </c>
      <c r="P438" s="92">
        <f>_xll.qlCalendarAdvance(Calendar,O438,NDays&amp;"D")</f>
        <v>42885</v>
      </c>
      <c r="Q438" s="81">
        <v>-5.5845464290744452E-4</v>
      </c>
      <c r="R438" s="85">
        <v>-7.122028828687732E-4</v>
      </c>
    </row>
    <row r="439" spans="14:18" x14ac:dyDescent="0.2">
      <c r="N439" s="88" t="str">
        <f t="shared" si="12"/>
        <v>1D</v>
      </c>
      <c r="O439" s="82">
        <f>_xll.qlCalendarAdvance(Calendar,O438,N439,"f",FALSE)</f>
        <v>42884</v>
      </c>
      <c r="P439" s="92">
        <f>_xll.qlCalendarAdvance(Calendar,O439,NDays&amp;"D")</f>
        <v>42886</v>
      </c>
      <c r="Q439" s="81">
        <v>-5.5255414024957261E-4</v>
      </c>
      <c r="R439" s="85">
        <v>-6.829713892431144E-4</v>
      </c>
    </row>
    <row r="440" spans="14:18" x14ac:dyDescent="0.2">
      <c r="N440" s="88" t="str">
        <f t="shared" si="12"/>
        <v>1D</v>
      </c>
      <c r="O440" s="82">
        <f>_xll.qlCalendarAdvance(Calendar,O439,N440,"f",FALSE)</f>
        <v>42885</v>
      </c>
      <c r="P440" s="92">
        <f>_xll.qlCalendarAdvance(Calendar,O440,NDays&amp;"D")</f>
        <v>42887</v>
      </c>
      <c r="Q440" s="81">
        <v>-5.2865381562350322E-4</v>
      </c>
      <c r="R440" s="85">
        <v>-6.5366084904816546E-4</v>
      </c>
    </row>
    <row r="441" spans="14:18" x14ac:dyDescent="0.2">
      <c r="N441" s="88" t="str">
        <f t="shared" si="12"/>
        <v>1D</v>
      </c>
      <c r="O441" s="82">
        <f>_xll.qlCalendarAdvance(Calendar,O440,N441,"f",FALSE)</f>
        <v>42886</v>
      </c>
      <c r="P441" s="92">
        <f>_xll.qlCalendarAdvance(Calendar,O441,NDays&amp;"D")</f>
        <v>42888</v>
      </c>
      <c r="Q441" s="81">
        <v>-5.2273391211610232E-4</v>
      </c>
      <c r="R441" s="85">
        <v>-6.4190268236785641E-4</v>
      </c>
    </row>
    <row r="442" spans="14:18" x14ac:dyDescent="0.2">
      <c r="N442" s="88" t="str">
        <f t="shared" si="12"/>
        <v>1D</v>
      </c>
      <c r="O442" s="82">
        <f>_xll.qlCalendarAdvance(Calendar,O441,N442,"f",FALSE)</f>
        <v>42887</v>
      </c>
      <c r="P442" s="92">
        <f>_xll.qlCalendarAdvance(Calendar,O442,NDays&amp;"D")</f>
        <v>42892</v>
      </c>
      <c r="Q442" s="81">
        <v>-4.809134022902839E-4</v>
      </c>
      <c r="R442" s="85">
        <v>-6.301279289955275E-4</v>
      </c>
    </row>
    <row r="443" spans="14:18" x14ac:dyDescent="0.2">
      <c r="N443" s="88" t="str">
        <f t="shared" si="12"/>
        <v>1D</v>
      </c>
      <c r="O443" s="82">
        <f>_xll.qlCalendarAdvance(Calendar,O442,N443,"f",FALSE)</f>
        <v>42888</v>
      </c>
      <c r="P443" s="92">
        <f>_xll.qlCalendarAdvance(Calendar,O443,NDays&amp;"D")</f>
        <v>42893</v>
      </c>
      <c r="Q443" s="81">
        <v>-4.6891518793090725E-4</v>
      </c>
      <c r="R443" s="85">
        <v>-6.0652211168132908E-4</v>
      </c>
    </row>
    <row r="444" spans="14:18" x14ac:dyDescent="0.2">
      <c r="N444" s="88" t="str">
        <f t="shared" si="12"/>
        <v>1D</v>
      </c>
      <c r="O444" s="82">
        <f>_xll.qlCalendarAdvance(Calendar,O443,N444,"f",FALSE)</f>
        <v>42892</v>
      </c>
      <c r="P444" s="92">
        <f>_xll.qlCalendarAdvance(Calendar,O444,NDays&amp;"D")</f>
        <v>42894</v>
      </c>
      <c r="Q444" s="81">
        <v>-4.447827239117963E-4</v>
      </c>
      <c r="R444" s="85">
        <v>-5.8286304898569341E-4</v>
      </c>
    </row>
    <row r="445" spans="14:18" x14ac:dyDescent="0.2">
      <c r="N445" s="88" t="str">
        <f t="shared" si="12"/>
        <v>1D</v>
      </c>
      <c r="O445" s="82">
        <f>_xll.qlCalendarAdvance(Calendar,O444,N445,"f",FALSE)</f>
        <v>42893</v>
      </c>
      <c r="P445" s="92">
        <f>_xll.qlCalendarAdvance(Calendar,O445,NDays&amp;"D")</f>
        <v>42895</v>
      </c>
      <c r="Q445" s="81">
        <v>-4.3880461439148267E-4</v>
      </c>
      <c r="R445" s="85">
        <v>-5.710053622332012E-4</v>
      </c>
    </row>
    <row r="446" spans="14:18" x14ac:dyDescent="0.2">
      <c r="N446" s="88" t="str">
        <f t="shared" si="12"/>
        <v>1D</v>
      </c>
      <c r="O446" s="82">
        <f>_xll.qlCalendarAdvance(Calendar,O445,N446,"f",FALSE)</f>
        <v>42894</v>
      </c>
      <c r="P446" s="92">
        <f>_xll.qlCalendarAdvance(Calendar,O446,NDays&amp;"D")</f>
        <v>42898</v>
      </c>
      <c r="Q446" s="81">
        <v>-4.0867515013687239E-4</v>
      </c>
      <c r="R446" s="85">
        <v>-5.5913108898852926E-4</v>
      </c>
    </row>
    <row r="447" spans="14:18" x14ac:dyDescent="0.2">
      <c r="N447" s="88" t="str">
        <f t="shared" si="12"/>
        <v>1D</v>
      </c>
      <c r="O447" s="82">
        <f>_xll.qlCalendarAdvance(Calendar,O446,N447,"f",FALSE)</f>
        <v>42895</v>
      </c>
      <c r="P447" s="92">
        <f>_xll.qlCalendarAdvance(Calendar,O447,NDays&amp;"D")</f>
        <v>42899</v>
      </c>
      <c r="Q447" s="81">
        <v>-3.9657734903331132E-4</v>
      </c>
      <c r="R447" s="85">
        <v>-5.4724022897190139E-4</v>
      </c>
    </row>
    <row r="448" spans="14:18" x14ac:dyDescent="0.2">
      <c r="N448" s="88" t="str">
        <f t="shared" si="12"/>
        <v>1D</v>
      </c>
      <c r="O448" s="82">
        <f>_xll.qlCalendarAdvance(Calendar,O447,N448,"f",FALSE)</f>
        <v>42898</v>
      </c>
      <c r="P448" s="92">
        <f>_xll.qlCalendarAdvance(Calendar,O448,NDays&amp;"D")</f>
        <v>42900</v>
      </c>
      <c r="Q448" s="81">
        <v>-3.844629499640817E-4</v>
      </c>
      <c r="R448" s="85">
        <v>-5.2340245922710693E-4</v>
      </c>
    </row>
    <row r="449" spans="14:18" x14ac:dyDescent="0.2">
      <c r="N449" s="88" t="str">
        <f t="shared" si="12"/>
        <v>1D</v>
      </c>
      <c r="O449" s="82">
        <f>_xll.qlCalendarAdvance(Calendar,O448,N449,"f",FALSE)</f>
        <v>42899</v>
      </c>
      <c r="P449" s="92">
        <f>_xll.qlCalendarAdvance(Calendar,O449,NDays&amp;"D")</f>
        <v>42901</v>
      </c>
      <c r="Q449" s="81">
        <v>-3.6009830420388744E-4</v>
      </c>
      <c r="R449" s="85">
        <v>-4.9951092222499938E-4</v>
      </c>
    </row>
    <row r="450" spans="14:18" x14ac:dyDescent="0.2">
      <c r="N450" s="88" t="str">
        <f t="shared" si="12"/>
        <v>1D</v>
      </c>
      <c r="O450" s="82">
        <f>_xll.qlCalendarAdvance(Calendar,O449,N450,"f",FALSE)</f>
        <v>42900</v>
      </c>
      <c r="P450" s="92">
        <f>_xll.qlCalendarAdvance(Calendar,O450,NDays&amp;"D")</f>
        <v>42902</v>
      </c>
      <c r="Q450" s="81">
        <v>-3.5406200613568244E-4</v>
      </c>
      <c r="R450" s="85">
        <v>-4.875371289481123E-4</v>
      </c>
    </row>
    <row r="451" spans="14:18" x14ac:dyDescent="0.2">
      <c r="N451" s="88" t="str">
        <f t="shared" si="12"/>
        <v>1D</v>
      </c>
      <c r="O451" s="82">
        <f>_xll.qlCalendarAdvance(Calendar,O450,N451,"f",FALSE)</f>
        <v>42901</v>
      </c>
      <c r="P451" s="92">
        <f>_xll.qlCalendarAdvance(Calendar,O451,NDays&amp;"D")</f>
        <v>42905</v>
      </c>
      <c r="Q451" s="81">
        <v>-3.2364198335299577E-4</v>
      </c>
      <c r="R451" s="85">
        <v>-4.7554674889926929E-4</v>
      </c>
    </row>
    <row r="452" spans="14:18" x14ac:dyDescent="0.2">
      <c r="N452" s="88" t="str">
        <f t="shared" si="12"/>
        <v>1D</v>
      </c>
      <c r="O452" s="82">
        <f>_xll.qlCalendarAdvance(Calendar,O451,N452,"f",FALSE)</f>
        <v>42902</v>
      </c>
      <c r="P452" s="92">
        <f>_xll.qlCalendarAdvance(Calendar,O452,NDays&amp;"D")</f>
        <v>42906</v>
      </c>
      <c r="Q452" s="81">
        <v>-3.1142799542793753E-4</v>
      </c>
      <c r="R452" s="85">
        <v>-4.4548703872826501E-4</v>
      </c>
    </row>
    <row r="453" spans="14:18" x14ac:dyDescent="0.2">
      <c r="N453" s="88" t="str">
        <f t="shared" si="12"/>
        <v>1D</v>
      </c>
      <c r="O453" s="82">
        <f>_xll.qlCalendarAdvance(Calendar,O452,N453,"f",FALSE)</f>
        <v>42905</v>
      </c>
      <c r="P453" s="92">
        <f>_xll.qlCalendarAdvance(Calendar,O453,NDays&amp;"D")</f>
        <v>42907</v>
      </c>
      <c r="Q453" s="81">
        <v>-2.9919740918282756E-4</v>
      </c>
      <c r="R453" s="85">
        <v>-4.1534604851456436E-4</v>
      </c>
    </row>
    <row r="454" spans="14:18" x14ac:dyDescent="0.2">
      <c r="N454" s="88" t="str">
        <f t="shared" si="12"/>
        <v>1D</v>
      </c>
      <c r="O454" s="82">
        <f>_xll.qlCalendarAdvance(Calendar,O453,N454,"f",FALSE)</f>
        <v>42906</v>
      </c>
      <c r="P454" s="92">
        <f>_xll.qlCalendarAdvance(Calendar,O454,NDays&amp;"D")</f>
        <v>42908</v>
      </c>
      <c r="Q454" s="81">
        <v>-2.746005381482064E-4</v>
      </c>
      <c r="R454" s="85">
        <v>-4.0325614831360213E-4</v>
      </c>
    </row>
    <row r="455" spans="14:18" x14ac:dyDescent="0.2">
      <c r="N455" s="88" t="str">
        <f t="shared" si="12"/>
        <v>1D</v>
      </c>
      <c r="O455" s="82">
        <f>_xll.qlCalendarAdvance(Calendar,O454,N455,"f",FALSE)</f>
        <v>42907</v>
      </c>
      <c r="P455" s="92">
        <f>_xll.qlCalendarAdvance(Calendar,O455,NDays&amp;"D")</f>
        <v>42912</v>
      </c>
      <c r="Q455" s="81">
        <v>-2.3779550139657601E-4</v>
      </c>
      <c r="R455" s="85">
        <v>-3.9114966162046017E-4</v>
      </c>
    </row>
    <row r="456" spans="14:18" x14ac:dyDescent="0.2">
      <c r="N456" s="88" t="str">
        <f t="shared" si="12"/>
        <v>1D</v>
      </c>
      <c r="O456" s="82">
        <f>_xll.qlCalendarAdvance(Calendar,O455,N456,"f",FALSE)</f>
        <v>42908</v>
      </c>
      <c r="P456" s="92">
        <f>_xll.qlCalendarAdvance(Calendar,O456,NDays&amp;"D")</f>
        <v>42913</v>
      </c>
      <c r="Q456" s="81">
        <v>-2.2546532416800602E-4</v>
      </c>
      <c r="R456" s="85">
        <v>-3.7902658803545819E-4</v>
      </c>
    </row>
    <row r="457" spans="14:18" x14ac:dyDescent="0.2">
      <c r="N457" s="88" t="str">
        <f t="shared" si="12"/>
        <v>1D</v>
      </c>
      <c r="O457" s="82">
        <f>_xll.qlCalendarAdvance(Calendar,O456,N457,"f",FALSE)</f>
        <v>42912</v>
      </c>
      <c r="P457" s="92">
        <f>_xll.qlCalendarAdvance(Calendar,O457,NDays&amp;"D")</f>
        <v>42914</v>
      </c>
      <c r="Q457" s="81">
        <v>-2.1311854826633336E-4</v>
      </c>
      <c r="R457" s="85">
        <v>-3.5472480263809558E-4</v>
      </c>
    </row>
    <row r="458" spans="14:18" x14ac:dyDescent="0.2">
      <c r="N458" s="88" t="str">
        <f t="shared" si="12"/>
        <v>1D</v>
      </c>
      <c r="O458" s="82">
        <f>_xll.qlCalendarAdvance(Calendar,O457,N458,"f",FALSE)</f>
        <v>42913</v>
      </c>
      <c r="P458" s="92">
        <f>_xll.qlCalendarAdvance(Calendar,O458,NDays&amp;"D")</f>
        <v>42915</v>
      </c>
      <c r="Q458" s="81">
        <v>-1.8828940720708176E-4</v>
      </c>
      <c r="R458" s="85">
        <v>-3.3036842705502778E-4</v>
      </c>
    </row>
    <row r="459" spans="14:18" x14ac:dyDescent="0.2">
      <c r="N459" s="88" t="str">
        <f t="shared" si="12"/>
        <v>1D</v>
      </c>
      <c r="O459" s="82">
        <f>_xll.qlCalendarAdvance(Calendar,O458,N459,"f",FALSE)</f>
        <v>42914</v>
      </c>
      <c r="P459" s="92">
        <f>_xll.qlCalendarAdvance(Calendar,O459,NDays&amp;"D")</f>
        <v>42916</v>
      </c>
      <c r="Q459" s="81">
        <v>-1.8213678668503014E-4</v>
      </c>
      <c r="R459" s="85">
        <v>-3.1816242012983054E-4</v>
      </c>
    </row>
    <row r="460" spans="14:18" x14ac:dyDescent="0.2">
      <c r="N460" s="88" t="str">
        <f t="shared" si="12"/>
        <v>1D</v>
      </c>
      <c r="O460" s="82">
        <f>_xll.qlCalendarAdvance(Calendar,O459,N460,"f",FALSE)</f>
        <v>42915</v>
      </c>
      <c r="P460" s="92">
        <f>_xll.qlCalendarAdvance(Calendar,O460,NDays&amp;"D")</f>
        <v>42919</v>
      </c>
      <c r="Q460" s="81">
        <v>-1.4487239169335179E-4</v>
      </c>
      <c r="R460" s="85">
        <v>-3.0593982635274131E-4</v>
      </c>
    </row>
    <row r="461" spans="14:18" x14ac:dyDescent="0.2">
      <c r="N461" s="88" t="str">
        <f t="shared" si="12"/>
        <v>1D</v>
      </c>
      <c r="O461" s="82">
        <f>_xll.qlCalendarAdvance(Calendar,O460,N461,"f",FALSE)</f>
        <v>42916</v>
      </c>
      <c r="P461" s="92">
        <f>_xll.qlCalendarAdvance(Calendar,O461,NDays&amp;"D")</f>
        <v>42920</v>
      </c>
      <c r="Q461" s="81">
        <v>-1.3241772790144459E-4</v>
      </c>
      <c r="R461" s="85">
        <v>-2.9370064604350432E-4</v>
      </c>
    </row>
    <row r="462" spans="14:18" x14ac:dyDescent="0.2">
      <c r="N462" s="88" t="str">
        <f t="shared" si="12"/>
        <v>1D</v>
      </c>
      <c r="O462" s="82">
        <f>_xll.qlCalendarAdvance(Calendar,O461,N462,"f",FALSE)</f>
        <v>42919</v>
      </c>
      <c r="P462" s="92">
        <f>_xll.qlCalendarAdvance(Calendar,O462,NDays&amp;"D")</f>
        <v>42921</v>
      </c>
      <c r="Q462" s="81">
        <v>-1.0737011032269096E-4</v>
      </c>
      <c r="R462" s="85">
        <v>-2.6916679509270125E-4</v>
      </c>
    </row>
    <row r="463" spans="14:18" x14ac:dyDescent="0.2">
      <c r="N463" s="88" t="str">
        <f t="shared" si="12"/>
        <v>1D</v>
      </c>
      <c r="O463" s="82">
        <f>_xll.qlCalendarAdvance(Calendar,O462,N463,"f",FALSE)</f>
        <v>42920</v>
      </c>
      <c r="P463" s="92">
        <f>_xll.qlCalendarAdvance(Calendar,O463,NDays&amp;"D")</f>
        <v>42922</v>
      </c>
      <c r="Q463" s="81">
        <v>-1.0116489267048001E-4</v>
      </c>
      <c r="R463" s="85">
        <v>-2.4457805732680526E-4</v>
      </c>
    </row>
    <row r="464" spans="14:18" x14ac:dyDescent="0.2">
      <c r="N464" s="88" t="str">
        <f t="shared" si="12"/>
        <v>1D</v>
      </c>
      <c r="O464" s="82">
        <f>_xll.qlCalendarAdvance(Calendar,O463,N464,"f",FALSE)</f>
        <v>42921</v>
      </c>
      <c r="P464" s="92">
        <f>_xll.qlCalendarAdvance(Calendar,O464,NDays&amp;"D")</f>
        <v>42923</v>
      </c>
      <c r="Q464" s="81">
        <v>-9.4954139382287219E-5</v>
      </c>
      <c r="R464" s="85">
        <v>-2.3225594347753287E-4</v>
      </c>
    </row>
    <row r="465" spans="14:18" x14ac:dyDescent="0.2">
      <c r="N465" s="88" t="str">
        <f t="shared" si="12"/>
        <v>1D</v>
      </c>
      <c r="O465" s="82">
        <f>_xll.qlCalendarAdvance(Calendar,O464,N465,"f",FALSE)</f>
        <v>42922</v>
      </c>
      <c r="P465" s="92">
        <f>_xll.qlCalendarAdvance(Calendar,O465,NDays&amp;"D")</f>
        <v>42926</v>
      </c>
      <c r="Q465" s="81">
        <v>-5.7341154037896417E-5</v>
      </c>
      <c r="R465" s="85">
        <v>-2.1991724285630454E-4</v>
      </c>
    </row>
    <row r="466" spans="14:18" x14ac:dyDescent="0.2">
      <c r="N466" s="88" t="str">
        <f t="shared" si="12"/>
        <v>1D</v>
      </c>
      <c r="O466" s="82">
        <f>_xll.qlCalendarAdvance(Calendar,O465,N466,"f",FALSE)</f>
        <v>42923</v>
      </c>
      <c r="P466" s="92">
        <f>_xll.qlCalendarAdvance(Calendar,O466,NDays&amp;"D")</f>
        <v>42927</v>
      </c>
      <c r="Q466" s="81">
        <v>-4.4770292715681873E-5</v>
      </c>
      <c r="R466" s="85">
        <v>-2.0756195550308831E-4</v>
      </c>
    </row>
    <row r="467" spans="14:18" x14ac:dyDescent="0.2">
      <c r="N467" s="88" t="str">
        <f t="shared" si="12"/>
        <v>1D</v>
      </c>
      <c r="O467" s="82">
        <f>_xll.qlCalendarAdvance(Calendar,O466,N467,"f",FALSE)</f>
        <v>42926</v>
      </c>
      <c r="P467" s="92">
        <f>_xll.qlCalendarAdvance(Calendar,O467,NDays&amp;"D")</f>
        <v>42928</v>
      </c>
      <c r="Q467" s="81">
        <v>-1.9490309244105866E-5</v>
      </c>
      <c r="R467" s="85">
        <v>-1.8279599904413857E-4</v>
      </c>
    </row>
    <row r="468" spans="14:18" x14ac:dyDescent="0.2">
      <c r="N468" s="88" t="str">
        <f t="shared" si="12"/>
        <v>1D</v>
      </c>
      <c r="O468" s="82">
        <f>_xll.qlCalendarAdvance(Calendar,O467,N468,"f",FALSE)</f>
        <v>42927</v>
      </c>
      <c r="P468" s="92">
        <f>_xll.qlCalendarAdvance(Calendar,O468,NDays&amp;"D")</f>
        <v>42929</v>
      </c>
      <c r="Q468" s="81">
        <v>-1.3226975647262496E-5</v>
      </c>
      <c r="R468" s="85">
        <v>-1.579749388902485E-4</v>
      </c>
    </row>
    <row r="469" spans="14:18" x14ac:dyDescent="0.2">
      <c r="N469" s="88" t="str">
        <f t="shared" ref="N469:N532" si="13">N468</f>
        <v>1D</v>
      </c>
      <c r="O469" s="82">
        <f>_xll.qlCalendarAdvance(Calendar,O468,N469,"f",FALSE)</f>
        <v>42928</v>
      </c>
      <c r="P469" s="92">
        <f>_xll.qlCalendarAdvance(Calendar,O469,NDays&amp;"D")</f>
        <v>42930</v>
      </c>
      <c r="Q469" s="81">
        <v>-6.9581093416070145E-6</v>
      </c>
      <c r="R469" s="85">
        <v>-1.4553671799699686E-4</v>
      </c>
    </row>
    <row r="470" spans="14:18" x14ac:dyDescent="0.2">
      <c r="N470" s="88" t="str">
        <f t="shared" si="13"/>
        <v>1D</v>
      </c>
      <c r="O470" s="82">
        <f>_xll.qlCalendarAdvance(Calendar,O469,N470,"f",FALSE)</f>
        <v>42929</v>
      </c>
      <c r="P470" s="92">
        <f>_xll.qlCalendarAdvance(Calendar,O470,NDays&amp;"D")</f>
        <v>42933</v>
      </c>
      <c r="Q470" s="81">
        <v>3.1003474252405143E-5</v>
      </c>
      <c r="R470" s="85">
        <v>-1.3308191029182126E-4</v>
      </c>
    </row>
    <row r="471" spans="14:18" x14ac:dyDescent="0.2">
      <c r="N471" s="88" t="str">
        <f t="shared" si="13"/>
        <v>1D</v>
      </c>
      <c r="O471" s="82">
        <f>_xll.qlCalendarAdvance(Calendar,O470,N471,"f",FALSE)</f>
        <v>42930</v>
      </c>
      <c r="P471" s="92">
        <f>_xll.qlCalendarAdvance(Calendar,O471,NDays&amp;"D")</f>
        <v>42934</v>
      </c>
      <c r="Q471" s="81">
        <v>4.3690535751841989E-5</v>
      </c>
      <c r="R471" s="85">
        <v>-1.2061051589462579E-4</v>
      </c>
    </row>
    <row r="472" spans="14:18" x14ac:dyDescent="0.2">
      <c r="N472" s="88" t="str">
        <f t="shared" si="13"/>
        <v>1D</v>
      </c>
      <c r="O472" s="82">
        <f>_xll.qlCalendarAdvance(Calendar,O471,N472,"f",FALSE)</f>
        <v>42933</v>
      </c>
      <c r="P472" s="92">
        <f>_xll.qlCalendarAdvance(Calendar,O472,NDays&amp;"D")</f>
        <v>42935</v>
      </c>
      <c r="Q472" s="81">
        <v>6.9202933630824702E-5</v>
      </c>
      <c r="R472" s="85">
        <v>-9.5612412773782296E-5</v>
      </c>
    </row>
    <row r="473" spans="14:18" x14ac:dyDescent="0.2">
      <c r="N473" s="88" t="str">
        <f t="shared" si="13"/>
        <v>1D</v>
      </c>
      <c r="O473" s="82">
        <f>_xll.qlCalendarAdvance(Calendar,O472,N473,"f",FALSE)</f>
        <v>42934</v>
      </c>
      <c r="P473" s="92">
        <f>_xll.qlCalendarAdvance(Calendar,O473,NDays&amp;"D")</f>
        <v>42936</v>
      </c>
      <c r="Q473" s="81">
        <v>7.5524362923573563E-5</v>
      </c>
      <c r="R473" s="85">
        <v>-7.0559070985964922E-5</v>
      </c>
    </row>
    <row r="474" spans="14:18" x14ac:dyDescent="0.2">
      <c r="N474" s="88" t="str">
        <f t="shared" si="13"/>
        <v>1D</v>
      </c>
      <c r="O474" s="82">
        <f>_xll.qlCalendarAdvance(Calendar,O473,N474,"f",FALSE)</f>
        <v>42935</v>
      </c>
      <c r="P474" s="92">
        <f>_xll.qlCalendarAdvance(Calendar,O474,NDays&amp;"D")</f>
        <v>42937</v>
      </c>
      <c r="Q474" s="81">
        <v>8.1851321919000584E-5</v>
      </c>
      <c r="R474" s="85">
        <v>-5.8004742928829955E-5</v>
      </c>
    </row>
    <row r="475" spans="14:18" x14ac:dyDescent="0.2">
      <c r="N475" s="88" t="str">
        <f t="shared" si="13"/>
        <v>1D</v>
      </c>
      <c r="O475" s="82">
        <f>_xll.qlCalendarAdvance(Calendar,O474,N475,"f",FALSE)</f>
        <v>42936</v>
      </c>
      <c r="P475" s="92">
        <f>_xll.qlCalendarAdvance(Calendar,O475,NDays&amp;"D")</f>
        <v>42940</v>
      </c>
      <c r="Q475" s="81">
        <v>1.2016151173432194E-4</v>
      </c>
      <c r="R475" s="85">
        <v>-4.5433828179675118E-5</v>
      </c>
    </row>
    <row r="476" spans="14:18" x14ac:dyDescent="0.2">
      <c r="N476" s="88" t="str">
        <f t="shared" si="13"/>
        <v>1D</v>
      </c>
      <c r="O476" s="82">
        <f>_xll.qlCalendarAdvance(Calendar,O475,N476,"f",FALSE)</f>
        <v>42937</v>
      </c>
      <c r="P476" s="92">
        <f>_xll.qlCalendarAdvance(Calendar,O476,NDays&amp;"D")</f>
        <v>42941</v>
      </c>
      <c r="Q476" s="81">
        <v>1.3296477607465681E-4</v>
      </c>
      <c r="R476" s="85">
        <v>-3.2846326618596322E-5</v>
      </c>
    </row>
    <row r="477" spans="14:18" x14ac:dyDescent="0.2">
      <c r="N477" s="88" t="str">
        <f t="shared" si="13"/>
        <v>1D</v>
      </c>
      <c r="O477" s="82">
        <f>_xll.qlCalendarAdvance(Calendar,O476,N477,"f",FALSE)</f>
        <v>42940</v>
      </c>
      <c r="P477" s="92">
        <f>_xll.qlCalendarAdvance(Calendar,O477,NDays&amp;"D")</f>
        <v>42942</v>
      </c>
      <c r="Q477" s="81">
        <v>1.5870963812260962E-4</v>
      </c>
      <c r="R477" s="85">
        <v>-7.6160344564257798E-6</v>
      </c>
    </row>
    <row r="478" spans="14:18" x14ac:dyDescent="0.2">
      <c r="N478" s="88" t="str">
        <f t="shared" si="13"/>
        <v>1D</v>
      </c>
      <c r="O478" s="82">
        <f>_xll.qlCalendarAdvance(Calendar,O477,N478,"f",FALSE)</f>
        <v>42941</v>
      </c>
      <c r="P478" s="92">
        <f>_xll.qlCalendarAdvance(Calendar,O478,NDays&amp;"D")</f>
        <v>42943</v>
      </c>
      <c r="Q478" s="81">
        <v>1.6508914227914007E-4</v>
      </c>
      <c r="R478" s="85">
        <v>1.7669546945597858E-5</v>
      </c>
    </row>
    <row r="479" spans="14:18" x14ac:dyDescent="0.2">
      <c r="N479" s="88" t="str">
        <f t="shared" si="13"/>
        <v>1D</v>
      </c>
      <c r="O479" s="82">
        <f>_xll.qlCalendarAdvance(Calendar,O478,N479,"f",FALSE)</f>
        <v>42942</v>
      </c>
      <c r="P479" s="92">
        <f>_xll.qlCalendarAdvance(Calendar,O479,NDays&amp;"D")</f>
        <v>42944</v>
      </c>
      <c r="Q479" s="81">
        <v>1.7147417305171217E-4</v>
      </c>
      <c r="R479" s="85">
        <v>3.0339982126648124E-5</v>
      </c>
    </row>
    <row r="480" spans="14:18" x14ac:dyDescent="0.2">
      <c r="N480" s="88" t="str">
        <f t="shared" si="13"/>
        <v>1D</v>
      </c>
      <c r="O480" s="82">
        <f>_xll.qlCalendarAdvance(Calendar,O479,N480,"f",FALSE)</f>
        <v>42943</v>
      </c>
      <c r="P480" s="92">
        <f>_xll.qlCalendarAdvance(Calendar,O480,NDays&amp;"D")</f>
        <v>42947</v>
      </c>
      <c r="Q480" s="81">
        <v>2.1013297713738801E-4</v>
      </c>
      <c r="R480" s="85">
        <v>4.3027004119622347E-5</v>
      </c>
    </row>
    <row r="481" spans="14:18" x14ac:dyDescent="0.2">
      <c r="N481" s="88" t="str">
        <f t="shared" si="13"/>
        <v>1D</v>
      </c>
      <c r="O481" s="82">
        <f>_xll.qlCalendarAdvance(Calendar,O480,N481,"f",FALSE)</f>
        <v>42944</v>
      </c>
      <c r="P481" s="92">
        <f>_xll.qlCalendarAdvance(Calendar,O481,NDays&amp;"D")</f>
        <v>42948</v>
      </c>
      <c r="Q481" s="81">
        <v>2.2305244700034671E-4</v>
      </c>
      <c r="R481" s="85">
        <v>5.5730612764648413E-5</v>
      </c>
    </row>
    <row r="482" spans="14:18" x14ac:dyDescent="0.2">
      <c r="N482" s="88" t="str">
        <f t="shared" si="13"/>
        <v>1D</v>
      </c>
      <c r="O482" s="82">
        <f>_xll.qlCalendarAdvance(Calendar,O481,N482,"f",FALSE)</f>
        <v>42947</v>
      </c>
      <c r="P482" s="92">
        <f>_xll.qlCalendarAdvance(Calendar,O482,NDays&amp;"D")</f>
        <v>42949</v>
      </c>
      <c r="Q482" s="81">
        <v>2.4902982424554216E-4</v>
      </c>
      <c r="R482" s="85">
        <v>8.1193137679846927E-5</v>
      </c>
    </row>
    <row r="483" spans="14:18" x14ac:dyDescent="0.2">
      <c r="N483" s="88" t="str">
        <f t="shared" si="13"/>
        <v>1D</v>
      </c>
      <c r="O483" s="82">
        <f>_xll.qlCalendarAdvance(Calendar,O482,N483,"f",FALSE)</f>
        <v>42948</v>
      </c>
      <c r="P483" s="92">
        <f>_xll.qlCalendarAdvance(Calendar,O483,NDays&amp;"D")</f>
        <v>42950</v>
      </c>
      <c r="Q483" s="81">
        <v>2.5546738184140105E-4</v>
      </c>
      <c r="R483" s="85">
        <v>1.0671091538405619E-4</v>
      </c>
    </row>
    <row r="484" spans="14:18" x14ac:dyDescent="0.2">
      <c r="N484" s="88" t="str">
        <f t="shared" si="13"/>
        <v>1D</v>
      </c>
      <c r="O484" s="82">
        <f>_xll.qlCalendarAdvance(Calendar,O483,N484,"f",FALSE)</f>
        <v>42949</v>
      </c>
      <c r="P484" s="92">
        <f>_xll.qlCalendarAdvance(Calendar,O484,NDays&amp;"D")</f>
        <v>42951</v>
      </c>
      <c r="Q484" s="81">
        <v>2.6191046287889073E-4</v>
      </c>
      <c r="R484" s="85">
        <v>1.1949745792882993E-4</v>
      </c>
    </row>
    <row r="485" spans="14:18" x14ac:dyDescent="0.2">
      <c r="N485" s="88" t="str">
        <f t="shared" si="13"/>
        <v>1D</v>
      </c>
      <c r="O485" s="82">
        <f>_xll.qlCalendarAdvance(Calendar,O484,N485,"f",FALSE)</f>
        <v>42950</v>
      </c>
      <c r="P485" s="92">
        <f>_xll.qlCalendarAdvance(Calendar,O485,NDays&amp;"D")</f>
        <v>42954</v>
      </c>
      <c r="Q485" s="81">
        <v>3.0091788934972022E-4</v>
      </c>
      <c r="R485" s="85">
        <v>1.3230058712565551E-4</v>
      </c>
    </row>
    <row r="486" spans="14:18" x14ac:dyDescent="0.2">
      <c r="N486" s="88" t="str">
        <f t="shared" si="13"/>
        <v>1D</v>
      </c>
      <c r="O486" s="82">
        <f>_xll.qlCalendarAdvance(Calendar,O485,N486,"f",FALSE)</f>
        <v>42951</v>
      </c>
      <c r="P486" s="92">
        <f>_xll.qlCalendarAdvance(Calendar,O486,NDays&amp;"D")</f>
        <v>42955</v>
      </c>
      <c r="Q486" s="81">
        <v>3.1395356745312871E-4</v>
      </c>
      <c r="R486" s="85">
        <v>1.4512030313440505E-4</v>
      </c>
    </row>
    <row r="487" spans="14:18" x14ac:dyDescent="0.2">
      <c r="N487" s="88" t="str">
        <f t="shared" si="13"/>
        <v>1D</v>
      </c>
      <c r="O487" s="82">
        <f>_xll.qlCalendarAdvance(Calendar,O486,N487,"f",FALSE)</f>
        <v>42954</v>
      </c>
      <c r="P487" s="92">
        <f>_xll.qlCalendarAdvance(Calendar,O487,NDays&amp;"D")</f>
        <v>42956</v>
      </c>
      <c r="Q487" s="81">
        <v>3.4016351219437723E-4</v>
      </c>
      <c r="R487" s="85">
        <v>1.708151053936291E-4</v>
      </c>
    </row>
    <row r="488" spans="14:18" x14ac:dyDescent="0.2">
      <c r="N488" s="88" t="str">
        <f t="shared" si="13"/>
        <v>1D</v>
      </c>
      <c r="O488" s="82">
        <f>_xll.qlCalendarAdvance(Calendar,O487,N488,"f",FALSE)</f>
        <v>42955</v>
      </c>
      <c r="P488" s="92">
        <f>_xll.qlCalendarAdvance(Calendar,O488,NDays&amp;"D")</f>
        <v>42957</v>
      </c>
      <c r="Q488" s="81">
        <v>3.4665910120468268E-4</v>
      </c>
      <c r="R488" s="85">
        <v>1.965650350488346E-4</v>
      </c>
    </row>
    <row r="489" spans="14:18" x14ac:dyDescent="0.2">
      <c r="N489" s="88" t="str">
        <f t="shared" si="13"/>
        <v>1D</v>
      </c>
      <c r="O489" s="82">
        <f>_xll.qlCalendarAdvance(Calendar,O488,N489,"f",FALSE)</f>
        <v>42956</v>
      </c>
      <c r="P489" s="92">
        <f>_xll.qlCalendarAdvance(Calendar,O489,NDays&amp;"D")</f>
        <v>42958</v>
      </c>
      <c r="Q489" s="81">
        <v>3.5316021039179647E-4</v>
      </c>
      <c r="R489" s="85">
        <v>2.0946768495733181E-4</v>
      </c>
    </row>
    <row r="490" spans="14:18" x14ac:dyDescent="0.2">
      <c r="N490" s="88" t="str">
        <f t="shared" si="13"/>
        <v>1D</v>
      </c>
      <c r="O490" s="82">
        <f>_xll.qlCalendarAdvance(Calendar,O489,N490,"f",FALSE)</f>
        <v>42957</v>
      </c>
      <c r="P490" s="92">
        <f>_xll.qlCalendarAdvance(Calendar,O490,NDays&amp;"D")</f>
        <v>42961</v>
      </c>
      <c r="Q490" s="81">
        <v>3.9251626743993623E-4</v>
      </c>
      <c r="R490" s="85">
        <v>2.2238692159781692E-4</v>
      </c>
    </row>
    <row r="491" spans="14:18" x14ac:dyDescent="0.2">
      <c r="N491" s="88" t="str">
        <f t="shared" si="13"/>
        <v>1D</v>
      </c>
      <c r="O491" s="82">
        <f>_xll.qlCalendarAdvance(Calendar,O490,N491,"f",FALSE)</f>
        <v>42958</v>
      </c>
      <c r="P491" s="92">
        <f>_xll.qlCalendarAdvance(Calendar,O491,NDays&amp;"D")</f>
        <v>42962</v>
      </c>
      <c r="Q491" s="81">
        <v>4.0566815652224919E-4</v>
      </c>
      <c r="R491" s="85">
        <v>2.3532274497028993E-4</v>
      </c>
    </row>
    <row r="492" spans="14:18" x14ac:dyDescent="0.2">
      <c r="N492" s="88" t="str">
        <f t="shared" si="13"/>
        <v>1D</v>
      </c>
      <c r="O492" s="82">
        <f>_xll.qlCalendarAdvance(Calendar,O491,N492,"f",FALSE)</f>
        <v>42961</v>
      </c>
      <c r="P492" s="92">
        <f>_xll.qlCalendarAdvance(Calendar,O492,NDays&amp;"D")</f>
        <v>42963</v>
      </c>
      <c r="Q492" s="81">
        <v>4.3211072234312041E-4</v>
      </c>
      <c r="R492" s="85">
        <v>2.6124987056341809E-4</v>
      </c>
    </row>
    <row r="493" spans="14:18" x14ac:dyDescent="0.2">
      <c r="N493" s="88" t="str">
        <f t="shared" si="13"/>
        <v>1D</v>
      </c>
      <c r="O493" s="82">
        <f>_xll.qlCalendarAdvance(Calendar,O492,N493,"f",FALSE)</f>
        <v>42962</v>
      </c>
      <c r="P493" s="92">
        <f>_xll.qlCalendarAdvance(Calendar,O493,NDays&amp;"D")</f>
        <v>42964</v>
      </c>
      <c r="Q493" s="81">
        <v>4.3866432013317525E-4</v>
      </c>
      <c r="R493" s="85">
        <v>2.8723190649948549E-4</v>
      </c>
    </row>
    <row r="494" spans="14:18" x14ac:dyDescent="0.2">
      <c r="N494" s="88" t="str">
        <f t="shared" si="13"/>
        <v>1D</v>
      </c>
      <c r="O494" s="82">
        <f>_xll.qlCalendarAdvance(Calendar,O493,N494,"f",FALSE)</f>
        <v>42963</v>
      </c>
      <c r="P494" s="92">
        <f>_xll.qlCalendarAdvance(Calendar,O494,NDays&amp;"D")</f>
        <v>42965</v>
      </c>
      <c r="Q494" s="81">
        <v>4.4522343475187606E-4</v>
      </c>
      <c r="R494" s="85">
        <v>3.0025066385164223E-4</v>
      </c>
    </row>
    <row r="495" spans="14:18" x14ac:dyDescent="0.2">
      <c r="N495" s="88" t="str">
        <f t="shared" si="13"/>
        <v>1D</v>
      </c>
      <c r="O495" s="82">
        <f>_xll.qlCalendarAdvance(Calendar,O494,N495,"f",FALSE)</f>
        <v>42964</v>
      </c>
      <c r="P495" s="92">
        <f>_xll.qlCalendarAdvance(Calendar,O495,NDays&amp;"D")</f>
        <v>42968</v>
      </c>
      <c r="Q495" s="81">
        <v>4.8492813064684016E-4</v>
      </c>
      <c r="R495" s="85">
        <v>3.1328600793578687E-4</v>
      </c>
    </row>
    <row r="496" spans="14:18" x14ac:dyDescent="0.2">
      <c r="N496" s="88" t="str">
        <f t="shared" si="13"/>
        <v>1D</v>
      </c>
      <c r="O496" s="82">
        <f>_xll.qlCalendarAdvance(Calendar,O495,N496,"f",FALSE)</f>
        <v>42965</v>
      </c>
      <c r="P496" s="92">
        <f>_xll.qlCalendarAdvance(Calendar,O496,NDays&amp;"D")</f>
        <v>42969</v>
      </c>
      <c r="Q496" s="81">
        <v>4.9819623346971937E-4</v>
      </c>
      <c r="R496" s="85">
        <v>3.2633793891179153E-4</v>
      </c>
    </row>
    <row r="497" spans="14:18" x14ac:dyDescent="0.2">
      <c r="N497" s="88" t="str">
        <f t="shared" si="13"/>
        <v>1D</v>
      </c>
      <c r="O497" s="82">
        <f>_xll.qlCalendarAdvance(Calendar,O496,N497,"f",FALSE)</f>
        <v>42968</v>
      </c>
      <c r="P497" s="92">
        <f>_xll.qlCalendarAdvance(Calendar,O497,NDays&amp;"D")</f>
        <v>42970</v>
      </c>
      <c r="Q497" s="81">
        <v>5.2487147524260536E-4</v>
      </c>
      <c r="R497" s="85">
        <v>3.5249743497445252E-4</v>
      </c>
    </row>
    <row r="498" spans="14:18" x14ac:dyDescent="0.2">
      <c r="N498" s="88" t="str">
        <f t="shared" si="13"/>
        <v>1D</v>
      </c>
      <c r="O498" s="82">
        <f>_xll.qlCalendarAdvance(Calendar,O497,N498,"f",FALSE)</f>
        <v>42969</v>
      </c>
      <c r="P498" s="92">
        <f>_xll.qlCalendarAdvance(Calendar,O498,NDays&amp;"D")</f>
        <v>42971</v>
      </c>
      <c r="Q498" s="81">
        <v>5.3148305857841915E-4</v>
      </c>
      <c r="R498" s="85">
        <v>3.7871153045543338E-4</v>
      </c>
    </row>
    <row r="499" spans="14:18" x14ac:dyDescent="0.2">
      <c r="N499" s="88" t="str">
        <f t="shared" si="13"/>
        <v>1D</v>
      </c>
      <c r="O499" s="82">
        <f>_xll.qlCalendarAdvance(Calendar,O498,N499,"f",FALSE)</f>
        <v>42970</v>
      </c>
      <c r="P499" s="92">
        <f>_xll.qlCalendarAdvance(Calendar,O499,NDays&amp;"D")</f>
        <v>42972</v>
      </c>
      <c r="Q499" s="81">
        <v>5.3810015529849825E-4</v>
      </c>
      <c r="R499" s="85">
        <v>3.9184639525124965E-4</v>
      </c>
    </row>
    <row r="500" spans="14:18" x14ac:dyDescent="0.2">
      <c r="N500" s="88" t="str">
        <f t="shared" si="13"/>
        <v>1D</v>
      </c>
      <c r="O500" s="82">
        <f>_xll.qlCalendarAdvance(Calendar,O499,N500,"f",FALSE)</f>
        <v>42971</v>
      </c>
      <c r="P500" s="92">
        <f>_xll.qlCalendarAdvance(Calendar,O500,NDays&amp;"D")</f>
        <v>42975</v>
      </c>
      <c r="Q500" s="81">
        <v>5.7815349837942256E-4</v>
      </c>
      <c r="R500" s="85">
        <v>4.0499784701886199E-4</v>
      </c>
    </row>
    <row r="501" spans="14:18" x14ac:dyDescent="0.2">
      <c r="N501" s="88" t="str">
        <f t="shared" si="13"/>
        <v>1D</v>
      </c>
      <c r="O501" s="82">
        <f>_xll.qlCalendarAdvance(Calendar,O500,N501,"f",FALSE)</f>
        <v>42972</v>
      </c>
      <c r="P501" s="92">
        <f>_xll.qlCalendarAdvance(Calendar,O501,NDays&amp;"D")</f>
        <v>42976</v>
      </c>
      <c r="Q501" s="81">
        <v>5.9153781772515858E-4</v>
      </c>
      <c r="R501" s="85">
        <v>4.1816588551846223E-4</v>
      </c>
    </row>
    <row r="502" spans="14:18" x14ac:dyDescent="0.2">
      <c r="N502" s="88" t="str">
        <f t="shared" si="13"/>
        <v>1D</v>
      </c>
      <c r="O502" s="82">
        <f>_xll.qlCalendarAdvance(Calendar,O501,N502,"f",FALSE)</f>
        <v>42975</v>
      </c>
      <c r="P502" s="92">
        <f>_xll.qlCalendarAdvance(Calendar,O502,NDays&amp;"D")</f>
        <v>42977</v>
      </c>
      <c r="Q502" s="81">
        <v>5.9819354736312391E-4</v>
      </c>
      <c r="R502" s="85">
        <v>4.4455780051855243E-4</v>
      </c>
    </row>
    <row r="503" spans="14:18" x14ac:dyDescent="0.2">
      <c r="N503" s="88" t="str">
        <f t="shared" si="13"/>
        <v>1D</v>
      </c>
      <c r="O503" s="82">
        <f>_xll.qlCalendarAdvance(Calendar,O502,N503,"f",FALSE)</f>
        <v>42976</v>
      </c>
      <c r="P503" s="92">
        <f>_xll.qlCalendarAdvance(Calendar,O503,NDays&amp;"D")</f>
        <v>42978</v>
      </c>
      <c r="Q503" s="81">
        <v>6.0485478760758011E-4</v>
      </c>
      <c r="R503" s="85">
        <v>4.7100390739629461E-4</v>
      </c>
    </row>
    <row r="504" spans="14:18" x14ac:dyDescent="0.2">
      <c r="N504" s="88" t="str">
        <f t="shared" si="13"/>
        <v>1D</v>
      </c>
      <c r="O504" s="82">
        <f>_xll.qlCalendarAdvance(Calendar,O503,N504,"f",FALSE)</f>
        <v>42977</v>
      </c>
      <c r="P504" s="92">
        <f>_xll.qlCalendarAdvance(Calendar,O504,NDays&amp;"D")</f>
        <v>42979</v>
      </c>
      <c r="Q504" s="81">
        <v>6.3178763278541378E-4</v>
      </c>
      <c r="R504" s="85">
        <v>4.8425487987557858E-4</v>
      </c>
    </row>
    <row r="505" spans="14:18" x14ac:dyDescent="0.2">
      <c r="N505" s="88" t="str">
        <f t="shared" si="13"/>
        <v>1D</v>
      </c>
      <c r="O505" s="82">
        <f>_xll.qlCalendarAdvance(Calendar,O504,N505,"f",FALSE)</f>
        <v>42978</v>
      </c>
      <c r="P505" s="92">
        <f>_xll.qlCalendarAdvance(Calendar,O505,NDays&amp;"D")</f>
        <v>42982</v>
      </c>
      <c r="Q505" s="81">
        <v>6.6539237502549753E-4</v>
      </c>
      <c r="R505" s="85">
        <v>4.9752243916678651E-4</v>
      </c>
    </row>
    <row r="506" spans="14:18" x14ac:dyDescent="0.2">
      <c r="N506" s="88" t="str">
        <f t="shared" si="13"/>
        <v>1D</v>
      </c>
      <c r="O506" s="82">
        <f>_xll.qlCalendarAdvance(Calendar,O505,N506,"f",FALSE)</f>
        <v>42979</v>
      </c>
      <c r="P506" s="92">
        <f>_xll.qlCalendarAdvance(Calendar,O506,NDays&amp;"D")</f>
        <v>42983</v>
      </c>
      <c r="Q506" s="81">
        <v>6.7887497900809279E-4</v>
      </c>
      <c r="R506" s="85">
        <v>5.1080658534985446E-4</v>
      </c>
    </row>
    <row r="507" spans="14:18" x14ac:dyDescent="0.2">
      <c r="N507" s="88" t="str">
        <f t="shared" si="13"/>
        <v>1D</v>
      </c>
      <c r="O507" s="82">
        <f>_xll.qlCalendarAdvance(Calendar,O506,N507,"f",FALSE)</f>
        <v>42982</v>
      </c>
      <c r="P507" s="92">
        <f>_xll.qlCalendarAdvance(Calendar,O507,NDays&amp;"D")</f>
        <v>42984</v>
      </c>
      <c r="Q507" s="81">
        <v>6.9237038443592525E-4</v>
      </c>
      <c r="R507" s="85">
        <v>5.3743096908753785E-4</v>
      </c>
    </row>
    <row r="508" spans="14:18" x14ac:dyDescent="0.2">
      <c r="N508" s="88" t="str">
        <f t="shared" si="13"/>
        <v>1D</v>
      </c>
      <c r="O508" s="82">
        <f>_xll.qlCalendarAdvance(Calendar,O507,N508,"f",FALSE)</f>
        <v>42983</v>
      </c>
      <c r="P508" s="92">
        <f>_xll.qlCalendarAdvance(Calendar,O508,NDays&amp;"D")</f>
        <v>42985</v>
      </c>
      <c r="Q508" s="81">
        <v>7.1946219072860362E-4</v>
      </c>
      <c r="R508" s="85">
        <v>5.6410903788162159E-4</v>
      </c>
    </row>
    <row r="509" spans="14:18" x14ac:dyDescent="0.2">
      <c r="N509" s="88" t="str">
        <f t="shared" si="13"/>
        <v>1D</v>
      </c>
      <c r="O509" s="82">
        <f>_xll.qlCalendarAdvance(Calendar,O508,N509,"f",FALSE)</f>
        <v>42984</v>
      </c>
      <c r="P509" s="92">
        <f>_xll.qlCalendarAdvance(Calendar,O509,NDays&amp;"D")</f>
        <v>42986</v>
      </c>
      <c r="Q509" s="81">
        <v>7.2619198631214995E-4</v>
      </c>
      <c r="R509" s="85">
        <v>5.7747611820424538E-4</v>
      </c>
    </row>
    <row r="510" spans="14:18" x14ac:dyDescent="0.2">
      <c r="N510" s="88" t="str">
        <f t="shared" si="13"/>
        <v>1D</v>
      </c>
      <c r="O510" s="82">
        <f>_xll.qlCalendarAdvance(Calendar,O509,N510,"f",FALSE)</f>
        <v>42985</v>
      </c>
      <c r="P510" s="92">
        <f>_xll.qlCalendarAdvance(Calendar,O510,NDays&amp;"D")</f>
        <v>42989</v>
      </c>
      <c r="Q510" s="81">
        <v>7.6001726239116607E-4</v>
      </c>
      <c r="R510" s="85">
        <v>5.9085978517892102E-4</v>
      </c>
    </row>
    <row r="511" spans="14:18" x14ac:dyDescent="0.2">
      <c r="N511" s="88" t="str">
        <f t="shared" si="13"/>
        <v>1D</v>
      </c>
      <c r="O511" s="82">
        <f>_xll.qlCalendarAdvance(Calendar,O510,N511,"f",FALSE)</f>
        <v>42986</v>
      </c>
      <c r="P511" s="92">
        <f>_xll.qlCalendarAdvance(Calendar,O511,NDays&amp;"D")</f>
        <v>42990</v>
      </c>
      <c r="Q511" s="81">
        <v>7.7357617392870281E-4</v>
      </c>
      <c r="R511" s="85">
        <v>6.0426003904545667E-4</v>
      </c>
    </row>
    <row r="512" spans="14:18" x14ac:dyDescent="0.2">
      <c r="N512" s="88" t="str">
        <f t="shared" si="13"/>
        <v>1D</v>
      </c>
      <c r="O512" s="82">
        <f>_xll.qlCalendarAdvance(Calendar,O511,N512,"f",FALSE)</f>
        <v>42989</v>
      </c>
      <c r="P512" s="92">
        <f>_xll.qlCalendarAdvance(Calendar,O512,NDays&amp;"D")</f>
        <v>42991</v>
      </c>
      <c r="Q512" s="81">
        <v>7.8714345269315089E-4</v>
      </c>
      <c r="R512" s="85">
        <v>6.3111694249329275E-4</v>
      </c>
    </row>
    <row r="513" spans="14:18" x14ac:dyDescent="0.2">
      <c r="N513" s="88" t="str">
        <f t="shared" si="13"/>
        <v>1D</v>
      </c>
      <c r="O513" s="82">
        <f>_xll.qlCalendarAdvance(Calendar,O512,N513,"f",FALSE)</f>
        <v>42990</v>
      </c>
      <c r="P513" s="92">
        <f>_xll.qlCalendarAdvance(Calendar,O513,NDays&amp;"D")</f>
        <v>42992</v>
      </c>
      <c r="Q513" s="81">
        <v>8.1433428086502557E-4</v>
      </c>
      <c r="R513" s="85">
        <v>6.5802692287064701E-4</v>
      </c>
    </row>
    <row r="514" spans="14:18" x14ac:dyDescent="0.2">
      <c r="N514" s="88" t="str">
        <f t="shared" si="13"/>
        <v>1D</v>
      </c>
      <c r="O514" s="82">
        <f>_xll.qlCalendarAdvance(Calendar,O513,N514,"f",FALSE)</f>
        <v>42991</v>
      </c>
      <c r="P514" s="92">
        <f>_xll.qlCalendarAdvance(Calendar,O514,NDays&amp;"D")</f>
        <v>42993</v>
      </c>
      <c r="Q514" s="81">
        <v>8.2110949107909578E-4</v>
      </c>
      <c r="R514" s="85">
        <v>6.7151011087673851E-4</v>
      </c>
    </row>
    <row r="515" spans="14:18" x14ac:dyDescent="0.2">
      <c r="N515" s="88" t="str">
        <f t="shared" si="13"/>
        <v>1D</v>
      </c>
      <c r="O515" s="82">
        <f>_xll.qlCalendarAdvance(Calendar,O514,N515,"f",FALSE)</f>
        <v>42992</v>
      </c>
      <c r="P515" s="92">
        <f>_xll.qlCalendarAdvance(Calendar,O515,NDays&amp;"D")</f>
        <v>42996</v>
      </c>
      <c r="Q515" s="81">
        <v>8.5508318340377087E-4</v>
      </c>
      <c r="R515" s="85">
        <v>6.8500988585462608E-4</v>
      </c>
    </row>
    <row r="516" spans="14:18" x14ac:dyDescent="0.2">
      <c r="N516" s="88" t="str">
        <f t="shared" si="13"/>
        <v>1D</v>
      </c>
      <c r="O516" s="82">
        <f>_xll.qlCalendarAdvance(Calendar,O515,N516,"f",FALSE)</f>
        <v>42993</v>
      </c>
      <c r="P516" s="92">
        <f>_xll.qlCalendarAdvance(Calendar,O516,NDays&amp;"D")</f>
        <v>42997</v>
      </c>
      <c r="Q516" s="81">
        <v>8.6868736256562329E-4</v>
      </c>
      <c r="R516" s="85">
        <v>6.9852624748456549E-4</v>
      </c>
    </row>
    <row r="517" spans="14:18" x14ac:dyDescent="0.2">
      <c r="N517" s="88" t="str">
        <f t="shared" si="13"/>
        <v>1D</v>
      </c>
      <c r="O517" s="82">
        <f>_xll.qlCalendarAdvance(Calendar,O516,N517,"f",FALSE)</f>
        <v>42996</v>
      </c>
      <c r="P517" s="92">
        <f>_xll.qlCalendarAdvance(Calendar,O517,NDays&amp;"D")</f>
        <v>42998</v>
      </c>
      <c r="Q517" s="81">
        <v>8.8229547460549895E-4</v>
      </c>
      <c r="R517" s="85">
        <v>7.2561572270757324E-4</v>
      </c>
    </row>
    <row r="518" spans="14:18" x14ac:dyDescent="0.2">
      <c r="N518" s="88" t="str">
        <f t="shared" si="13"/>
        <v>1D</v>
      </c>
      <c r="O518" s="82">
        <f>_xll.qlCalendarAdvance(Calendar,O517,N518,"f",FALSE)</f>
        <v>42997</v>
      </c>
      <c r="P518" s="92">
        <f>_xll.qlCalendarAdvance(Calendar,O518,NDays&amp;"D")</f>
        <v>42999</v>
      </c>
      <c r="Q518" s="81">
        <v>9.0952523532139562E-4</v>
      </c>
      <c r="R518" s="85">
        <v>7.5275756268311511E-4</v>
      </c>
    </row>
    <row r="519" spans="14:18" x14ac:dyDescent="0.2">
      <c r="N519" s="88" t="str">
        <f t="shared" si="13"/>
        <v>1D</v>
      </c>
      <c r="O519" s="82">
        <f>_xll.qlCalendarAdvance(Calendar,O518,N519,"f",FALSE)</f>
        <v>42998</v>
      </c>
      <c r="P519" s="92">
        <f>_xll.qlCalendarAdvance(Calendar,O519,NDays&amp;"D")</f>
        <v>43000</v>
      </c>
      <c r="Q519" s="81">
        <v>9.1632987628419106E-4</v>
      </c>
      <c r="R519" s="85">
        <v>7.6635685861248248E-4</v>
      </c>
    </row>
    <row r="520" spans="14:18" x14ac:dyDescent="0.2">
      <c r="N520" s="88" t="str">
        <f t="shared" si="13"/>
        <v>1D</v>
      </c>
      <c r="O520" s="82">
        <f>_xll.qlCalendarAdvance(Calendar,O519,N520,"f",FALSE)</f>
        <v>42999</v>
      </c>
      <c r="P520" s="92">
        <f>_xll.qlCalendarAdvance(Calendar,O520,NDays&amp;"D")</f>
        <v>43003</v>
      </c>
      <c r="Q520" s="81">
        <v>9.5037285564725238E-4</v>
      </c>
      <c r="R520" s="85">
        <v>7.7997274143370987E-4</v>
      </c>
    </row>
    <row r="521" spans="14:18" x14ac:dyDescent="0.2">
      <c r="N521" s="88" t="str">
        <f t="shared" si="13"/>
        <v>1D</v>
      </c>
      <c r="O521" s="82">
        <f>_xll.qlCalendarAdvance(Calendar,O520,N521,"f",FALSE)</f>
        <v>43000</v>
      </c>
      <c r="P521" s="92">
        <f>_xll.qlCalendarAdvance(Calendar,O521,NDays&amp;"D")</f>
        <v>43004</v>
      </c>
      <c r="Q521" s="81">
        <v>9.6399126153290382E-4</v>
      </c>
      <c r="R521" s="85">
        <v>7.9360521098692516E-4</v>
      </c>
    </row>
    <row r="522" spans="14:18" x14ac:dyDescent="0.2">
      <c r="N522" s="88" t="str">
        <f t="shared" si="13"/>
        <v>1D</v>
      </c>
      <c r="O522" s="82">
        <f>_xll.qlCalendarAdvance(Calendar,O521,N522,"f",FALSE)</f>
        <v>43003</v>
      </c>
      <c r="P522" s="92">
        <f>_xll.qlCalendarAdvance(Calendar,O522,NDays&amp;"D")</f>
        <v>43005</v>
      </c>
      <c r="Q522" s="81">
        <v>9.7760916579847645E-4</v>
      </c>
      <c r="R522" s="85">
        <v>8.2089880586444508E-4</v>
      </c>
    </row>
    <row r="523" spans="14:18" x14ac:dyDescent="0.2">
      <c r="N523" s="88" t="str">
        <f t="shared" si="13"/>
        <v>1D</v>
      </c>
      <c r="O523" s="82">
        <f>_xll.qlCalendarAdvance(Calendar,O522,N523,"f",FALSE)</f>
        <v>43004</v>
      </c>
      <c r="P523" s="92">
        <f>_xll.qlCalendarAdvance(Calendar,O523,NDays&amp;"D")</f>
        <v>43006</v>
      </c>
      <c r="Q523" s="81">
        <v>1.0048313480481852E-3</v>
      </c>
      <c r="R523" s="85">
        <v>8.4818376834050468E-4</v>
      </c>
    </row>
    <row r="524" spans="14:18" x14ac:dyDescent="0.2">
      <c r="N524" s="88" t="str">
        <f t="shared" si="13"/>
        <v>1D</v>
      </c>
      <c r="O524" s="82">
        <f>_xll.qlCalendarAdvance(Calendar,O523,N524,"f",FALSE)</f>
        <v>43005</v>
      </c>
      <c r="P524" s="92">
        <f>_xll.qlCalendarAdvance(Calendar,O524,NDays&amp;"D")</f>
        <v>43007</v>
      </c>
      <c r="Q524" s="81">
        <v>1.0184440294652708E-3</v>
      </c>
      <c r="R524" s="85">
        <v>8.6182315723881686E-4</v>
      </c>
    </row>
    <row r="525" spans="14:18" x14ac:dyDescent="0.2">
      <c r="N525" s="88" t="str">
        <f t="shared" si="13"/>
        <v>1D</v>
      </c>
      <c r="O525" s="82">
        <f>_xll.qlCalendarAdvance(Calendar,O524,N525,"f",FALSE)</f>
        <v>43006</v>
      </c>
      <c r="P525" s="92">
        <f>_xll.qlCalendarAdvance(Calendar,O525,NDays&amp;"D")</f>
        <v>43010</v>
      </c>
      <c r="Q525" s="81">
        <v>1.0524702832654727E-3</v>
      </c>
      <c r="R525" s="85">
        <v>8.7546012927042227E-4</v>
      </c>
    </row>
    <row r="526" spans="14:18" x14ac:dyDescent="0.2">
      <c r="N526" s="88" t="str">
        <f t="shared" si="13"/>
        <v>1D</v>
      </c>
      <c r="O526" s="82">
        <f>_xll.qlCalendarAdvance(Calendar,O525,N526,"f",FALSE)</f>
        <v>43007</v>
      </c>
      <c r="P526" s="92">
        <f>_xll.qlCalendarAdvance(Calendar,O526,NDays&amp;"D")</f>
        <v>43011</v>
      </c>
      <c r="Q526" s="81">
        <v>1.0660746195706988E-3</v>
      </c>
      <c r="R526" s="85">
        <v>8.8909468435538486E-4</v>
      </c>
    </row>
    <row r="527" spans="14:18" x14ac:dyDescent="0.2">
      <c r="N527" s="88" t="str">
        <f t="shared" si="13"/>
        <v>1D</v>
      </c>
      <c r="O527" s="82">
        <f>_xll.qlCalendarAdvance(Calendar,O526,N527,"f",FALSE)</f>
        <v>43010</v>
      </c>
      <c r="P527" s="92">
        <f>_xll.qlCalendarAdvance(Calendar,O527,NDays&amp;"D")</f>
        <v>43012</v>
      </c>
      <c r="Q527" s="81">
        <v>1.0932665130525265E-3</v>
      </c>
      <c r="R527" s="85">
        <v>9.1635807073053854E-4</v>
      </c>
    </row>
    <row r="528" spans="14:18" x14ac:dyDescent="0.2">
      <c r="N528" s="88" t="str">
        <f t="shared" si="13"/>
        <v>1D</v>
      </c>
      <c r="O528" s="82">
        <f>_xll.qlCalendarAdvance(Calendar,O527,N528,"f",FALSE)</f>
        <v>43011</v>
      </c>
      <c r="P528" s="92">
        <f>_xll.qlCalendarAdvance(Calendar,O528,NDays&amp;"D")</f>
        <v>43013</v>
      </c>
      <c r="Q528" s="81">
        <v>1.1000702873581458E-3</v>
      </c>
      <c r="R528" s="85">
        <v>9.4360873610810359E-4</v>
      </c>
    </row>
    <row r="529" spans="14:18" x14ac:dyDescent="0.2">
      <c r="N529" s="88" t="str">
        <f t="shared" si="13"/>
        <v>1D</v>
      </c>
      <c r="O529" s="82">
        <f>_xll.qlCalendarAdvance(Calendar,O528,N529,"f",FALSE)</f>
        <v>43012</v>
      </c>
      <c r="P529" s="92">
        <f>_xll.qlCalendarAdvance(Calendar,O529,NDays&amp;"D")</f>
        <v>43014</v>
      </c>
      <c r="Q529" s="81">
        <v>1.1068732183178345E-3</v>
      </c>
      <c r="R529" s="85">
        <v>9.5723120669966022E-4</v>
      </c>
    </row>
    <row r="530" spans="14:18" x14ac:dyDescent="0.2">
      <c r="N530" s="88" t="str">
        <f t="shared" si="13"/>
        <v>1D</v>
      </c>
      <c r="O530" s="82">
        <f>_xll.qlCalendarAdvance(Calendar,O529,N530,"f",FALSE)</f>
        <v>43013</v>
      </c>
      <c r="P530" s="92">
        <f>_xll.qlCalendarAdvance(Calendar,O530,NDays&amp;"D")</f>
        <v>43017</v>
      </c>
      <c r="Q530" s="81">
        <v>1.1476502016174736E-3</v>
      </c>
      <c r="R530" s="85">
        <v>9.7085126050444615E-4</v>
      </c>
    </row>
    <row r="531" spans="14:18" x14ac:dyDescent="0.2">
      <c r="N531" s="88" t="str">
        <f t="shared" si="13"/>
        <v>1D</v>
      </c>
      <c r="O531" s="82">
        <f>_xll.qlCalendarAdvance(Calendar,O530,N531,"f",FALSE)</f>
        <v>43014</v>
      </c>
      <c r="P531" s="92">
        <f>_xll.qlCalendarAdvance(Calendar,O531,NDays&amp;"D")</f>
        <v>43018</v>
      </c>
      <c r="Q531" s="81">
        <v>1.1612377259154294E-3</v>
      </c>
      <c r="R531" s="85">
        <v>9.8446889736258925E-4</v>
      </c>
    </row>
    <row r="532" spans="14:18" x14ac:dyDescent="0.2">
      <c r="N532" s="88" t="str">
        <f t="shared" si="13"/>
        <v>1D</v>
      </c>
      <c r="O532" s="82">
        <f>_xll.qlCalendarAdvance(Calendar,O531,N532,"f",FALSE)</f>
        <v>43017</v>
      </c>
      <c r="P532" s="92">
        <f>_xll.qlCalendarAdvance(Calendar,O532,NDays&amp;"D")</f>
        <v>43019</v>
      </c>
      <c r="Q532" s="81">
        <v>1.1883965979844E-3</v>
      </c>
      <c r="R532" s="85">
        <v>1.0116989578623503E-3</v>
      </c>
    </row>
    <row r="533" spans="14:18" x14ac:dyDescent="0.2">
      <c r="N533" s="88" t="str">
        <f t="shared" ref="N533:N596" si="14">N532</f>
        <v>1D</v>
      </c>
      <c r="O533" s="82">
        <f>_xll.qlCalendarAdvance(Calendar,O532,N533,"f",FALSE)</f>
        <v>43018</v>
      </c>
      <c r="P533" s="92">
        <f>_xll.qlCalendarAdvance(Calendar,O533,NDays&amp;"D")</f>
        <v>43020</v>
      </c>
      <c r="Q533" s="81">
        <v>1.195191666576445E-3</v>
      </c>
      <c r="R533" s="85">
        <v>1.0389152759682219E-3</v>
      </c>
    </row>
    <row r="534" spans="14:18" x14ac:dyDescent="0.2">
      <c r="N534" s="88" t="str">
        <f t="shared" si="14"/>
        <v>1D</v>
      </c>
      <c r="O534" s="82">
        <f>_xll.qlCalendarAdvance(Calendar,O533,N534,"f",FALSE)</f>
        <v>43019</v>
      </c>
      <c r="P534" s="92">
        <f>_xll.qlCalendarAdvance(Calendar,O534,NDays&amp;"D")</f>
        <v>43021</v>
      </c>
      <c r="Q534" s="81">
        <v>1.2019858882668601E-3</v>
      </c>
      <c r="R534" s="85">
        <v>1.0525208284928311E-3</v>
      </c>
    </row>
    <row r="535" spans="14:18" x14ac:dyDescent="0.2">
      <c r="N535" s="88" t="str">
        <f t="shared" si="14"/>
        <v>1D</v>
      </c>
      <c r="O535" s="82">
        <f>_xll.qlCalendarAdvance(Calendar,O534,N535,"f",FALSE)</f>
        <v>43020</v>
      </c>
      <c r="P535" s="92">
        <f>_xll.qlCalendarAdvance(Calendar,O535,NDays&amp;"D")</f>
        <v>43024</v>
      </c>
      <c r="Q535" s="81">
        <v>1.2427124346370277E-3</v>
      </c>
      <c r="R535" s="85">
        <v>1.0661239639908615E-3</v>
      </c>
    </row>
    <row r="536" spans="14:18" x14ac:dyDescent="0.2">
      <c r="N536" s="88" t="str">
        <f t="shared" si="14"/>
        <v>1D</v>
      </c>
      <c r="O536" s="82">
        <f>_xll.qlCalendarAdvance(Calendar,O535,N536,"f",FALSE)</f>
        <v>43021</v>
      </c>
      <c r="P536" s="92">
        <f>_xll.qlCalendarAdvance(Calendar,O536,NDays&amp;"D")</f>
        <v>43025</v>
      </c>
      <c r="Q536" s="81">
        <v>1.2562831465074045E-3</v>
      </c>
      <c r="R536" s="85">
        <v>1.0797246826221851E-3</v>
      </c>
    </row>
    <row r="537" spans="14:18" x14ac:dyDescent="0.2">
      <c r="N537" s="88" t="s">
        <v>91</v>
      </c>
      <c r="O537" s="82">
        <f>_xll.qlCalendarAdvance(Calendar,O536,N537,"f",FALSE)</f>
        <v>43028</v>
      </c>
      <c r="P537" s="92">
        <f>_xll.qlCalendarAdvance(Calendar,O537,NDays&amp;"D")</f>
        <v>43032</v>
      </c>
      <c r="Q537" s="81">
        <v>1.3512108784431397E-3</v>
      </c>
      <c r="R537" s="85">
        <v>1.1748620399743004E-3</v>
      </c>
    </row>
    <row r="538" spans="14:18" x14ac:dyDescent="0.2">
      <c r="N538" s="88" t="str">
        <f t="shared" si="14"/>
        <v>1w</v>
      </c>
      <c r="O538" s="82">
        <f>_xll.qlCalendarAdvance(Calendar,O537,N538,"f",FALSE)</f>
        <v>43035</v>
      </c>
      <c r="P538" s="92">
        <f>_xll.qlCalendarAdvance(Calendar,O538,NDays&amp;"D")</f>
        <v>43039</v>
      </c>
      <c r="Q538" s="81">
        <v>1.4392559442617525E-3</v>
      </c>
      <c r="R538" s="85">
        <v>1.2698809692590629E-3</v>
      </c>
    </row>
    <row r="539" spans="14:18" x14ac:dyDescent="0.2">
      <c r="N539" s="88" t="str">
        <f t="shared" si="14"/>
        <v>1w</v>
      </c>
      <c r="O539" s="82">
        <f>_xll.qlCalendarAdvance(Calendar,O538,N539,"f",FALSE)</f>
        <v>43042</v>
      </c>
      <c r="P539" s="92">
        <f>_xll.qlCalendarAdvance(Calendar,O539,NDays&amp;"D")</f>
        <v>43046</v>
      </c>
      <c r="Q539" s="81">
        <v>1.5339563060541295E-3</v>
      </c>
      <c r="R539" s="85">
        <v>1.3647814707162809E-3</v>
      </c>
    </row>
    <row r="540" spans="14:18" x14ac:dyDescent="0.2">
      <c r="N540" s="88" t="str">
        <f t="shared" si="14"/>
        <v>1w</v>
      </c>
      <c r="O540" s="82">
        <f>_xll.qlCalendarAdvance(Calendar,O539,N540,"f",FALSE)</f>
        <v>43049</v>
      </c>
      <c r="P540" s="92">
        <f>_xll.qlCalendarAdvance(Calendar,O540,NDays&amp;"D")</f>
        <v>43053</v>
      </c>
      <c r="Q540" s="81">
        <v>1.6285389463419619E-3</v>
      </c>
      <c r="R540" s="85">
        <v>1.4595635438663379E-3</v>
      </c>
    </row>
    <row r="541" spans="14:18" x14ac:dyDescent="0.2">
      <c r="N541" s="88" t="str">
        <f t="shared" si="14"/>
        <v>1w</v>
      </c>
      <c r="O541" s="82">
        <f>_xll.qlCalendarAdvance(Calendar,O540,N541,"f",FALSE)</f>
        <v>43056</v>
      </c>
      <c r="P541" s="92">
        <f>_xll.qlCalendarAdvance(Calendar,O541,NDays&amp;"D")</f>
        <v>43060</v>
      </c>
      <c r="Q541" s="81">
        <v>1.7230038623221589E-3</v>
      </c>
      <c r="R541" s="85">
        <v>1.5542271887891701E-3</v>
      </c>
    </row>
    <row r="542" spans="14:18" x14ac:dyDescent="0.2">
      <c r="N542" s="88" t="str">
        <f t="shared" si="14"/>
        <v>1w</v>
      </c>
      <c r="O542" s="82">
        <f>_xll.qlCalendarAdvance(Calendar,O541,N542,"f",FALSE)</f>
        <v>43063</v>
      </c>
      <c r="P542" s="92">
        <f>_xll.qlCalendarAdvance(Calendar,O542,NDays&amp;"D")</f>
        <v>43067</v>
      </c>
      <c r="Q542" s="81">
        <v>1.8173510512076163E-3</v>
      </c>
      <c r="R542" s="85">
        <v>1.6487724054048414E-3</v>
      </c>
    </row>
    <row r="543" spans="14:18" x14ac:dyDescent="0.2">
      <c r="N543" s="88" t="str">
        <f t="shared" si="14"/>
        <v>1w</v>
      </c>
      <c r="O543" s="82">
        <f>_xll.qlCalendarAdvance(Calendar,O542,N543,"f",FALSE)</f>
        <v>43070</v>
      </c>
      <c r="P543" s="92">
        <f>_xll.qlCalendarAdvance(Calendar,O543,NDays&amp;"D")</f>
        <v>43074</v>
      </c>
      <c r="Q543" s="81">
        <v>1.9183056462796482E-3</v>
      </c>
      <c r="R543" s="85">
        <v>1.7431991934735436E-3</v>
      </c>
    </row>
    <row r="544" spans="14:18" x14ac:dyDescent="0.2">
      <c r="N544" s="88" t="str">
        <f t="shared" si="14"/>
        <v>1w</v>
      </c>
      <c r="O544" s="82">
        <f>_xll.qlCalendarAdvance(Calendar,O543,N544,"f",FALSE)</f>
        <v>43077</v>
      </c>
      <c r="P544" s="92">
        <f>_xll.qlCalendarAdvance(Calendar,O544,NDays&amp;"D")</f>
        <v>43081</v>
      </c>
      <c r="Q544" s="81">
        <v>2.0124094766851572E-3</v>
      </c>
      <c r="R544" s="85">
        <v>1.8375075531551488E-3</v>
      </c>
    </row>
    <row r="545" spans="14:18" x14ac:dyDescent="0.2">
      <c r="N545" s="88" t="str">
        <f t="shared" si="14"/>
        <v>1w</v>
      </c>
      <c r="O545" s="82">
        <f>_xll.qlCalendarAdvance(Calendar,O544,N545,"f",FALSE)</f>
        <v>43084</v>
      </c>
      <c r="P545" s="92">
        <f>_xll.qlCalendarAdvance(Calendar,O545,NDays&amp;"D")</f>
        <v>43088</v>
      </c>
      <c r="Q545" s="81">
        <v>2.1063955953483774E-3</v>
      </c>
      <c r="R545" s="85">
        <v>1.9316974841299128E-3</v>
      </c>
    </row>
    <row r="546" spans="14:18" x14ac:dyDescent="0.2">
      <c r="N546" s="88" t="str">
        <f t="shared" si="14"/>
        <v>1w</v>
      </c>
      <c r="O546" s="82">
        <f>_xll.qlCalendarAdvance(Calendar,O545,N546,"f",FALSE)</f>
        <v>43091</v>
      </c>
      <c r="P546" s="92">
        <f>_xll.qlCalendarAdvance(Calendar,O546,NDays&amp;"D")</f>
        <v>43097</v>
      </c>
      <c r="Q546" s="81">
        <v>2.2337604838504332E-3</v>
      </c>
      <c r="R546" s="85">
        <v>2.0928904091377376E-3</v>
      </c>
    </row>
    <row r="547" spans="14:18" x14ac:dyDescent="0.2">
      <c r="N547" s="88" t="str">
        <f t="shared" si="14"/>
        <v>1w</v>
      </c>
      <c r="O547" s="82">
        <f>_xll.qlCalendarAdvance(Calendar,O546,N547,"f",FALSE)</f>
        <v>43098</v>
      </c>
      <c r="P547" s="92">
        <f>_xll.qlCalendarAdvance(Calendar,O547,NDays&amp;"D")</f>
        <v>43103</v>
      </c>
      <c r="Q547" s="81">
        <v>2.320781039123981E-3</v>
      </c>
      <c r="R547" s="85">
        <v>2.146556036226599E-3</v>
      </c>
    </row>
    <row r="548" spans="14:18" x14ac:dyDescent="0.2">
      <c r="N548" s="88" t="str">
        <f t="shared" si="14"/>
        <v>1w</v>
      </c>
      <c r="O548" s="82">
        <f>_xll.qlCalendarAdvance(Calendar,O547,N548,"f",FALSE)</f>
        <v>43105</v>
      </c>
      <c r="P548" s="92">
        <f>_xll.qlCalendarAdvance(Calendar,O548,NDays&amp;"D")</f>
        <v>43109</v>
      </c>
      <c r="Q548" s="81">
        <v>2.3876476522182023E-3</v>
      </c>
      <c r="R548" s="85">
        <v>2.2135567045733495E-3</v>
      </c>
    </row>
    <row r="549" spans="14:18" x14ac:dyDescent="0.2">
      <c r="N549" s="88" t="str">
        <f t="shared" si="14"/>
        <v>1w</v>
      </c>
      <c r="O549" s="82">
        <f>_xll.qlCalendarAdvance(Calendar,O548,N549,"f",FALSE)</f>
        <v>43112</v>
      </c>
      <c r="P549" s="92">
        <f>_xll.qlCalendarAdvance(Calendar,O549,NDays&amp;"D")</f>
        <v>43116</v>
      </c>
      <c r="Q549" s="81">
        <v>2.4811628952564791E-3</v>
      </c>
      <c r="R549" s="85">
        <v>2.3072729200812603E-3</v>
      </c>
    </row>
    <row r="550" spans="14:18" x14ac:dyDescent="0.2">
      <c r="N550" s="88" t="str">
        <f t="shared" si="14"/>
        <v>1w</v>
      </c>
      <c r="O550" s="82">
        <f>_xll.qlCalendarAdvance(Calendar,O549,N550,"f",FALSE)</f>
        <v>43119</v>
      </c>
      <c r="P550" s="92">
        <f>_xll.qlCalendarAdvance(Calendar,O550,NDays&amp;"D")</f>
        <v>43123</v>
      </c>
      <c r="Q550" s="81">
        <v>2.5745604122387558E-3</v>
      </c>
      <c r="R550" s="85">
        <v>2.4008707067224577E-3</v>
      </c>
    </row>
    <row r="551" spans="14:18" x14ac:dyDescent="0.2">
      <c r="N551" s="88" t="str">
        <f t="shared" si="14"/>
        <v>1w</v>
      </c>
      <c r="O551" s="82">
        <f>_xll.qlCalendarAdvance(Calendar,O550,N551,"f",FALSE)</f>
        <v>43126</v>
      </c>
      <c r="P551" s="92">
        <f>_xll.qlCalendarAdvance(Calendar,O551,NDays&amp;"D")</f>
        <v>43130</v>
      </c>
      <c r="Q551" s="81">
        <v>2.6545142419155819E-3</v>
      </c>
      <c r="R551" s="85">
        <v>2.4943500640173255E-3</v>
      </c>
    </row>
    <row r="552" spans="14:18" x14ac:dyDescent="0.2">
      <c r="N552" s="88" t="str">
        <f t="shared" si="14"/>
        <v>1w</v>
      </c>
      <c r="O552" s="82">
        <f>_xll.qlCalendarAdvance(Calendar,O551,N552,"f",FALSE)</f>
        <v>43133</v>
      </c>
      <c r="P552" s="92">
        <f>_xll.qlCalendarAdvance(Calendar,O552,NDays&amp;"D")</f>
        <v>43137</v>
      </c>
      <c r="Q552" s="81">
        <v>2.7410353993105397E-3</v>
      </c>
      <c r="R552" s="85">
        <v>2.5877109921257357E-3</v>
      </c>
    </row>
    <row r="553" spans="14:18" x14ac:dyDescent="0.2">
      <c r="N553" s="88" t="str">
        <f t="shared" si="14"/>
        <v>1w</v>
      </c>
      <c r="O553" s="82">
        <f>_xll.qlCalendarAdvance(Calendar,O552,N553,"f",FALSE)</f>
        <v>43140</v>
      </c>
      <c r="P553" s="92">
        <f>_xll.qlCalendarAdvance(Calendar,O553,NDays&amp;"D")</f>
        <v>43144</v>
      </c>
      <c r="Q553" s="81">
        <v>2.8341027885343223E-3</v>
      </c>
      <c r="R553" s="85">
        <v>2.6809534908078803E-3</v>
      </c>
    </row>
    <row r="554" spans="14:18" x14ac:dyDescent="0.2">
      <c r="N554" s="88" t="str">
        <f t="shared" si="14"/>
        <v>1w</v>
      </c>
      <c r="O554" s="82">
        <f>_xll.qlCalendarAdvance(Calendar,O553,N554,"f",FALSE)</f>
        <v>43147</v>
      </c>
      <c r="P554" s="92">
        <f>_xll.qlCalendarAdvance(Calendar,O554,NDays&amp;"D")</f>
        <v>43151</v>
      </c>
      <c r="Q554" s="81">
        <v>2.9270523716361041E-3</v>
      </c>
      <c r="R554" s="85">
        <v>2.7740775601436951E-3</v>
      </c>
    </row>
    <row r="555" spans="14:18" x14ac:dyDescent="0.2">
      <c r="N555" s="88" t="str">
        <f t="shared" si="14"/>
        <v>1w</v>
      </c>
      <c r="O555" s="82">
        <f>_xll.qlCalendarAdvance(Calendar,O554,N555,"f",FALSE)</f>
        <v>43154</v>
      </c>
      <c r="P555" s="92">
        <f>_xll.qlCalendarAdvance(Calendar,O555,NDays&amp;"D")</f>
        <v>43158</v>
      </c>
      <c r="Q555" s="81">
        <v>3.0198841460465126E-3</v>
      </c>
      <c r="R555" s="85">
        <v>2.8670831998134361E-3</v>
      </c>
    </row>
    <row r="556" spans="14:18" x14ac:dyDescent="0.2">
      <c r="N556" s="88" t="str">
        <f t="shared" si="14"/>
        <v>1w</v>
      </c>
      <c r="O556" s="82">
        <f>_xll.qlCalendarAdvance(Calendar,O555,N556,"f",FALSE)</f>
        <v>43161</v>
      </c>
      <c r="P556" s="92">
        <f>_xll.qlCalendarAdvance(Calendar,O556,NDays&amp;"D")</f>
        <v>43165</v>
      </c>
      <c r="Q556" s="81">
        <v>3.1324731075329623E-3</v>
      </c>
      <c r="R556" s="85">
        <v>2.9599704098970392E-3</v>
      </c>
    </row>
    <row r="557" spans="14:18" x14ac:dyDescent="0.2">
      <c r="N557" s="88" t="str">
        <f t="shared" si="14"/>
        <v>1w</v>
      </c>
      <c r="O557" s="82">
        <f>_xll.qlCalendarAdvance(Calendar,O556,N557,"f",FALSE)</f>
        <v>43168</v>
      </c>
      <c r="P557" s="92">
        <f>_xll.qlCalendarAdvance(Calendar,O557,NDays&amp;"D")</f>
        <v>43172</v>
      </c>
      <c r="Q557" s="81">
        <v>3.2250464624811359E-3</v>
      </c>
      <c r="R557" s="85">
        <v>3.0527391903145684E-3</v>
      </c>
    </row>
    <row r="558" spans="14:18" x14ac:dyDescent="0.2">
      <c r="N558" s="88" t="str">
        <f t="shared" si="14"/>
        <v>1w</v>
      </c>
      <c r="O558" s="82">
        <f>_xll.qlCalendarAdvance(Calendar,O557,N558,"f",FALSE)</f>
        <v>43175</v>
      </c>
      <c r="P558" s="92">
        <f>_xll.qlCalendarAdvance(Calendar,O558,NDays&amp;"D")</f>
        <v>43179</v>
      </c>
      <c r="Q558" s="81">
        <v>3.3175020686611548E-3</v>
      </c>
      <c r="R558" s="85">
        <v>3.1453895408262156E-3</v>
      </c>
    </row>
    <row r="559" spans="14:18" x14ac:dyDescent="0.2">
      <c r="N559" s="88" t="str">
        <f t="shared" si="14"/>
        <v>1w</v>
      </c>
      <c r="O559" s="82">
        <f>_xll.qlCalendarAdvance(Calendar,O558,N559,"f",FALSE)</f>
        <v>43182</v>
      </c>
      <c r="P559" s="92">
        <f>_xll.qlCalendarAdvance(Calendar,O559,NDays&amp;"D")</f>
        <v>43186</v>
      </c>
      <c r="Q559" s="81">
        <v>3.409839923244313E-3</v>
      </c>
      <c r="R559" s="85">
        <v>3.2643941831107526E-3</v>
      </c>
    </row>
    <row r="560" spans="14:18" x14ac:dyDescent="0.2">
      <c r="N560" s="88" t="str">
        <f t="shared" si="14"/>
        <v>1w</v>
      </c>
      <c r="O560" s="82">
        <f>_xll.qlCalendarAdvance(Calendar,O559,N560,"f",FALSE)</f>
        <v>43193</v>
      </c>
      <c r="P560" s="92">
        <f>_xll.qlCalendarAdvance(Calendar,O560,NDays&amp;"D")</f>
        <v>43195</v>
      </c>
      <c r="Q560" s="81">
        <v>3.5349782416860265E-3</v>
      </c>
      <c r="R560" s="85">
        <v>3.3830894883912777E-3</v>
      </c>
    </row>
    <row r="561" spans="14:18" x14ac:dyDescent="0.2">
      <c r="N561" s="88" t="str">
        <f t="shared" si="14"/>
        <v>1w</v>
      </c>
      <c r="O561" s="82">
        <f>_xll.qlCalendarAdvance(Calendar,O560,N561,"f",FALSE)</f>
        <v>43200</v>
      </c>
      <c r="P561" s="92">
        <f>_xll.qlCalendarAdvance(Calendar,O561,NDays&amp;"D")</f>
        <v>43202</v>
      </c>
      <c r="Q561" s="81">
        <v>3.627039443347968E-3</v>
      </c>
      <c r="R561" s="85">
        <v>3.4753168745194074E-3</v>
      </c>
    </row>
    <row r="562" spans="14:18" x14ac:dyDescent="0.2">
      <c r="N562" s="88" t="str">
        <f t="shared" si="14"/>
        <v>1w</v>
      </c>
      <c r="O562" s="82">
        <f>_xll.qlCalendarAdvance(Calendar,O561,N562,"f",FALSE)</f>
        <v>43207</v>
      </c>
      <c r="P562" s="92">
        <f>_xll.qlCalendarAdvance(Calendar,O562,NDays&amp;"D")</f>
        <v>43209</v>
      </c>
      <c r="Q562" s="81">
        <v>3.7255585170300779E-3</v>
      </c>
      <c r="R562" s="85">
        <v>3.5674258305018469E-3</v>
      </c>
    </row>
    <row r="563" spans="14:18" x14ac:dyDescent="0.2">
      <c r="N563" s="88" t="str">
        <f t="shared" si="14"/>
        <v>1w</v>
      </c>
      <c r="O563" s="82">
        <f>_xll.qlCalendarAdvance(Calendar,O562,N563,"f",FALSE)</f>
        <v>43214</v>
      </c>
      <c r="P563" s="92">
        <f>_xll.qlCalendarAdvance(Calendar,O563,NDays&amp;"D")</f>
        <v>43216</v>
      </c>
      <c r="Q563" s="81">
        <v>3.8108086275928654E-3</v>
      </c>
      <c r="R563" s="85">
        <v>3.6660009397770921E-3</v>
      </c>
    </row>
    <row r="564" spans="14:18" x14ac:dyDescent="0.2">
      <c r="N564" s="88" t="str">
        <f t="shared" si="14"/>
        <v>1w</v>
      </c>
      <c r="O564" s="82">
        <f>_xll.qlCalendarAdvance(Calendar,O563,N564,"f",FALSE)</f>
        <v>43222</v>
      </c>
      <c r="P564" s="92">
        <f>_xll.qlCalendarAdvance(Calendar,O564,NDays&amp;"D")</f>
        <v>43224</v>
      </c>
      <c r="Q564" s="81">
        <v>3.9090477956053998E-3</v>
      </c>
      <c r="R564" s="85">
        <v>3.7644033685424461E-3</v>
      </c>
    </row>
    <row r="565" spans="14:18" x14ac:dyDescent="0.2">
      <c r="N565" s="88" t="str">
        <f t="shared" si="14"/>
        <v>1w</v>
      </c>
      <c r="O565" s="82">
        <f>_xll.qlCalendarAdvance(Calendar,O564,N565,"f",FALSE)</f>
        <v>43229</v>
      </c>
      <c r="P565" s="92">
        <f>_xll.qlCalendarAdvance(Calendar,O565,NDays&amp;"D")</f>
        <v>43234</v>
      </c>
      <c r="Q565" s="81">
        <v>4.0398414756648293E-3</v>
      </c>
      <c r="R565" s="85">
        <v>3.8692356961611551E-3</v>
      </c>
    </row>
    <row r="566" spans="14:18" x14ac:dyDescent="0.2">
      <c r="N566" s="88" t="str">
        <f t="shared" si="14"/>
        <v>1w</v>
      </c>
      <c r="O566" s="82">
        <f>_xll.qlCalendarAdvance(Calendar,O565,N566,"f",FALSE)</f>
        <v>43236</v>
      </c>
      <c r="P566" s="92">
        <f>_xll.qlCalendarAdvance(Calendar,O566,NDays&amp;"D")</f>
        <v>43238</v>
      </c>
      <c r="Q566" s="81">
        <v>4.0920916489161109E-3</v>
      </c>
      <c r="R566" s="85">
        <v>3.9608370928689851E-3</v>
      </c>
    </row>
    <row r="567" spans="14:18" x14ac:dyDescent="0.2">
      <c r="N567" s="88" t="str">
        <f t="shared" si="14"/>
        <v>1w</v>
      </c>
      <c r="O567" s="82">
        <f>_xll.qlCalendarAdvance(Calendar,O566,N567,"f",FALSE)</f>
        <v>43243</v>
      </c>
      <c r="P567" s="92">
        <f>_xll.qlCalendarAdvance(Calendar,O567,NDays&amp;"D")</f>
        <v>43245</v>
      </c>
      <c r="Q567" s="81">
        <v>4.1834369140976305E-3</v>
      </c>
      <c r="R567" s="85">
        <v>4.0392583147053074E-3</v>
      </c>
    </row>
    <row r="568" spans="14:18" x14ac:dyDescent="0.2">
      <c r="N568" s="88" t="str">
        <f t="shared" si="14"/>
        <v>1w</v>
      </c>
      <c r="O568" s="82">
        <f>_xll.qlCalendarAdvance(Calendar,O567,N568,"f",FALSE)</f>
        <v>43250</v>
      </c>
      <c r="P568" s="92">
        <f>_xll.qlCalendarAdvance(Calendar,O568,NDays&amp;"D")</f>
        <v>43252</v>
      </c>
      <c r="Q568" s="81">
        <v>4.2746644012415036E-3</v>
      </c>
      <c r="R568" s="85">
        <v>4.1306397685492158E-3</v>
      </c>
    </row>
    <row r="569" spans="14:18" x14ac:dyDescent="0.2">
      <c r="N569" s="88" t="str">
        <f t="shared" si="14"/>
        <v>1w</v>
      </c>
      <c r="O569" s="82">
        <f>_xll.qlCalendarAdvance(Calendar,O568,N569,"f",FALSE)</f>
        <v>43257</v>
      </c>
      <c r="P569" s="92">
        <f>_xll.qlCalendarAdvance(Calendar,O569,NDays&amp;"D")</f>
        <v>43259</v>
      </c>
      <c r="Q569" s="81">
        <v>4.3657741075628633E-3</v>
      </c>
      <c r="R569" s="85">
        <v>4.2219027916878815E-3</v>
      </c>
    </row>
    <row r="570" spans="14:18" x14ac:dyDescent="0.2">
      <c r="N570" s="88" t="str">
        <f t="shared" si="14"/>
        <v>1w</v>
      </c>
      <c r="O570" s="82">
        <f>_xll.qlCalendarAdvance(Calendar,O569,N570,"f",FALSE)</f>
        <v>43264</v>
      </c>
      <c r="P570" s="92">
        <f>_xll.qlCalendarAdvance(Calendar,O570,NDays&amp;"D")</f>
        <v>43266</v>
      </c>
      <c r="Q570" s="81">
        <v>4.4567660302768392E-3</v>
      </c>
      <c r="R570" s="85">
        <v>4.3130473837216243E-3</v>
      </c>
    </row>
    <row r="571" spans="14:18" x14ac:dyDescent="0.2">
      <c r="N571" s="88" t="str">
        <f t="shared" si="14"/>
        <v>1w</v>
      </c>
      <c r="O571" s="82">
        <f>_xll.qlCalendarAdvance(Calendar,O570,N571,"f",FALSE)</f>
        <v>43271</v>
      </c>
      <c r="P571" s="92">
        <f>_xll.qlCalendarAdvance(Calendar,O571,NDays&amp;"D")</f>
        <v>43276</v>
      </c>
      <c r="Q571" s="81">
        <v>4.5800436853946636E-3</v>
      </c>
      <c r="R571" s="85">
        <v>4.417067614150838E-3</v>
      </c>
    </row>
    <row r="572" spans="14:18" x14ac:dyDescent="0.2">
      <c r="N572" s="88" t="str">
        <f t="shared" si="14"/>
        <v>1w</v>
      </c>
      <c r="O572" s="82">
        <f>_xll.qlCalendarAdvance(Calendar,O571,N572,"f",FALSE)</f>
        <v>43278</v>
      </c>
      <c r="P572" s="92">
        <f>_xll.qlCalendarAdvance(Calendar,O572,NDays&amp;"D")</f>
        <v>43280</v>
      </c>
      <c r="Q572" s="81">
        <v>4.6448982156155338E-3</v>
      </c>
      <c r="R572" s="85">
        <v>4.4949812745542772E-3</v>
      </c>
    </row>
    <row r="573" spans="14:18" x14ac:dyDescent="0.2">
      <c r="N573" s="88" t="str">
        <f t="shared" si="14"/>
        <v>1w</v>
      </c>
      <c r="O573" s="82">
        <f>_xll.qlCalendarAdvance(Calendar,O572,N573,"f",FALSE)</f>
        <v>43285</v>
      </c>
      <c r="P573" s="92">
        <f>_xll.qlCalendarAdvance(Calendar,O573,NDays&amp;"D")</f>
        <v>43287</v>
      </c>
      <c r="Q573" s="81">
        <v>4.729035069023761E-3</v>
      </c>
      <c r="R573" s="85">
        <v>4.5857705731133791E-3</v>
      </c>
    </row>
    <row r="574" spans="14:18" x14ac:dyDescent="0.2">
      <c r="N574" s="88" t="str">
        <f t="shared" si="14"/>
        <v>1w</v>
      </c>
      <c r="O574" s="82">
        <f>_xll.qlCalendarAdvance(Calendar,O573,N574,"f",FALSE)</f>
        <v>43292</v>
      </c>
      <c r="P574" s="92">
        <f>_xll.qlCalendarAdvance(Calendar,O574,NDays&amp;"D")</f>
        <v>43294</v>
      </c>
      <c r="Q574" s="81">
        <v>4.8195558295678126E-3</v>
      </c>
      <c r="R574" s="85">
        <v>4.6764414404076859E-3</v>
      </c>
    </row>
    <row r="575" spans="14:18" x14ac:dyDescent="0.2">
      <c r="N575" s="88" t="str">
        <f t="shared" si="14"/>
        <v>1w</v>
      </c>
      <c r="O575" s="82">
        <f>_xll.qlCalendarAdvance(Calendar,O574,N575,"f",FALSE)</f>
        <v>43299</v>
      </c>
      <c r="P575" s="92">
        <f>_xll.qlCalendarAdvance(Calendar,O575,NDays&amp;"D")</f>
        <v>43301</v>
      </c>
      <c r="Q575" s="81">
        <v>4.9099587926471787E-3</v>
      </c>
      <c r="R575" s="85">
        <v>4.7669938763572617E-3</v>
      </c>
    </row>
    <row r="576" spans="14:18" x14ac:dyDescent="0.2">
      <c r="N576" s="88" t="str">
        <f t="shared" si="14"/>
        <v>1w</v>
      </c>
      <c r="O576" s="82">
        <f>_xll.qlCalendarAdvance(Calendar,O575,N576,"f",FALSE)</f>
        <v>43306</v>
      </c>
      <c r="P576" s="92">
        <f>_xll.qlCalendarAdvance(Calendar,O576,NDays&amp;"D")</f>
        <v>43308</v>
      </c>
      <c r="Q576" s="81">
        <v>5.000243955500196E-3</v>
      </c>
      <c r="R576" s="85">
        <v>4.8574278807222981E-3</v>
      </c>
    </row>
    <row r="577" spans="14:18" x14ac:dyDescent="0.2">
      <c r="N577" s="88" t="str">
        <f t="shared" si="14"/>
        <v>1w</v>
      </c>
      <c r="O577" s="82">
        <f>_xll.qlCalendarAdvance(Calendar,O576,N577,"f",FALSE)</f>
        <v>43313</v>
      </c>
      <c r="P577" s="92">
        <f>_xll.qlCalendarAdvance(Calendar,O577,NDays&amp;"D")</f>
        <v>43315</v>
      </c>
      <c r="Q577" s="81">
        <v>5.0904113153703613E-3</v>
      </c>
      <c r="R577" s="85">
        <v>4.9477434534228593E-3</v>
      </c>
    </row>
    <row r="578" spans="14:18" x14ac:dyDescent="0.2">
      <c r="N578" s="88" t="str">
        <f t="shared" si="14"/>
        <v>1w</v>
      </c>
      <c r="O578" s="82">
        <f>_xll.qlCalendarAdvance(Calendar,O577,N578,"f",FALSE)</f>
        <v>43320</v>
      </c>
      <c r="P578" s="92">
        <f>_xll.qlCalendarAdvance(Calendar,O578,NDays&amp;"D")</f>
        <v>43322</v>
      </c>
      <c r="Q578" s="81">
        <v>5.1804608695089054E-3</v>
      </c>
      <c r="R578" s="85">
        <v>5.037940594458945E-3</v>
      </c>
    </row>
    <row r="579" spans="14:18" x14ac:dyDescent="0.2">
      <c r="N579" s="88" t="str">
        <f t="shared" si="14"/>
        <v>1w</v>
      </c>
      <c r="O579" s="82">
        <f>_xll.qlCalendarAdvance(Calendar,O578,N579,"f",FALSE)</f>
        <v>43327</v>
      </c>
      <c r="P579" s="92">
        <f>_xll.qlCalendarAdvance(Calendar,O579,NDays&amp;"D")</f>
        <v>43329</v>
      </c>
      <c r="Q579" s="81">
        <v>5.2703926151619019E-3</v>
      </c>
      <c r="R579" s="85">
        <v>5.1280193037506194E-3</v>
      </c>
    </row>
    <row r="580" spans="14:18" x14ac:dyDescent="0.2">
      <c r="N580" s="88" t="str">
        <f t="shared" si="14"/>
        <v>1w</v>
      </c>
      <c r="O580" s="82">
        <f>_xll.qlCalendarAdvance(Calendar,O579,N580,"f",FALSE)</f>
        <v>43334</v>
      </c>
      <c r="P580" s="92">
        <f>_xll.qlCalendarAdvance(Calendar,O580,NDays&amp;"D")</f>
        <v>43336</v>
      </c>
      <c r="Q580" s="81">
        <v>5.3602065495831604E-3</v>
      </c>
      <c r="R580" s="85">
        <v>5.2179795812179464E-3</v>
      </c>
    </row>
    <row r="581" spans="14:18" x14ac:dyDescent="0.2">
      <c r="N581" s="88" t="str">
        <f t="shared" si="14"/>
        <v>1w</v>
      </c>
      <c r="O581" s="82">
        <f>_xll.qlCalendarAdvance(Calendar,O580,N581,"f",FALSE)</f>
        <v>43341</v>
      </c>
      <c r="P581" s="92">
        <f>_xll.qlCalendarAdvance(Calendar,O581,NDays&amp;"D")</f>
        <v>43343</v>
      </c>
      <c r="Q581" s="81">
        <v>5.4305869627494351E-3</v>
      </c>
      <c r="R581" s="85">
        <v>5.3078214266211177E-3</v>
      </c>
    </row>
    <row r="582" spans="14:18" x14ac:dyDescent="0.2">
      <c r="N582" s="88" t="str">
        <f t="shared" si="14"/>
        <v>1w</v>
      </c>
      <c r="O582" s="82">
        <f>_xll.qlCalendarAdvance(Calendar,O581,N582,"f",FALSE)</f>
        <v>43348</v>
      </c>
      <c r="P582" s="92">
        <f>_xll.qlCalendarAdvance(Calendar,O582,NDays&amp;"D")</f>
        <v>43350</v>
      </c>
      <c r="Q582" s="81">
        <v>5.5395628391221152E-3</v>
      </c>
      <c r="R582" s="85">
        <v>5.3975448401200055E-3</v>
      </c>
    </row>
    <row r="583" spans="14:18" x14ac:dyDescent="0.2">
      <c r="N583" s="88" t="str">
        <f t="shared" si="14"/>
        <v>1w</v>
      </c>
      <c r="O583" s="82">
        <f>_xll.qlCalendarAdvance(Calendar,O582,N583,"f",FALSE)</f>
        <v>43355</v>
      </c>
      <c r="P583" s="92">
        <f>_xll.qlCalendarAdvance(Calendar,O583,NDays&amp;"D")</f>
        <v>43357</v>
      </c>
      <c r="Q583" s="81">
        <v>5.6293436656733803E-3</v>
      </c>
      <c r="R583" s="85">
        <v>5.4871498213948655E-3</v>
      </c>
    </row>
    <row r="584" spans="14:18" x14ac:dyDescent="0.2">
      <c r="N584" s="88" t="str">
        <f t="shared" si="14"/>
        <v>1w</v>
      </c>
      <c r="O584" s="82">
        <f>_xll.qlCalendarAdvance(Calendar,O583,N584,"f",FALSE)</f>
        <v>43362</v>
      </c>
      <c r="P584" s="92">
        <f>_xll.qlCalendarAdvance(Calendar,O584,NDays&amp;"D")</f>
        <v>43364</v>
      </c>
      <c r="Q584" s="81">
        <v>5.7194158443928424E-3</v>
      </c>
      <c r="R584" s="85">
        <v>5.5766363703657618E-3</v>
      </c>
    </row>
    <row r="585" spans="14:18" x14ac:dyDescent="0.2">
      <c r="N585" s="88" t="str">
        <f t="shared" si="14"/>
        <v>1w</v>
      </c>
      <c r="O585" s="82">
        <f>_xll.qlCalendarAdvance(Calendar,O584,N585,"f",FALSE)</f>
        <v>43369</v>
      </c>
      <c r="P585" s="92">
        <f>_xll.qlCalendarAdvance(Calendar,O585,NDays&amp;"D")</f>
        <v>43371</v>
      </c>
      <c r="Q585" s="81">
        <v>5.8230907769527759E-3</v>
      </c>
      <c r="R585" s="85">
        <v>5.6661592231765923E-3</v>
      </c>
    </row>
    <row r="586" spans="14:18" x14ac:dyDescent="0.2">
      <c r="N586" s="88" t="str">
        <f t="shared" si="14"/>
        <v>1w</v>
      </c>
      <c r="O586" s="82">
        <f>_xll.qlCalendarAdvance(Calendar,O585,N586,"f",FALSE)</f>
        <v>43376</v>
      </c>
      <c r="P586" s="92">
        <f>_xll.qlCalendarAdvance(Calendar,O586,NDays&amp;"D")</f>
        <v>43378</v>
      </c>
      <c r="Q586" s="81">
        <v>5.9010801413505289E-3</v>
      </c>
      <c r="R586" s="85">
        <v>5.7562612242367805E-3</v>
      </c>
    </row>
    <row r="587" spans="14:18" x14ac:dyDescent="0.2">
      <c r="N587" s="88" t="str">
        <f t="shared" si="14"/>
        <v>1w</v>
      </c>
      <c r="O587" s="82">
        <f>_xll.qlCalendarAdvance(Calendar,O586,N587,"f",FALSE)</f>
        <v>43383</v>
      </c>
      <c r="P587" s="92">
        <f>_xll.qlCalendarAdvance(Calendar,O587,NDays&amp;"D")</f>
        <v>43385</v>
      </c>
      <c r="Q587" s="81">
        <v>5.9928407688237062E-3</v>
      </c>
      <c r="R587" s="85">
        <v>5.8469905705926806E-3</v>
      </c>
    </row>
    <row r="588" spans="14:18" x14ac:dyDescent="0.2">
      <c r="N588" s="88" t="str">
        <f t="shared" si="14"/>
        <v>1w</v>
      </c>
      <c r="O588" s="82">
        <f>_xll.qlCalendarAdvance(Calendar,O587,N588,"f",FALSE)</f>
        <v>43390</v>
      </c>
      <c r="P588" s="92">
        <f>_xll.qlCalendarAdvance(Calendar,O588,NDays&amp;"D")</f>
        <v>43392</v>
      </c>
      <c r="Q588" s="81">
        <v>6.0852297621775027E-3</v>
      </c>
      <c r="R588" s="85">
        <v>5.9383472627239087E-3</v>
      </c>
    </row>
    <row r="589" spans="14:18" x14ac:dyDescent="0.2">
      <c r="N589" s="88" t="str">
        <f t="shared" si="14"/>
        <v>1w</v>
      </c>
      <c r="O589" s="82">
        <f>_xll.qlCalendarAdvance(Calendar,O588,N589,"f",FALSE)</f>
        <v>43397</v>
      </c>
      <c r="P589" s="92">
        <f>_xll.qlCalendarAdvance(Calendar,O589,NDays&amp;"D")</f>
        <v>43399</v>
      </c>
      <c r="Q589" s="81">
        <v>6.1782471363909025E-3</v>
      </c>
      <c r="R589" s="85">
        <v>6.030331300870273E-3</v>
      </c>
    </row>
    <row r="590" spans="14:18" x14ac:dyDescent="0.2">
      <c r="N590" s="88" t="str">
        <f t="shared" si="14"/>
        <v>1w</v>
      </c>
      <c r="O590" s="82">
        <f>_xll.qlCalendarAdvance(Calendar,O589,N590,"f",FALSE)</f>
        <v>43404</v>
      </c>
      <c r="P590" s="92">
        <f>_xll.qlCalendarAdvance(Calendar,O590,NDays&amp;"D")</f>
        <v>43406</v>
      </c>
      <c r="Q590" s="81">
        <v>6.2718929065460364E-3</v>
      </c>
      <c r="R590" s="85">
        <v>6.1229426857511982E-3</v>
      </c>
    </row>
    <row r="591" spans="14:18" x14ac:dyDescent="0.2">
      <c r="N591" s="88" t="str">
        <f t="shared" si="14"/>
        <v>1w</v>
      </c>
      <c r="O591" s="82">
        <f>_xll.qlCalendarAdvance(Calendar,O590,N591,"f",FALSE)</f>
        <v>43411</v>
      </c>
      <c r="P591" s="92">
        <f>_xll.qlCalendarAdvance(Calendar,O591,NDays&amp;"D")</f>
        <v>43413</v>
      </c>
      <c r="Q591" s="81">
        <v>6.3661670878230195E-3</v>
      </c>
      <c r="R591" s="85">
        <v>6.2161814177663643E-3</v>
      </c>
    </row>
    <row r="592" spans="14:18" x14ac:dyDescent="0.2">
      <c r="N592" s="88" t="str">
        <f t="shared" si="14"/>
        <v>1w</v>
      </c>
      <c r="O592" s="82">
        <f>_xll.qlCalendarAdvance(Calendar,O591,N592,"f",FALSE)</f>
        <v>43418</v>
      </c>
      <c r="P592" s="92">
        <f>_xll.qlCalendarAdvance(Calendar,O592,NDays&amp;"D")</f>
        <v>43420</v>
      </c>
      <c r="Q592" s="81">
        <v>6.4610696954999517E-3</v>
      </c>
      <c r="R592" s="85">
        <v>6.3100474973953879E-3</v>
      </c>
    </row>
    <row r="593" spans="14:18" x14ac:dyDescent="0.2">
      <c r="N593" s="88" t="str">
        <f t="shared" si="14"/>
        <v>1w</v>
      </c>
      <c r="O593" s="82">
        <f>_xll.qlCalendarAdvance(Calendar,O592,N593,"f",FALSE)</f>
        <v>43425</v>
      </c>
      <c r="P593" s="92">
        <f>_xll.qlCalendarAdvance(Calendar,O593,NDays&amp;"D")</f>
        <v>43427</v>
      </c>
      <c r="Q593" s="81">
        <v>6.5774377453504543E-3</v>
      </c>
      <c r="R593" s="85">
        <v>6.4045409252777574E-3</v>
      </c>
    </row>
    <row r="594" spans="14:18" x14ac:dyDescent="0.2">
      <c r="N594" s="88" t="str">
        <f t="shared" si="14"/>
        <v>1w</v>
      </c>
      <c r="O594" s="82">
        <f>_xll.qlCalendarAdvance(Calendar,O593,N594,"f",FALSE)</f>
        <v>43432</v>
      </c>
      <c r="P594" s="92">
        <f>_xll.qlCalendarAdvance(Calendar,O594,NDays&amp;"D")</f>
        <v>43434</v>
      </c>
      <c r="Q594" s="81">
        <v>6.6318240392442586E-3</v>
      </c>
      <c r="R594" s="85">
        <v>6.499661701733217E-3</v>
      </c>
    </row>
    <row r="595" spans="14:18" x14ac:dyDescent="0.2">
      <c r="N595" s="88" t="str">
        <f t="shared" si="14"/>
        <v>1w</v>
      </c>
      <c r="O595" s="82">
        <f>_xll.qlCalendarAdvance(Calendar,O594,N595,"f",FALSE)</f>
        <v>43439</v>
      </c>
      <c r="P595" s="92">
        <f>_xll.qlCalendarAdvance(Calendar,O595,NDays&amp;"D")</f>
        <v>43441</v>
      </c>
      <c r="Q595" s="81">
        <v>6.7495482313437074E-3</v>
      </c>
      <c r="R595" s="85">
        <v>6.595409827241383E-3</v>
      </c>
    </row>
    <row r="596" spans="14:18" x14ac:dyDescent="0.2">
      <c r="N596" s="88" t="str">
        <f t="shared" si="14"/>
        <v>1w</v>
      </c>
      <c r="O596" s="82">
        <f>_xll.qlCalendarAdvance(Calendar,O595,N596,"f",FALSE)</f>
        <v>43446</v>
      </c>
      <c r="P596" s="92">
        <f>_xll.qlCalendarAdvance(Calendar,O596,NDays&amp;"D")</f>
        <v>43448</v>
      </c>
      <c r="Q596" s="81">
        <v>6.846964699523627E-3</v>
      </c>
      <c r="R596" s="85">
        <v>6.6917853023618079E-3</v>
      </c>
    </row>
    <row r="597" spans="14:18" x14ac:dyDescent="0.2">
      <c r="N597" s="88" t="str">
        <f t="shared" ref="N597:N660" si="15">N596</f>
        <v>1w</v>
      </c>
      <c r="O597" s="82">
        <f>_xll.qlCalendarAdvance(Calendar,O596,N597,"f",FALSE)</f>
        <v>43453</v>
      </c>
      <c r="P597" s="92">
        <f>_xll.qlCalendarAdvance(Calendar,O597,NDays&amp;"D")</f>
        <v>43455</v>
      </c>
      <c r="Q597" s="81">
        <v>6.9450096720566259E-3</v>
      </c>
      <c r="R597" s="85">
        <v>6.8587340855597034E-3</v>
      </c>
    </row>
    <row r="598" spans="14:18" x14ac:dyDescent="0.2">
      <c r="N598" s="88" t="str">
        <f t="shared" si="15"/>
        <v>1w</v>
      </c>
      <c r="O598" s="82">
        <f>_xll.qlCalendarAdvance(Calendar,O597,N598,"f",FALSE)</f>
        <v>43461</v>
      </c>
      <c r="P598" s="92">
        <f>_xll.qlCalendarAdvance(Calendar,O598,NDays&amp;"D")</f>
        <v>43467</v>
      </c>
      <c r="Q598" s="81">
        <v>7.1289701683483683E-3</v>
      </c>
      <c r="R598" s="85">
        <v>6.9426267956451682E-3</v>
      </c>
    </row>
    <row r="599" spans="14:18" x14ac:dyDescent="0.2">
      <c r="N599" s="88" t="str">
        <f t="shared" si="15"/>
        <v>1w</v>
      </c>
      <c r="O599" s="82">
        <f>_xll.qlCalendarAdvance(Calendar,O598,N599,"f",FALSE)</f>
        <v>43468</v>
      </c>
      <c r="P599" s="92">
        <f>_xll.qlCalendarAdvance(Calendar,O599,NDays&amp;"D")</f>
        <v>43472</v>
      </c>
      <c r="Q599" s="81">
        <v>7.1857356193589222E-3</v>
      </c>
      <c r="R599" s="85">
        <v>6.9987638326374224E-3</v>
      </c>
    </row>
    <row r="600" spans="14:18" x14ac:dyDescent="0.2">
      <c r="N600" s="88" t="str">
        <f t="shared" si="15"/>
        <v>1w</v>
      </c>
      <c r="O600" s="82">
        <f>_xll.qlCalendarAdvance(Calendar,O599,N600,"f",FALSE)</f>
        <v>43475</v>
      </c>
      <c r="P600" s="92">
        <f>_xll.qlCalendarAdvance(Calendar,O600,NDays&amp;"D")</f>
        <v>43479</v>
      </c>
      <c r="Q600" s="81">
        <v>7.2859355852705034E-3</v>
      </c>
      <c r="R600" s="85">
        <v>7.0977383329928756E-3</v>
      </c>
    </row>
    <row r="601" spans="14:18" x14ac:dyDescent="0.2">
      <c r="N601" s="88" t="str">
        <f t="shared" si="15"/>
        <v>1w</v>
      </c>
      <c r="O601" s="82">
        <f>_xll.qlCalendarAdvance(Calendar,O600,N601,"f",FALSE)</f>
        <v>43482</v>
      </c>
      <c r="P601" s="92">
        <f>_xll.qlCalendarAdvance(Calendar,O601,NDays&amp;"D")</f>
        <v>43486</v>
      </c>
      <c r="Q601" s="81">
        <v>7.386764126704041E-3</v>
      </c>
      <c r="R601" s="85">
        <v>7.1973401856784136E-3</v>
      </c>
    </row>
    <row r="602" spans="14:18" x14ac:dyDescent="0.2">
      <c r="N602" s="88" t="str">
        <f t="shared" si="15"/>
        <v>1w</v>
      </c>
      <c r="O602" s="82">
        <f>_xll.qlCalendarAdvance(Calendar,O601,N602,"f",FALSE)</f>
        <v>43489</v>
      </c>
      <c r="P602" s="92">
        <f>_xll.qlCalendarAdvance(Calendar,O602,NDays&amp;"D")</f>
        <v>43493</v>
      </c>
      <c r="Q602" s="81">
        <v>7.4882212600103247E-3</v>
      </c>
      <c r="R602" s="85">
        <v>7.2975693910937167E-3</v>
      </c>
    </row>
    <row r="603" spans="14:18" x14ac:dyDescent="0.2">
      <c r="N603" s="88" t="str">
        <f t="shared" si="15"/>
        <v>1w</v>
      </c>
      <c r="O603" s="82">
        <f>_xll.qlCalendarAdvance(Calendar,O602,N603,"f",FALSE)</f>
        <v>43496</v>
      </c>
      <c r="P603" s="92">
        <f>_xll.qlCalendarAdvance(Calendar,O603,NDays&amp;"D")</f>
        <v>43500</v>
      </c>
      <c r="Q603" s="81">
        <v>7.5680454823835929E-3</v>
      </c>
      <c r="R603" s="85">
        <v>7.3984259498782734E-3</v>
      </c>
    </row>
    <row r="604" spans="14:18" x14ac:dyDescent="0.2">
      <c r="N604" s="88" t="str">
        <f t="shared" si="15"/>
        <v>1w</v>
      </c>
      <c r="O604" s="82">
        <f>_xll.qlCalendarAdvance(Calendar,O603,N604,"f",FALSE)</f>
        <v>43503</v>
      </c>
      <c r="P604" s="92">
        <f>_xll.qlCalendarAdvance(Calendar,O604,NDays&amp;"D")</f>
        <v>43507</v>
      </c>
      <c r="Q604" s="81">
        <v>7.6706186302190537E-3</v>
      </c>
      <c r="R604" s="85">
        <v>7.4999098624317639E-3</v>
      </c>
    </row>
    <row r="605" spans="14:18" x14ac:dyDescent="0.2">
      <c r="N605" s="88" t="str">
        <f t="shared" si="15"/>
        <v>1w</v>
      </c>
      <c r="O605" s="82">
        <f>_xll.qlCalendarAdvance(Calendar,O604,N605,"f",FALSE)</f>
        <v>43510</v>
      </c>
      <c r="P605" s="92">
        <f>_xll.qlCalendarAdvance(Calendar,O605,NDays&amp;"D")</f>
        <v>43514</v>
      </c>
      <c r="Q605" s="81">
        <v>7.7738202876645856E-3</v>
      </c>
      <c r="R605" s="85">
        <v>7.6020211292338047E-3</v>
      </c>
    </row>
    <row r="606" spans="14:18" x14ac:dyDescent="0.2">
      <c r="N606" s="88" t="str">
        <f t="shared" si="15"/>
        <v>1w</v>
      </c>
      <c r="O606" s="82">
        <f>_xll.qlCalendarAdvance(Calendar,O605,N606,"f",FALSE)</f>
        <v>43517</v>
      </c>
      <c r="P606" s="92">
        <f>_xll.qlCalendarAdvance(Calendar,O606,NDays&amp;"D")</f>
        <v>43521</v>
      </c>
      <c r="Q606" s="81">
        <v>7.8776504698338124E-3</v>
      </c>
      <c r="R606" s="85">
        <v>7.7047597510837562E-3</v>
      </c>
    </row>
    <row r="607" spans="14:18" x14ac:dyDescent="0.2">
      <c r="N607" s="88" t="str">
        <f t="shared" si="15"/>
        <v>1w</v>
      </c>
      <c r="O607" s="82">
        <f>_xll.qlCalendarAdvance(Calendar,O606,N607,"f",FALSE)</f>
        <v>43524</v>
      </c>
      <c r="P607" s="92">
        <f>_xll.qlCalendarAdvance(Calendar,O607,NDays&amp;"D")</f>
        <v>43528</v>
      </c>
      <c r="Q607" s="81">
        <v>8.0049363839140852E-3</v>
      </c>
      <c r="R607" s="85">
        <v>7.8081257283013628E-3</v>
      </c>
    </row>
    <row r="608" spans="14:18" x14ac:dyDescent="0.2">
      <c r="N608" s="88" t="str">
        <f t="shared" si="15"/>
        <v>1w</v>
      </c>
      <c r="O608" s="82">
        <f>_xll.qlCalendarAdvance(Calendar,O607,N608,"f",FALSE)</f>
        <v>43531</v>
      </c>
      <c r="P608" s="92">
        <f>_xll.qlCalendarAdvance(Calendar,O608,NDays&amp;"D")</f>
        <v>43535</v>
      </c>
      <c r="Q608" s="81">
        <v>8.1101654174576786E-3</v>
      </c>
      <c r="R608" s="85">
        <v>7.9121190613662407E-3</v>
      </c>
    </row>
    <row r="609" spans="14:18" x14ac:dyDescent="0.2">
      <c r="N609" s="88" t="str">
        <f t="shared" si="15"/>
        <v>1w</v>
      </c>
      <c r="O609" s="82">
        <f>_xll.qlCalendarAdvance(Calendar,O608,N609,"f",FALSE)</f>
        <v>43538</v>
      </c>
      <c r="P609" s="92">
        <f>_xll.qlCalendarAdvance(Calendar,O609,NDays&amp;"D")</f>
        <v>43542</v>
      </c>
      <c r="Q609" s="81">
        <v>8.2160231601582662E-3</v>
      </c>
      <c r="R609" s="85">
        <v>8.0167397510777505E-3</v>
      </c>
    </row>
    <row r="610" spans="14:18" x14ac:dyDescent="0.2">
      <c r="N610" s="88" t="str">
        <f t="shared" si="15"/>
        <v>1w</v>
      </c>
      <c r="O610" s="82">
        <f>_xll.qlCalendarAdvance(Calendar,O609,N610,"f",FALSE)</f>
        <v>43545</v>
      </c>
      <c r="P610" s="92">
        <f>_xll.qlCalendarAdvance(Calendar,O610,NDays&amp;"D")</f>
        <v>43549</v>
      </c>
      <c r="Q610" s="81">
        <v>8.3225096291866269E-3</v>
      </c>
      <c r="R610" s="85">
        <v>8.1219877977556365E-3</v>
      </c>
    </row>
    <row r="611" spans="14:18" x14ac:dyDescent="0.2">
      <c r="N611" s="88" t="str">
        <f t="shared" si="15"/>
        <v>1w</v>
      </c>
      <c r="O611" s="82">
        <f>_xll.qlCalendarAdvance(Calendar,O610,N611,"f",FALSE)</f>
        <v>43552</v>
      </c>
      <c r="P611" s="92">
        <f>_xll.qlCalendarAdvance(Calendar,O611,NDays&amp;"D")</f>
        <v>43556</v>
      </c>
      <c r="Q611" s="81">
        <v>8.4296248418037952E-3</v>
      </c>
      <c r="R611" s="85">
        <v>8.2278632021193232E-3</v>
      </c>
    </row>
    <row r="612" spans="14:18" x14ac:dyDescent="0.2">
      <c r="N612" s="88" t="str">
        <f t="shared" si="15"/>
        <v>1w</v>
      </c>
      <c r="O612" s="82">
        <f>_xll.qlCalendarAdvance(Calendar,O611,N612,"f",FALSE)</f>
        <v>43559</v>
      </c>
      <c r="P612" s="92">
        <f>_xll.qlCalendarAdvance(Calendar,O612,NDays&amp;"D")</f>
        <v>43563</v>
      </c>
      <c r="Q612" s="81">
        <v>8.5295183797988727E-3</v>
      </c>
      <c r="R612" s="85">
        <v>8.3343659644885548E-3</v>
      </c>
    </row>
    <row r="613" spans="14:18" x14ac:dyDescent="0.2">
      <c r="N613" s="88" t="str">
        <f t="shared" si="15"/>
        <v>1w</v>
      </c>
      <c r="O613" s="82">
        <f>_xll.qlCalendarAdvance(Calendar,O612,N613,"f",FALSE)</f>
        <v>43566</v>
      </c>
      <c r="P613" s="92">
        <f>_xll.qlCalendarAdvance(Calendar,O613,NDays&amp;"D")</f>
        <v>43570</v>
      </c>
      <c r="Q613" s="81">
        <v>8.6378436362037903E-3</v>
      </c>
      <c r="R613" s="85">
        <v>8.441496085742628E-3</v>
      </c>
    </row>
    <row r="614" spans="14:18" x14ac:dyDescent="0.2">
      <c r="N614" s="88" t="str">
        <f t="shared" si="15"/>
        <v>1w</v>
      </c>
      <c r="O614" s="82">
        <f>_xll.qlCalendarAdvance(Calendar,O613,N614,"f",FALSE)</f>
        <v>43573</v>
      </c>
      <c r="P614" s="92">
        <f>_xll.qlCalendarAdvance(Calendar,O614,NDays&amp;"D")</f>
        <v>43579</v>
      </c>
      <c r="Q614" s="81">
        <v>8.7780428412438383E-3</v>
      </c>
      <c r="R614" s="85">
        <v>8.5958368973404475E-3</v>
      </c>
    </row>
    <row r="615" spans="14:18" x14ac:dyDescent="0.2">
      <c r="N615" s="88" t="str">
        <f t="shared" si="15"/>
        <v>1w</v>
      </c>
      <c r="O615" s="82">
        <f>_xll.qlCalendarAdvance(Calendar,O614,N615,"f",FALSE)</f>
        <v>43580</v>
      </c>
      <c r="P615" s="92">
        <f>_xll.qlCalendarAdvance(Calendar,O615,NDays&amp;"D")</f>
        <v>43584</v>
      </c>
      <c r="Q615" s="81">
        <v>8.8563804067929297E-3</v>
      </c>
      <c r="R615" s="85">
        <v>8.6731731681410906E-3</v>
      </c>
    </row>
    <row r="616" spans="14:18" x14ac:dyDescent="0.2">
      <c r="N616" s="88" t="str">
        <f t="shared" si="15"/>
        <v>1w</v>
      </c>
      <c r="O616" s="82">
        <f>_xll.qlCalendarAdvance(Calendar,O615,N616,"f",FALSE)</f>
        <v>43587</v>
      </c>
      <c r="P616" s="92">
        <f>_xll.qlCalendarAdvance(Calendar,O616,NDays&amp;"D")</f>
        <v>43591</v>
      </c>
      <c r="Q616" s="81">
        <v>8.9746326701706774E-3</v>
      </c>
      <c r="R616" s="85">
        <v>8.766650607130444E-3</v>
      </c>
    </row>
    <row r="617" spans="14:18" x14ac:dyDescent="0.2">
      <c r="N617" s="88" t="str">
        <f t="shared" si="15"/>
        <v>1w</v>
      </c>
      <c r="O617" s="82">
        <f>_xll.qlCalendarAdvance(Calendar,O616,N617,"f",FALSE)</f>
        <v>43594</v>
      </c>
      <c r="P617" s="92">
        <f>_xll.qlCalendarAdvance(Calendar,O617,NDays&amp;"D")</f>
        <v>43598</v>
      </c>
      <c r="Q617" s="81">
        <v>9.0855207126170415E-3</v>
      </c>
      <c r="R617" s="85">
        <v>8.8762901687200468E-3</v>
      </c>
    </row>
    <row r="618" spans="14:18" x14ac:dyDescent="0.2">
      <c r="N618" s="88" t="str">
        <f t="shared" si="15"/>
        <v>1w</v>
      </c>
      <c r="O618" s="82">
        <f>_xll.qlCalendarAdvance(Calendar,O617,N618,"f",FALSE)</f>
        <v>43601</v>
      </c>
      <c r="P618" s="92">
        <f>_xll.qlCalendarAdvance(Calendar,O618,NDays&amp;"D")</f>
        <v>43605</v>
      </c>
      <c r="Q618" s="81">
        <v>9.1970376223700218E-3</v>
      </c>
      <c r="R618" s="85">
        <v>8.9865570919922533E-3</v>
      </c>
    </row>
    <row r="619" spans="14:18" x14ac:dyDescent="0.2">
      <c r="N619" s="88" t="str">
        <f t="shared" si="15"/>
        <v>1w</v>
      </c>
      <c r="O619" s="82">
        <f>_xll.qlCalendarAdvance(Calendar,O618,N619,"f",FALSE)</f>
        <v>43608</v>
      </c>
      <c r="P619" s="92">
        <f>_xll.qlCalendarAdvance(Calendar,O619,NDays&amp;"D")</f>
        <v>43612</v>
      </c>
      <c r="Q619" s="81">
        <v>9.3091834175132188E-3</v>
      </c>
      <c r="R619" s="85">
        <v>9.105513154592515E-3</v>
      </c>
    </row>
    <row r="620" spans="14:18" x14ac:dyDescent="0.2">
      <c r="N620" s="88" t="str">
        <f t="shared" si="15"/>
        <v>1w</v>
      </c>
      <c r="O620" s="82">
        <f>_xll.qlCalendarAdvance(Calendar,O619,N620,"f",FALSE)</f>
        <v>43616</v>
      </c>
      <c r="P620" s="92">
        <f>_xll.qlCalendarAdvance(Calendar,O620,NDays&amp;"D")</f>
        <v>43620</v>
      </c>
      <c r="Q620" s="81">
        <v>9.4298814794910868E-3</v>
      </c>
      <c r="R620" s="85">
        <v>9.2249559026047478E-3</v>
      </c>
    </row>
    <row r="621" spans="14:18" x14ac:dyDescent="0.2">
      <c r="N621" s="88" t="str">
        <f t="shared" si="15"/>
        <v>1w</v>
      </c>
      <c r="O621" s="82">
        <f>_xll.qlCalendarAdvance(Calendar,O620,N621,"f",FALSE)</f>
        <v>43623</v>
      </c>
      <c r="P621" s="92">
        <f>_xll.qlCalendarAdvance(Calendar,O621,NDays&amp;"D")</f>
        <v>43628</v>
      </c>
      <c r="Q621" s="81">
        <v>9.5595848805052341E-3</v>
      </c>
      <c r="R621" s="85">
        <v>9.3696260664799524E-3</v>
      </c>
    </row>
    <row r="622" spans="14:18" x14ac:dyDescent="0.2">
      <c r="N622" s="88" t="str">
        <f t="shared" si="15"/>
        <v>1w</v>
      </c>
      <c r="O622" s="82">
        <f>_xll.qlCalendarAdvance(Calendar,O621,N622,"f",FALSE)</f>
        <v>43630</v>
      </c>
      <c r="P622" s="92">
        <f>_xll.qlCalendarAdvance(Calendar,O622,NDays&amp;"D")</f>
        <v>43634</v>
      </c>
      <c r="Q622" s="81">
        <v>9.6574014796910745E-3</v>
      </c>
      <c r="R622" s="85">
        <v>9.4747097492886567E-3</v>
      </c>
    </row>
    <row r="623" spans="14:18" x14ac:dyDescent="0.2">
      <c r="N623" s="88" t="str">
        <f t="shared" si="15"/>
        <v>1w</v>
      </c>
      <c r="O623" s="82">
        <f>_xll.qlCalendarAdvance(Calendar,O622,N623,"f",FALSE)</f>
        <v>43640</v>
      </c>
      <c r="P623" s="92">
        <f>_xll.qlCalendarAdvance(Calendar,O623,NDays&amp;"D")</f>
        <v>43642</v>
      </c>
      <c r="Q623" s="81">
        <v>9.7885423646104641E-3</v>
      </c>
      <c r="R623" s="85">
        <v>9.5963558664280413E-3</v>
      </c>
    </row>
    <row r="624" spans="14:18" x14ac:dyDescent="0.2">
      <c r="N624" s="88" t="str">
        <f t="shared" si="15"/>
        <v>1w</v>
      </c>
      <c r="O624" s="82">
        <f>_xll.qlCalendarAdvance(Calendar,O623,N624,"f",FALSE)</f>
        <v>43647</v>
      </c>
      <c r="P624" s="92">
        <f>_xll.qlCalendarAdvance(Calendar,O624,NDays&amp;"D")</f>
        <v>43649</v>
      </c>
      <c r="Q624" s="81">
        <v>9.9292911883554855E-3</v>
      </c>
      <c r="R624" s="85">
        <v>9.7106619719156129E-3</v>
      </c>
    </row>
    <row r="625" spans="14:18" x14ac:dyDescent="0.2">
      <c r="N625" s="88" t="str">
        <f t="shared" si="15"/>
        <v>1w</v>
      </c>
      <c r="O625" s="82">
        <f>_xll.qlCalendarAdvance(Calendar,O624,N625,"f",FALSE)</f>
        <v>43654</v>
      </c>
      <c r="P625" s="92">
        <f>_xll.qlCalendarAdvance(Calendar,O625,NDays&amp;"D")</f>
        <v>43656</v>
      </c>
      <c r="Q625" s="81">
        <v>1.0045486701472197E-2</v>
      </c>
      <c r="R625" s="85">
        <v>9.8255955501436176E-3</v>
      </c>
    </row>
    <row r="626" spans="14:18" x14ac:dyDescent="0.2">
      <c r="N626" s="88" t="str">
        <f t="shared" si="15"/>
        <v>1w</v>
      </c>
      <c r="O626" s="82">
        <f>_xll.qlCalendarAdvance(Calendar,O625,N626,"f",FALSE)</f>
        <v>43661</v>
      </c>
      <c r="P626" s="92">
        <f>_xll.qlCalendarAdvance(Calendar,O626,NDays&amp;"D")</f>
        <v>43663</v>
      </c>
      <c r="Q626" s="81">
        <v>1.016231134793554E-2</v>
      </c>
      <c r="R626" s="85">
        <v>9.9411566028972942E-3</v>
      </c>
    </row>
    <row r="627" spans="14:18" x14ac:dyDescent="0.2">
      <c r="N627" s="88" t="str">
        <f t="shared" si="15"/>
        <v>1w</v>
      </c>
      <c r="O627" s="82">
        <f>_xll.qlCalendarAdvance(Calendar,O626,N627,"f",FALSE)</f>
        <v>43668</v>
      </c>
      <c r="P627" s="92">
        <f>_xll.qlCalendarAdvance(Calendar,O627,NDays&amp;"D")</f>
        <v>43670</v>
      </c>
      <c r="Q627" s="81">
        <v>1.0279765147916045E-2</v>
      </c>
      <c r="R627" s="85">
        <v>1.0057345132015172E-2</v>
      </c>
    </row>
    <row r="628" spans="14:18" x14ac:dyDescent="0.2">
      <c r="N628" s="88" t="str">
        <f t="shared" si="15"/>
        <v>1w</v>
      </c>
      <c r="O628" s="82">
        <f>_xll.qlCalendarAdvance(Calendar,O627,N628,"f",FALSE)</f>
        <v>43675</v>
      </c>
      <c r="P628" s="92">
        <f>_xll.qlCalendarAdvance(Calendar,O628,NDays&amp;"D")</f>
        <v>43677</v>
      </c>
      <c r="Q628" s="81">
        <v>1.0371942624061603E-2</v>
      </c>
      <c r="R628" s="85">
        <v>1.0174161139282489E-2</v>
      </c>
    </row>
    <row r="629" spans="14:18" x14ac:dyDescent="0.2">
      <c r="N629" s="88" t="str">
        <f t="shared" si="15"/>
        <v>1w</v>
      </c>
      <c r="O629" s="82">
        <f>_xll.qlCalendarAdvance(Calendar,O628,N629,"f",FALSE)</f>
        <v>43682</v>
      </c>
      <c r="P629" s="92">
        <f>_xll.qlCalendarAdvance(Calendar,O629,NDays&amp;"D")</f>
        <v>43684</v>
      </c>
      <c r="Q629" s="81">
        <v>1.0516560289636314E-2</v>
      </c>
      <c r="R629" s="85">
        <v>1.0291604626564421E-2</v>
      </c>
    </row>
    <row r="630" spans="14:18" x14ac:dyDescent="0.2">
      <c r="N630" s="88" t="str">
        <f t="shared" si="15"/>
        <v>1w</v>
      </c>
      <c r="O630" s="82">
        <f>_xll.qlCalendarAdvance(Calendar,O629,N630,"f",FALSE)</f>
        <v>43689</v>
      </c>
      <c r="P630" s="92">
        <f>_xll.qlCalendarAdvance(Calendar,O630,NDays&amp;"D")</f>
        <v>43691</v>
      </c>
      <c r="Q630" s="81">
        <v>1.0635901672254892E-2</v>
      </c>
      <c r="R630" s="85">
        <v>1.0409675595672852E-2</v>
      </c>
    </row>
    <row r="631" spans="14:18" x14ac:dyDescent="0.2">
      <c r="N631" s="88" t="str">
        <f t="shared" si="15"/>
        <v>1w</v>
      </c>
      <c r="O631" s="82">
        <f>_xll.qlCalendarAdvance(Calendar,O630,N631,"f",FALSE)</f>
        <v>43696</v>
      </c>
      <c r="P631" s="92">
        <f>_xll.qlCalendarAdvance(Calendar,O631,NDays&amp;"D")</f>
        <v>43698</v>
      </c>
      <c r="Q631" s="81">
        <v>1.0755872290143419E-2</v>
      </c>
      <c r="R631" s="85">
        <v>1.0528374048472955E-2</v>
      </c>
    </row>
    <row r="632" spans="14:18" x14ac:dyDescent="0.2">
      <c r="N632" s="88" t="str">
        <f t="shared" si="15"/>
        <v>1w</v>
      </c>
      <c r="O632" s="82">
        <f>_xll.qlCalendarAdvance(Calendar,O631,N632,"f",FALSE)</f>
        <v>43703</v>
      </c>
      <c r="P632" s="92">
        <f>_xll.qlCalendarAdvance(Calendar,O632,NDays&amp;"D")</f>
        <v>43705</v>
      </c>
      <c r="Q632" s="81">
        <v>1.0876472164015025E-2</v>
      </c>
      <c r="R632" s="85">
        <v>1.0647699986829906E-2</v>
      </c>
    </row>
    <row r="633" spans="14:18" x14ac:dyDescent="0.2">
      <c r="N633" s="88" t="str">
        <f t="shared" si="15"/>
        <v>1w</v>
      </c>
      <c r="O633" s="82">
        <f>_xll.qlCalendarAdvance(Calendar,O632,N633,"f",FALSE)</f>
        <v>43710</v>
      </c>
      <c r="P633" s="92">
        <f>_xll.qlCalendarAdvance(Calendar,O633,NDays&amp;"D")</f>
        <v>43712</v>
      </c>
      <c r="Q633" s="81">
        <v>1.0971056412441449E-2</v>
      </c>
      <c r="R633" s="85">
        <v>1.0767653412635525E-2</v>
      </c>
    </row>
    <row r="634" spans="14:18" x14ac:dyDescent="0.2">
      <c r="N634" s="88" t="str">
        <f t="shared" si="15"/>
        <v>1w</v>
      </c>
      <c r="O634" s="82">
        <f>_xll.qlCalendarAdvance(Calendar,O633,N634,"f",FALSE)</f>
        <v>43717</v>
      </c>
      <c r="P634" s="92">
        <f>_xll.qlCalendarAdvance(Calendar,O634,NDays&amp;"D")</f>
        <v>43719</v>
      </c>
      <c r="Q634" s="81">
        <v>1.1092532225703167E-2</v>
      </c>
      <c r="R634" s="85">
        <v>1.0888234327728341E-2</v>
      </c>
    </row>
    <row r="635" spans="14:18" x14ac:dyDescent="0.2">
      <c r="N635" s="88" t="str">
        <f t="shared" si="15"/>
        <v>1w</v>
      </c>
      <c r="O635" s="82">
        <f>_xll.qlCalendarAdvance(Calendar,O634,N635,"f",FALSE)</f>
        <v>43724</v>
      </c>
      <c r="P635" s="92">
        <f>_xll.qlCalendarAdvance(Calendar,O635,NDays&amp;"D")</f>
        <v>43726</v>
      </c>
      <c r="Q635" s="81">
        <v>1.1214033247312294E-2</v>
      </c>
      <c r="R635" s="85">
        <v>1.100944273402682E-2</v>
      </c>
    </row>
    <row r="636" spans="14:18" x14ac:dyDescent="0.2">
      <c r="N636" s="88" t="str">
        <f t="shared" si="15"/>
        <v>1w</v>
      </c>
      <c r="O636" s="82">
        <f>_xll.qlCalendarAdvance(Calendar,O635,N636,"f",FALSE)</f>
        <v>43731</v>
      </c>
      <c r="P636" s="92">
        <f>_xll.qlCalendarAdvance(Calendar,O636,NDays&amp;"D")</f>
        <v>43733</v>
      </c>
      <c r="Q636" s="81">
        <v>1.1335175162070499E-2</v>
      </c>
      <c r="R636" s="85">
        <v>1.1131278633449426E-2</v>
      </c>
    </row>
    <row r="637" spans="14:18" x14ac:dyDescent="0.2">
      <c r="N637" s="88" t="str">
        <f t="shared" si="15"/>
        <v>1w</v>
      </c>
      <c r="O637" s="82">
        <f>_xll.qlCalendarAdvance(Calendar,O636,N637,"f",FALSE)</f>
        <v>43738</v>
      </c>
      <c r="P637" s="92">
        <f>_xll.qlCalendarAdvance(Calendar,O637,NDays&amp;"D")</f>
        <v>43740</v>
      </c>
      <c r="Q637" s="81">
        <v>1.1481632966061639E-2</v>
      </c>
      <c r="R637" s="85">
        <v>1.1253221459313067E-2</v>
      </c>
    </row>
    <row r="638" spans="14:18" x14ac:dyDescent="0.2">
      <c r="N638" s="88" t="str">
        <f t="shared" si="15"/>
        <v>1w</v>
      </c>
      <c r="O638" s="82">
        <f>_xll.qlCalendarAdvance(Calendar,O637,N638,"f",FALSE)</f>
        <v>43745</v>
      </c>
      <c r="P638" s="92">
        <f>_xll.qlCalendarAdvance(Calendar,O638,NDays&amp;"D")</f>
        <v>43747</v>
      </c>
      <c r="Q638" s="81">
        <v>1.1600831617951165E-2</v>
      </c>
      <c r="R638" s="85">
        <v>1.1374196488800337E-2</v>
      </c>
    </row>
    <row r="639" spans="14:18" x14ac:dyDescent="0.2">
      <c r="N639" s="88" t="str">
        <f t="shared" si="15"/>
        <v>1w</v>
      </c>
      <c r="O639" s="82">
        <f>_xll.qlCalendarAdvance(Calendar,O638,N639,"f",FALSE)</f>
        <v>43752</v>
      </c>
      <c r="P639" s="92">
        <f>_xll.qlCalendarAdvance(Calendar,O639,NDays&amp;"D")</f>
        <v>43754</v>
      </c>
      <c r="Q639" s="81">
        <v>1.1719012275620859E-2</v>
      </c>
      <c r="R639" s="85">
        <v>1.1494153341251589E-2</v>
      </c>
    </row>
    <row r="640" spans="14:18" x14ac:dyDescent="0.2">
      <c r="N640" s="88" t="str">
        <f t="shared" si="15"/>
        <v>1w</v>
      </c>
      <c r="O640" s="82">
        <f>_xll.qlCalendarAdvance(Calendar,O639,N640,"f",FALSE)</f>
        <v>43759</v>
      </c>
      <c r="P640" s="92">
        <f>_xll.qlCalendarAdvance(Calendar,O640,NDays&amp;"D")</f>
        <v>43761</v>
      </c>
      <c r="Q640" s="81">
        <v>1.1836174905984462E-2</v>
      </c>
      <c r="R640" s="85">
        <v>1.1613092013629256E-2</v>
      </c>
    </row>
    <row r="641" spans="14:18" x14ac:dyDescent="0.2">
      <c r="N641" s="88" t="str">
        <f t="shared" si="15"/>
        <v>1w</v>
      </c>
      <c r="O641" s="82">
        <f>_xll.qlCalendarAdvance(Calendar,O640,N641,"f",FALSE)</f>
        <v>43766</v>
      </c>
      <c r="P641" s="92">
        <f>_xll.qlCalendarAdvance(Calendar,O641,NDays&amp;"D")</f>
        <v>43768</v>
      </c>
      <c r="Q641" s="81">
        <v>1.1927088323835378E-2</v>
      </c>
      <c r="R641" s="85">
        <v>1.1731012502922411E-2</v>
      </c>
    </row>
    <row r="642" spans="14:18" x14ac:dyDescent="0.2">
      <c r="N642" s="88" t="str">
        <f t="shared" si="15"/>
        <v>1w</v>
      </c>
      <c r="O642" s="82">
        <f>_xll.qlCalendarAdvance(Calendar,O641,N642,"f",FALSE)</f>
        <v>43773</v>
      </c>
      <c r="P642" s="92">
        <f>_xll.qlCalendarAdvance(Calendar,O642,NDays&amp;"D")</f>
        <v>43775</v>
      </c>
      <c r="Q642" s="81">
        <v>1.204242145516865E-2</v>
      </c>
      <c r="R642" s="85">
        <v>1.1847914806066839E-2</v>
      </c>
    </row>
    <row r="643" spans="14:18" x14ac:dyDescent="0.2">
      <c r="N643" s="88" t="str">
        <f t="shared" si="15"/>
        <v>1w</v>
      </c>
      <c r="O643" s="82">
        <f>_xll.qlCalendarAdvance(Calendar,O642,N643,"f",FALSE)</f>
        <v>43780</v>
      </c>
      <c r="P643" s="92">
        <f>_xll.qlCalendarAdvance(Calendar,O643,NDays&amp;"D")</f>
        <v>43782</v>
      </c>
      <c r="Q643" s="81">
        <v>1.2156736460896767E-2</v>
      </c>
      <c r="R643" s="85">
        <v>1.1963798920158197E-2</v>
      </c>
    </row>
    <row r="644" spans="14:18" x14ac:dyDescent="0.2">
      <c r="N644" s="88" t="str">
        <f t="shared" si="15"/>
        <v>1w</v>
      </c>
      <c r="O644" s="82">
        <f>_xll.qlCalendarAdvance(Calendar,O643,N644,"f",FALSE)</f>
        <v>43787</v>
      </c>
      <c r="P644" s="92">
        <f>_xll.qlCalendarAdvance(Calendar,O644,NDays&amp;"D")</f>
        <v>43789</v>
      </c>
      <c r="Q644" s="81">
        <v>1.227003331192833E-2</v>
      </c>
      <c r="R644" s="85">
        <v>1.207866484218556E-2</v>
      </c>
    </row>
    <row r="645" spans="14:18" x14ac:dyDescent="0.2">
      <c r="N645" s="88" t="str">
        <f t="shared" si="15"/>
        <v>1w</v>
      </c>
      <c r="O645" s="82">
        <f>_xll.qlCalendarAdvance(Calendar,O644,N645,"f",FALSE)</f>
        <v>43794</v>
      </c>
      <c r="P645" s="92">
        <f>_xll.qlCalendarAdvance(Calendar,O645,NDays&amp;"D")</f>
        <v>43796</v>
      </c>
      <c r="Q645" s="81">
        <v>1.2382311979435734E-2</v>
      </c>
      <c r="R645" s="85">
        <v>1.2192512569297875E-2</v>
      </c>
    </row>
    <row r="646" spans="14:18" x14ac:dyDescent="0.2">
      <c r="N646" s="88" t="str">
        <f t="shared" si="15"/>
        <v>1w</v>
      </c>
      <c r="O646" s="82">
        <f>_xll.qlCalendarAdvance(Calendar,O645,N646,"f",FALSE)</f>
        <v>43801</v>
      </c>
      <c r="P646" s="92">
        <f>_xll.qlCalendarAdvance(Calendar,O646,NDays&amp;"D")</f>
        <v>43803</v>
      </c>
      <c r="Q646" s="81">
        <v>1.2525823495172408E-2</v>
      </c>
      <c r="R646" s="85">
        <v>1.2305342098537508E-2</v>
      </c>
    </row>
    <row r="647" spans="14:18" x14ac:dyDescent="0.2">
      <c r="N647" s="88" t="str">
        <f t="shared" si="15"/>
        <v>1w</v>
      </c>
      <c r="O647" s="82">
        <f>_xll.qlCalendarAdvance(Calendar,O646,N647,"f",FALSE)</f>
        <v>43808</v>
      </c>
      <c r="P647" s="92">
        <f>_xll.qlCalendarAdvance(Calendar,O647,NDays&amp;"D")</f>
        <v>43810</v>
      </c>
      <c r="Q647" s="81">
        <v>1.2627805835391956E-2</v>
      </c>
      <c r="R647" s="85">
        <v>1.2417153427000116E-2</v>
      </c>
    </row>
    <row r="648" spans="14:18" x14ac:dyDescent="0.2">
      <c r="N648" s="88" t="str">
        <f t="shared" si="15"/>
        <v>1w</v>
      </c>
      <c r="O648" s="82">
        <f>_xll.qlCalendarAdvance(Calendar,O647,N648,"f",FALSE)</f>
        <v>43815</v>
      </c>
      <c r="P648" s="92">
        <f>_xll.qlCalendarAdvance(Calendar,O648,NDays&amp;"D")</f>
        <v>43817</v>
      </c>
      <c r="Q648" s="81">
        <v>1.2736823090728969E-2</v>
      </c>
      <c r="R648" s="85">
        <v>1.2527946551941227E-2</v>
      </c>
    </row>
    <row r="649" spans="14:18" x14ac:dyDescent="0.2">
      <c r="N649" s="88" t="str">
        <f t="shared" si="15"/>
        <v>1w</v>
      </c>
      <c r="O649" s="82">
        <f>_xll.qlCalendarAdvance(Calendar,O648,N649,"f",FALSE)</f>
        <v>43822</v>
      </c>
      <c r="P649" s="92">
        <f>_xll.qlCalendarAdvance(Calendar,O649,NDays&amp;"D")</f>
        <v>43829</v>
      </c>
      <c r="Q649" s="81">
        <v>1.2913537000882325E-2</v>
      </c>
      <c r="R649" s="85">
        <v>1.2754427417416281E-2</v>
      </c>
    </row>
    <row r="650" spans="14:18" x14ac:dyDescent="0.2">
      <c r="N650" s="88" t="str">
        <f t="shared" si="15"/>
        <v>1w</v>
      </c>
      <c r="O650" s="82">
        <f>_xll.qlCalendarAdvance(Calendar,O649,N650,"f",FALSE)</f>
        <v>43829</v>
      </c>
      <c r="P650" s="92">
        <f>_xll.qlCalendarAdvance(Calendar,O650,NDays&amp;"D")</f>
        <v>43833</v>
      </c>
      <c r="Q650" s="81">
        <v>1.2966646526066366E-2</v>
      </c>
      <c r="R650" s="85">
        <v>1.2807718976342031E-2</v>
      </c>
    </row>
    <row r="651" spans="14:18" x14ac:dyDescent="0.2">
      <c r="N651" s="88" t="str">
        <f t="shared" si="15"/>
        <v>1w</v>
      </c>
      <c r="O651" s="82">
        <f>_xll.qlCalendarAdvance(Calendar,O650,N651,"f",FALSE)</f>
        <v>43837</v>
      </c>
      <c r="P651" s="92">
        <f>_xll.qlCalendarAdvance(Calendar,O651,NDays&amp;"D")</f>
        <v>43839</v>
      </c>
      <c r="Q651" s="81">
        <v>1.3065113979426057E-2</v>
      </c>
      <c r="R651" s="85">
        <v>1.2884357878206742E-2</v>
      </c>
    </row>
    <row r="652" spans="14:18" x14ac:dyDescent="0.2">
      <c r="N652" s="88" t="str">
        <f t="shared" si="15"/>
        <v>1w</v>
      </c>
      <c r="O652" s="82">
        <f>_xll.qlCalendarAdvance(Calendar,O651,N652,"f",FALSE)</f>
        <v>43844</v>
      </c>
      <c r="P652" s="92">
        <f>_xll.qlCalendarAdvance(Calendar,O652,NDays&amp;"D")</f>
        <v>43846</v>
      </c>
      <c r="Q652" s="81">
        <v>1.3169981243236206E-2</v>
      </c>
      <c r="R652" s="85">
        <v>1.2990779592687574E-2</v>
      </c>
    </row>
    <row r="653" spans="14:18" x14ac:dyDescent="0.2">
      <c r="N653" s="88" t="str">
        <f t="shared" si="15"/>
        <v>1w</v>
      </c>
      <c r="O653" s="82">
        <f>_xll.qlCalendarAdvance(Calendar,O652,N653,"f",FALSE)</f>
        <v>43851</v>
      </c>
      <c r="P653" s="92">
        <f>_xll.qlCalendarAdvance(Calendar,O653,NDays&amp;"D")</f>
        <v>43853</v>
      </c>
      <c r="Q653" s="81">
        <v>1.3273830080580695E-2</v>
      </c>
      <c r="R653" s="85">
        <v>1.3096183100129721E-2</v>
      </c>
    </row>
    <row r="654" spans="14:18" x14ac:dyDescent="0.2">
      <c r="N654" s="88" t="str">
        <f t="shared" si="15"/>
        <v>1w</v>
      </c>
      <c r="O654" s="82">
        <f>_xll.qlCalendarAdvance(Calendar,O653,N654,"f",FALSE)</f>
        <v>43858</v>
      </c>
      <c r="P654" s="92">
        <f>_xll.qlCalendarAdvance(Calendar,O654,NDays&amp;"D")</f>
        <v>43860</v>
      </c>
      <c r="Q654" s="81">
        <v>1.3354126938437825E-2</v>
      </c>
      <c r="R654" s="85">
        <v>1.3200568399653889E-2</v>
      </c>
    </row>
    <row r="655" spans="14:18" x14ac:dyDescent="0.2">
      <c r="N655" s="88" t="str">
        <f t="shared" si="15"/>
        <v>1w</v>
      </c>
      <c r="O655" s="82">
        <f>_xll.qlCalendarAdvance(Calendar,O654,N655,"f",FALSE)</f>
        <v>43865</v>
      </c>
      <c r="P655" s="92">
        <f>_xll.qlCalendarAdvance(Calendar,O655,NDays&amp;"D")</f>
        <v>43867</v>
      </c>
      <c r="Q655" s="81">
        <v>1.34561456976438E-2</v>
      </c>
      <c r="R655" s="85">
        <v>1.3303935490460717E-2</v>
      </c>
    </row>
    <row r="656" spans="14:18" x14ac:dyDescent="0.2">
      <c r="N656" s="88" t="str">
        <f t="shared" si="15"/>
        <v>1w</v>
      </c>
      <c r="O656" s="82">
        <f>_xll.qlCalendarAdvance(Calendar,O655,N656,"f",FALSE)</f>
        <v>43872</v>
      </c>
      <c r="P656" s="92">
        <f>_xll.qlCalendarAdvance(Calendar,O656,NDays&amp;"D")</f>
        <v>43874</v>
      </c>
      <c r="Q656" s="81">
        <v>1.355714598089241E-2</v>
      </c>
      <c r="R656" s="85">
        <v>1.3406284371511035E-2</v>
      </c>
    </row>
    <row r="657" spans="14:18" x14ac:dyDescent="0.2">
      <c r="N657" s="88" t="str">
        <f t="shared" si="15"/>
        <v>1w</v>
      </c>
      <c r="O657" s="82">
        <f>_xll.qlCalendarAdvance(Calendar,O656,N657,"f",FALSE)</f>
        <v>43879</v>
      </c>
      <c r="P657" s="92">
        <f>_xll.qlCalendarAdvance(Calendar,O657,NDays&amp;"D")</f>
        <v>43881</v>
      </c>
      <c r="Q657" s="81">
        <v>1.3657127763337325E-2</v>
      </c>
      <c r="R657" s="85">
        <v>1.3507615042005483E-2</v>
      </c>
    </row>
    <row r="658" spans="14:18" x14ac:dyDescent="0.2">
      <c r="N658" s="88" t="str">
        <f t="shared" si="15"/>
        <v>1w</v>
      </c>
      <c r="O658" s="82">
        <f>_xll.qlCalendarAdvance(Calendar,O657,N658,"f",FALSE)</f>
        <v>43886</v>
      </c>
      <c r="P658" s="92">
        <f>_xll.qlCalendarAdvance(Calendar,O658,NDays&amp;"D")</f>
        <v>43888</v>
      </c>
      <c r="Q658" s="81">
        <v>1.375609102038856E-2</v>
      </c>
      <c r="R658" s="85">
        <v>1.3607927501064765E-2</v>
      </c>
    </row>
    <row r="659" spans="14:18" x14ac:dyDescent="0.2">
      <c r="N659" s="88" t="str">
        <f t="shared" si="15"/>
        <v>1w</v>
      </c>
      <c r="O659" s="82">
        <f>_xll.qlCalendarAdvance(Calendar,O658,N659,"f",FALSE)</f>
        <v>43893</v>
      </c>
      <c r="P659" s="92">
        <f>_xll.qlCalendarAdvance(Calendar,O659,NDays&amp;"D")</f>
        <v>43895</v>
      </c>
      <c r="Q659" s="81">
        <v>1.3875534589588567E-2</v>
      </c>
      <c r="R659" s="85">
        <v>1.370722174788952E-2</v>
      </c>
    </row>
    <row r="660" spans="14:18" x14ac:dyDescent="0.2">
      <c r="N660" s="88" t="str">
        <f t="shared" si="15"/>
        <v>1w</v>
      </c>
      <c r="O660" s="82">
        <f>_xll.qlCalendarAdvance(Calendar,O659,N660,"f",FALSE)</f>
        <v>43900</v>
      </c>
      <c r="P660" s="92">
        <f>_xll.qlCalendarAdvance(Calendar,O660,NDays&amp;"D")</f>
        <v>43902</v>
      </c>
      <c r="Q660" s="81">
        <v>1.3979338146871842E-2</v>
      </c>
      <c r="R660" s="85">
        <v>1.3805497781520515E-2</v>
      </c>
    </row>
    <row r="661" spans="14:18" x14ac:dyDescent="0.2">
      <c r="N661" s="88" t="str">
        <f t="shared" ref="N661:N724" si="16">N660</f>
        <v>1w</v>
      </c>
      <c r="O661" s="82">
        <f>_xll.qlCalendarAdvance(Calendar,O660,N661,"f",FALSE)</f>
        <v>43907</v>
      </c>
      <c r="P661" s="92">
        <f>_xll.qlCalendarAdvance(Calendar,O661,NDays&amp;"D")</f>
        <v>43909</v>
      </c>
      <c r="Q661" s="81">
        <v>1.4067954101872338E-2</v>
      </c>
      <c r="R661" s="85">
        <v>1.3902755601398198E-2</v>
      </c>
    </row>
    <row r="662" spans="14:18" x14ac:dyDescent="0.2">
      <c r="N662" s="88" t="str">
        <f t="shared" si="16"/>
        <v>1w</v>
      </c>
      <c r="O662" s="82">
        <f>_xll.qlCalendarAdvance(Calendar,O661,N662,"f",FALSE)</f>
        <v>43914</v>
      </c>
      <c r="P662" s="92">
        <f>_xll.qlCalendarAdvance(Calendar,O662,NDays&amp;"D")</f>
        <v>43916</v>
      </c>
      <c r="Q662" s="81">
        <v>1.4162635865679063E-2</v>
      </c>
      <c r="R662" s="85">
        <v>1.3998995206403464E-2</v>
      </c>
    </row>
    <row r="663" spans="14:18" x14ac:dyDescent="0.2">
      <c r="N663" s="88" t="str">
        <f t="shared" si="16"/>
        <v>1w</v>
      </c>
      <c r="O663" s="82">
        <f>_xll.qlCalendarAdvance(Calendar,O662,N663,"f",FALSE)</f>
        <v>43921</v>
      </c>
      <c r="P663" s="92">
        <f>_xll.qlCalendarAdvance(Calendar,O663,NDays&amp;"D")</f>
        <v>43923</v>
      </c>
      <c r="Q663" s="81">
        <v>1.4256298933568168E-2</v>
      </c>
      <c r="R663" s="85">
        <v>1.4094216595816889E-2</v>
      </c>
    </row>
    <row r="664" spans="14:18" x14ac:dyDescent="0.2">
      <c r="N664" s="88" t="str">
        <f t="shared" si="16"/>
        <v>1w</v>
      </c>
      <c r="O664" s="82">
        <f>_xll.qlCalendarAdvance(Calendar,O663,N664,"f",FALSE)</f>
        <v>43928</v>
      </c>
      <c r="P664" s="92">
        <f>_xll.qlCalendarAdvance(Calendar,O664,NDays&amp;"D")</f>
        <v>43930</v>
      </c>
      <c r="Q664" s="81">
        <v>1.4348943280117488E-2</v>
      </c>
      <c r="R664" s="85">
        <v>1.4215147941714079E-2</v>
      </c>
    </row>
    <row r="665" spans="14:18" x14ac:dyDescent="0.2">
      <c r="N665" s="88" t="str">
        <f t="shared" si="16"/>
        <v>1w</v>
      </c>
      <c r="O665" s="82">
        <f>_xll.qlCalendarAdvance(Calendar,O664,N665,"f",FALSE)</f>
        <v>43935</v>
      </c>
      <c r="P665" s="92">
        <f>_xll.qlCalendarAdvance(Calendar,O665,NDays&amp;"D")</f>
        <v>43937</v>
      </c>
      <c r="Q665" s="81">
        <v>1.4440568880172144E-2</v>
      </c>
      <c r="R665" s="85">
        <v>1.4281604724750707E-2</v>
      </c>
    </row>
    <row r="666" spans="14:18" x14ac:dyDescent="0.2">
      <c r="N666" s="88" t="str">
        <f t="shared" si="16"/>
        <v>1w</v>
      </c>
      <c r="O666" s="82">
        <f>_xll.qlCalendarAdvance(Calendar,O665,N666,"f",FALSE)</f>
        <v>43942</v>
      </c>
      <c r="P666" s="92">
        <f>_xll.qlCalendarAdvance(Calendar,O666,NDays&amp;"D")</f>
        <v>43944</v>
      </c>
      <c r="Q666" s="81">
        <v>1.4531175708867028E-2</v>
      </c>
      <c r="R666" s="85">
        <v>1.437377146267238E-2</v>
      </c>
    </row>
    <row r="667" spans="14:18" x14ac:dyDescent="0.2">
      <c r="N667" s="88" t="str">
        <f t="shared" si="16"/>
        <v>1w</v>
      </c>
      <c r="O667" s="82">
        <f>_xll.qlCalendarAdvance(Calendar,O666,N667,"f",FALSE)</f>
        <v>43949</v>
      </c>
      <c r="P667" s="92">
        <f>_xll.qlCalendarAdvance(Calendar,O667,NDays&amp;"D")</f>
        <v>43951</v>
      </c>
      <c r="Q667" s="81">
        <v>1.4600922756606847E-2</v>
      </c>
      <c r="R667" s="85">
        <v>1.4477858078878469E-2</v>
      </c>
    </row>
    <row r="668" spans="14:18" x14ac:dyDescent="0.2">
      <c r="N668" s="88" t="str">
        <f t="shared" si="16"/>
        <v>1w</v>
      </c>
      <c r="O668" s="82">
        <f>_xll.qlCalendarAdvance(Calendar,O667,N668,"f",FALSE)</f>
        <v>43956</v>
      </c>
      <c r="P668" s="92">
        <f>_xll.qlCalendarAdvance(Calendar,O668,NDays&amp;"D")</f>
        <v>43958</v>
      </c>
      <c r="Q668" s="81">
        <v>1.4709332954055965E-2</v>
      </c>
      <c r="R668" s="85">
        <v>1.4555050281348514E-2</v>
      </c>
    </row>
    <row r="669" spans="14:18" x14ac:dyDescent="0.2">
      <c r="N669" s="88" t="str">
        <f t="shared" si="16"/>
        <v>1w</v>
      </c>
      <c r="O669" s="82">
        <f>_xll.qlCalendarAdvance(Calendar,O668,N669,"f",FALSE)</f>
        <v>43963</v>
      </c>
      <c r="P669" s="92">
        <f>_xll.qlCalendarAdvance(Calendar,O669,NDays&amp;"D")</f>
        <v>43965</v>
      </c>
      <c r="Q669" s="81">
        <v>1.4796883322191201E-2</v>
      </c>
      <c r="R669" s="85">
        <v>1.4644162360744062E-2</v>
      </c>
    </row>
    <row r="670" spans="14:18" x14ac:dyDescent="0.2">
      <c r="N670" s="88" t="str">
        <f t="shared" si="16"/>
        <v>1w</v>
      </c>
      <c r="O670" s="82">
        <f>_xll.qlCalendarAdvance(Calendar,O669,N670,"f",FALSE)</f>
        <v>43970</v>
      </c>
      <c r="P670" s="92">
        <f>_xll.qlCalendarAdvance(Calendar,O670,NDays&amp;"D")</f>
        <v>43973</v>
      </c>
      <c r="Q670" s="81">
        <v>1.4889303497050439E-2</v>
      </c>
      <c r="R670" s="85">
        <v>1.4744757935734043E-2</v>
      </c>
    </row>
    <row r="671" spans="14:18" x14ac:dyDescent="0.2">
      <c r="N671" s="88" t="str">
        <f t="shared" si="16"/>
        <v>1w</v>
      </c>
      <c r="O671" s="82">
        <f>_xll.qlCalendarAdvance(Calendar,O670,N671,"f",FALSE)</f>
        <v>43977</v>
      </c>
      <c r="P671" s="92">
        <f>_xll.qlCalendarAdvance(Calendar,O671,NDays&amp;"D")</f>
        <v>43979</v>
      </c>
      <c r="Q671" s="81">
        <v>1.4968927430708268E-2</v>
      </c>
      <c r="R671" s="85">
        <v>1.4831688111831554E-2</v>
      </c>
    </row>
    <row r="672" spans="14:18" x14ac:dyDescent="0.2">
      <c r="N672" s="88" t="str">
        <f t="shared" si="16"/>
        <v>1w</v>
      </c>
      <c r="O672" s="82">
        <f>_xll.qlCalendarAdvance(Calendar,O671,N672,"f",FALSE)</f>
        <v>43984</v>
      </c>
      <c r="P672" s="92">
        <f>_xll.qlCalendarAdvance(Calendar,O672,NDays&amp;"D")</f>
        <v>43986</v>
      </c>
      <c r="Q672" s="81">
        <v>1.5053421124387456E-2</v>
      </c>
      <c r="R672" s="85">
        <v>1.4905389269328495E-2</v>
      </c>
    </row>
    <row r="673" spans="14:18" x14ac:dyDescent="0.2">
      <c r="N673" s="88" t="str">
        <f t="shared" si="16"/>
        <v>1w</v>
      </c>
      <c r="O673" s="82">
        <f>_xll.qlCalendarAdvance(Calendar,O672,N673,"f",FALSE)</f>
        <v>43991</v>
      </c>
      <c r="P673" s="92">
        <f>_xll.qlCalendarAdvance(Calendar,O673,NDays&amp;"D")</f>
        <v>43993</v>
      </c>
      <c r="Q673" s="81">
        <v>1.5136895880337453E-2</v>
      </c>
      <c r="R673" s="85">
        <v>1.4990428459977778E-2</v>
      </c>
    </row>
    <row r="674" spans="14:18" x14ac:dyDescent="0.2">
      <c r="N674" s="88" t="str">
        <f t="shared" si="16"/>
        <v>1w</v>
      </c>
      <c r="O674" s="82">
        <f>_xll.qlCalendarAdvance(Calendar,O673,N674,"f",FALSE)</f>
        <v>43998</v>
      </c>
      <c r="P674" s="92">
        <f>_xll.qlCalendarAdvance(Calendar,O674,NDays&amp;"D")</f>
        <v>44000</v>
      </c>
      <c r="Q674" s="81">
        <v>1.5219351675898884E-2</v>
      </c>
      <c r="R674" s="85">
        <v>1.50863693014891E-2</v>
      </c>
    </row>
    <row r="675" spans="14:18" x14ac:dyDescent="0.2">
      <c r="N675" s="88" t="str">
        <f t="shared" si="16"/>
        <v>1w</v>
      </c>
      <c r="O675" s="82">
        <f>_xll.qlCalendarAdvance(Calendar,O674,N675,"f",FALSE)</f>
        <v>44005</v>
      </c>
      <c r="P675" s="92">
        <f>_xll.qlCalendarAdvance(Calendar,O675,NDays&amp;"D")</f>
        <v>44007</v>
      </c>
      <c r="Q675" s="81">
        <v>1.5300788488687156E-2</v>
      </c>
      <c r="R675" s="85">
        <v>1.5157452168601537E-2</v>
      </c>
    </row>
    <row r="676" spans="14:18" x14ac:dyDescent="0.2">
      <c r="N676" s="88" t="str">
        <f t="shared" si="16"/>
        <v>1w</v>
      </c>
      <c r="O676" s="82">
        <f>_xll.qlCalendarAdvance(Calendar,O675,N676,"f",FALSE)</f>
        <v>44012</v>
      </c>
      <c r="P676" s="92">
        <f>_xll.qlCalendarAdvance(Calendar,O676,NDays&amp;"D")</f>
        <v>44014</v>
      </c>
      <c r="Q676" s="81">
        <v>1.5381206296597449E-2</v>
      </c>
      <c r="R676" s="85">
        <v>1.5239436685137164E-2</v>
      </c>
    </row>
    <row r="677" spans="14:18" x14ac:dyDescent="0.2">
      <c r="N677" s="88" t="str">
        <f t="shared" si="16"/>
        <v>1w</v>
      </c>
      <c r="O677" s="82">
        <f>_xll.qlCalendarAdvance(Calendar,O676,N677,"f",FALSE)</f>
        <v>44019</v>
      </c>
      <c r="P677" s="92">
        <f>_xll.qlCalendarAdvance(Calendar,O677,NDays&amp;"D")</f>
        <v>44021</v>
      </c>
      <c r="Q677" s="81">
        <v>1.5460605077797229E-2</v>
      </c>
      <c r="R677" s="85">
        <v>1.532040297552939E-2</v>
      </c>
    </row>
    <row r="678" spans="14:18" x14ac:dyDescent="0.2">
      <c r="N678" s="88" t="str">
        <f t="shared" si="16"/>
        <v>1w</v>
      </c>
      <c r="O678" s="82">
        <f>_xll.qlCalendarAdvance(Calendar,O677,N678,"f",FALSE)</f>
        <v>44026</v>
      </c>
      <c r="P678" s="92">
        <f>_xll.qlCalendarAdvance(Calendar,O678,NDays&amp;"D")</f>
        <v>44028</v>
      </c>
      <c r="Q678" s="81">
        <v>1.5538984810731238E-2</v>
      </c>
      <c r="R678" s="85">
        <v>1.5400351039218663E-2</v>
      </c>
    </row>
    <row r="679" spans="14:18" x14ac:dyDescent="0.2">
      <c r="N679" s="88" t="str">
        <f t="shared" si="16"/>
        <v>1w</v>
      </c>
      <c r="O679" s="82">
        <f>_xll.qlCalendarAdvance(Calendar,O678,N679,"f",FALSE)</f>
        <v>44033</v>
      </c>
      <c r="P679" s="92">
        <f>_xll.qlCalendarAdvance(Calendar,O679,NDays&amp;"D")</f>
        <v>44035</v>
      </c>
      <c r="Q679" s="81">
        <v>1.5616345474121496E-2</v>
      </c>
      <c r="R679" s="85">
        <v>1.5479280875405621E-2</v>
      </c>
    </row>
    <row r="680" spans="14:18" x14ac:dyDescent="0.2">
      <c r="N680" s="88" t="str">
        <f t="shared" si="16"/>
        <v>1w</v>
      </c>
      <c r="O680" s="82">
        <f>_xll.qlCalendarAdvance(Calendar,O679,N680,"f",FALSE)</f>
        <v>44040</v>
      </c>
      <c r="P680" s="92">
        <f>_xll.qlCalendarAdvance(Calendar,O680,NDays&amp;"D")</f>
        <v>44042</v>
      </c>
      <c r="Q680" s="81">
        <v>1.5692687046964804E-2</v>
      </c>
      <c r="R680" s="85">
        <v>1.5557192483450777E-2</v>
      </c>
    </row>
    <row r="681" spans="14:18" x14ac:dyDescent="0.2">
      <c r="N681" s="88" t="str">
        <f t="shared" si="16"/>
        <v>1w</v>
      </c>
      <c r="O681" s="82">
        <f>_xll.qlCalendarAdvance(Calendar,O680,N681,"f",FALSE)</f>
        <v>44047</v>
      </c>
      <c r="P681" s="92">
        <f>_xll.qlCalendarAdvance(Calendar,O681,NDays&amp;"D")</f>
        <v>44049</v>
      </c>
      <c r="Q681" s="81">
        <v>1.5768009508540237E-2</v>
      </c>
      <c r="R681" s="85">
        <v>1.5634085862714642E-2</v>
      </c>
    </row>
    <row r="682" spans="14:18" x14ac:dyDescent="0.2">
      <c r="N682" s="88" t="str">
        <f t="shared" si="16"/>
        <v>1w</v>
      </c>
      <c r="O682" s="82">
        <f>_xll.qlCalendarAdvance(Calendar,O681,N682,"f",FALSE)</f>
        <v>44054</v>
      </c>
      <c r="P682" s="92">
        <f>_xll.qlCalendarAdvance(Calendar,O682,NDays&amp;"D")</f>
        <v>44056</v>
      </c>
      <c r="Q682" s="81">
        <v>1.5842312838401651E-2</v>
      </c>
      <c r="R682" s="85">
        <v>1.5709961012557727E-2</v>
      </c>
    </row>
    <row r="683" spans="14:18" x14ac:dyDescent="0.2">
      <c r="N683" s="88" t="str">
        <f t="shared" si="16"/>
        <v>1w</v>
      </c>
      <c r="O683" s="82">
        <f>_xll.qlCalendarAdvance(Calendar,O682,N683,"f",FALSE)</f>
        <v>44061</v>
      </c>
      <c r="P683" s="92">
        <f>_xll.qlCalendarAdvance(Calendar,O683,NDays&amp;"D")</f>
        <v>44063</v>
      </c>
      <c r="Q683" s="81">
        <v>1.5915597016370187E-2</v>
      </c>
      <c r="R683" s="85">
        <v>1.5784817932180673E-2</v>
      </c>
    </row>
    <row r="684" spans="14:18" x14ac:dyDescent="0.2">
      <c r="N684" s="88" t="str">
        <f t="shared" si="16"/>
        <v>1w</v>
      </c>
      <c r="O684" s="82">
        <f>_xll.qlCalendarAdvance(Calendar,O683,N684,"f",FALSE)</f>
        <v>44068</v>
      </c>
      <c r="P684" s="92">
        <f>_xll.qlCalendarAdvance(Calendar,O684,NDays&amp;"D")</f>
        <v>44070</v>
      </c>
      <c r="Q684" s="81">
        <v>1.5987862022554256E-2</v>
      </c>
      <c r="R684" s="85">
        <v>1.5858656621183798E-2</v>
      </c>
    </row>
    <row r="685" spans="14:18" x14ac:dyDescent="0.2">
      <c r="N685" s="88" t="str">
        <f t="shared" si="16"/>
        <v>1w</v>
      </c>
      <c r="O685" s="82">
        <f>_xll.qlCalendarAdvance(Calendar,O684,N685,"f",FALSE)</f>
        <v>44075</v>
      </c>
      <c r="P685" s="92">
        <f>_xll.qlCalendarAdvance(Calendar,O685,NDays&amp;"D")</f>
        <v>44077</v>
      </c>
      <c r="Q685" s="81">
        <v>1.6059127351589764E-2</v>
      </c>
      <c r="R685" s="85">
        <v>1.5931477078767742E-2</v>
      </c>
    </row>
    <row r="686" spans="14:18" x14ac:dyDescent="0.2">
      <c r="N686" s="88" t="str">
        <f t="shared" si="16"/>
        <v>1w</v>
      </c>
      <c r="O686" s="82">
        <f>_xll.qlCalendarAdvance(Calendar,O685,N686,"f",FALSE)</f>
        <v>44082</v>
      </c>
      <c r="P686" s="92">
        <f>_xll.qlCalendarAdvance(Calendar,O686,NDays&amp;"D")</f>
        <v>44084</v>
      </c>
      <c r="Q686" s="81">
        <v>1.6129532927878776E-2</v>
      </c>
      <c r="R686" s="85">
        <v>1.6003279304372953E-2</v>
      </c>
    </row>
    <row r="687" spans="14:18" x14ac:dyDescent="0.2">
      <c r="N687" s="88" t="str">
        <f t="shared" si="16"/>
        <v>1w</v>
      </c>
      <c r="O687" s="82">
        <f>_xll.qlCalendarAdvance(Calendar,O686,N687,"f",FALSE)</f>
        <v>44089</v>
      </c>
      <c r="P687" s="92">
        <f>_xll.qlCalendarAdvance(Calendar,O687,NDays&amp;"D")</f>
        <v>44091</v>
      </c>
      <c r="Q687" s="81">
        <v>1.6199264574740524E-2</v>
      </c>
      <c r="R687" s="85">
        <v>1.6074063297439878E-2</v>
      </c>
    </row>
    <row r="688" spans="14:18" x14ac:dyDescent="0.2">
      <c r="N688" s="88" t="str">
        <f t="shared" si="16"/>
        <v>1w</v>
      </c>
      <c r="O688" s="82">
        <f>_xll.qlCalendarAdvance(Calendar,O687,N688,"f",FALSE)</f>
        <v>44096</v>
      </c>
      <c r="P688" s="92">
        <f>_xll.qlCalendarAdvance(Calendar,O688,NDays&amp;"D")</f>
        <v>44098</v>
      </c>
      <c r="Q688" s="81">
        <v>1.6268508210595667E-2</v>
      </c>
      <c r="R688" s="85">
        <v>1.6143829057249093E-2</v>
      </c>
    </row>
    <row r="689" spans="14:18" x14ac:dyDescent="0.2">
      <c r="N689" s="88" t="str">
        <f t="shared" si="16"/>
        <v>1w</v>
      </c>
      <c r="O689" s="82">
        <f>_xll.qlCalendarAdvance(Calendar,O688,N689,"f",FALSE)</f>
        <v>44103</v>
      </c>
      <c r="P689" s="92">
        <f>_xll.qlCalendarAdvance(Calendar,O689,NDays&amp;"D")</f>
        <v>44105</v>
      </c>
      <c r="Q689" s="81">
        <v>1.6337449035746798E-2</v>
      </c>
      <c r="R689" s="85">
        <v>1.6212943233631094E-2</v>
      </c>
    </row>
    <row r="690" spans="14:18" x14ac:dyDescent="0.2">
      <c r="N690" s="88" t="str">
        <f t="shared" si="16"/>
        <v>1w</v>
      </c>
      <c r="O690" s="82">
        <f>_xll.qlCalendarAdvance(Calendar,O689,N690,"f",FALSE)</f>
        <v>44110</v>
      </c>
      <c r="P690" s="92">
        <f>_xll.qlCalendarAdvance(Calendar,O690,NDays&amp;"D")</f>
        <v>44112</v>
      </c>
      <c r="Q690" s="81">
        <v>1.6406209283512385E-2</v>
      </c>
      <c r="R690" s="85">
        <v>1.6281885069711066E-2</v>
      </c>
    </row>
    <row r="691" spans="14:18" x14ac:dyDescent="0.2">
      <c r="N691" s="88" t="str">
        <f t="shared" si="16"/>
        <v>1w</v>
      </c>
      <c r="O691" s="82">
        <f>_xll.qlCalendarAdvance(Calendar,O690,N691,"f",FALSE)</f>
        <v>44117</v>
      </c>
      <c r="P691" s="92">
        <f>_xll.qlCalendarAdvance(Calendar,O691,NDays&amp;"D")</f>
        <v>44119</v>
      </c>
      <c r="Q691" s="81">
        <v>1.6474800243978793E-2</v>
      </c>
      <c r="R691" s="85">
        <v>1.6350657452539608E-2</v>
      </c>
    </row>
    <row r="692" spans="14:18" x14ac:dyDescent="0.2">
      <c r="N692" s="88" t="str">
        <f t="shared" si="16"/>
        <v>1w</v>
      </c>
      <c r="O692" s="82">
        <f>_xll.qlCalendarAdvance(Calendar,O691,N692,"f",FALSE)</f>
        <v>44124</v>
      </c>
      <c r="P692" s="92">
        <f>_xll.qlCalendarAdvance(Calendar,O692,NDays&amp;"D")</f>
        <v>44126</v>
      </c>
      <c r="Q692" s="81">
        <v>1.6543221914038508E-2</v>
      </c>
      <c r="R692" s="85">
        <v>1.6419260381956846E-2</v>
      </c>
    </row>
    <row r="693" spans="14:18" x14ac:dyDescent="0.2">
      <c r="N693" s="88" t="str">
        <f t="shared" si="16"/>
        <v>1w</v>
      </c>
      <c r="O693" s="82">
        <f>_xll.qlCalendarAdvance(Calendar,O692,N693,"f",FALSE)</f>
        <v>44131</v>
      </c>
      <c r="P693" s="92">
        <f>_xll.qlCalendarAdvance(Calendar,O693,NDays&amp;"D")</f>
        <v>44133</v>
      </c>
      <c r="Q693" s="81">
        <v>1.6611474290608996E-2</v>
      </c>
      <c r="R693" s="85">
        <v>1.6487693857962782E-2</v>
      </c>
    </row>
    <row r="694" spans="14:18" x14ac:dyDescent="0.2">
      <c r="N694" s="88" t="str">
        <f t="shared" si="16"/>
        <v>1w</v>
      </c>
      <c r="O694" s="82">
        <f>_xll.qlCalendarAdvance(Calendar,O693,N694,"f",FALSE)</f>
        <v>44138</v>
      </c>
      <c r="P694" s="92">
        <f>_xll.qlCalendarAdvance(Calendar,O694,NDays&amp;"D")</f>
        <v>44140</v>
      </c>
      <c r="Q694" s="81">
        <v>1.6679557370607723E-2</v>
      </c>
      <c r="R694" s="85">
        <v>1.6555957880317607E-2</v>
      </c>
    </row>
    <row r="695" spans="14:18" x14ac:dyDescent="0.2">
      <c r="N695" s="88" t="str">
        <f t="shared" si="16"/>
        <v>1w</v>
      </c>
      <c r="O695" s="82">
        <f>_xll.qlCalendarAdvance(Calendar,O694,N695,"f",FALSE)</f>
        <v>44145</v>
      </c>
      <c r="P695" s="92">
        <f>_xll.qlCalendarAdvance(Calendar,O695,NDays&amp;"D")</f>
        <v>44147</v>
      </c>
      <c r="Q695" s="81">
        <v>1.6747471150957149E-2</v>
      </c>
      <c r="R695" s="85">
        <v>1.662405244902132E-2</v>
      </c>
    </row>
    <row r="696" spans="14:18" x14ac:dyDescent="0.2">
      <c r="N696" s="88" t="str">
        <f t="shared" si="16"/>
        <v>1w</v>
      </c>
      <c r="O696" s="82">
        <f>_xll.qlCalendarAdvance(Calendar,O695,N696,"f",FALSE)</f>
        <v>44152</v>
      </c>
      <c r="P696" s="92">
        <f>_xll.qlCalendarAdvance(Calendar,O696,NDays&amp;"D")</f>
        <v>44154</v>
      </c>
      <c r="Q696" s="81">
        <v>1.6815215628594726E-2</v>
      </c>
      <c r="R696" s="85">
        <v>1.6691977563834115E-2</v>
      </c>
    </row>
    <row r="697" spans="14:18" x14ac:dyDescent="0.2">
      <c r="N697" s="88" t="str">
        <f t="shared" si="16"/>
        <v>1w</v>
      </c>
      <c r="O697" s="82">
        <f>_xll.qlCalendarAdvance(Calendar,O696,N697,"f",FALSE)</f>
        <v>44159</v>
      </c>
      <c r="P697" s="92">
        <f>_xll.qlCalendarAdvance(Calendar,O697,NDays&amp;"D")</f>
        <v>44161</v>
      </c>
      <c r="Q697" s="81">
        <v>1.6882790800460401E-2</v>
      </c>
      <c r="R697" s="85">
        <v>1.6759733224915863E-2</v>
      </c>
    </row>
    <row r="698" spans="14:18" x14ac:dyDescent="0.2">
      <c r="N698" s="88" t="str">
        <f t="shared" si="16"/>
        <v>1w</v>
      </c>
      <c r="O698" s="82">
        <f>_xll.qlCalendarAdvance(Calendar,O697,N698,"f",FALSE)</f>
        <v>44166</v>
      </c>
      <c r="P698" s="92">
        <f>_xll.qlCalendarAdvance(Calendar,O698,NDays&amp;"D")</f>
        <v>44168</v>
      </c>
      <c r="Q698" s="81">
        <v>1.6950196663501615E-2</v>
      </c>
      <c r="R698" s="85">
        <v>1.6827319432026755E-2</v>
      </c>
    </row>
    <row r="699" spans="14:18" x14ac:dyDescent="0.2">
      <c r="N699" s="88" t="str">
        <f t="shared" si="16"/>
        <v>1w</v>
      </c>
      <c r="O699" s="82">
        <f>_xll.qlCalendarAdvance(Calendar,O698,N699,"f",FALSE)</f>
        <v>44173</v>
      </c>
      <c r="P699" s="92">
        <f>_xll.qlCalendarAdvance(Calendar,O699,NDays&amp;"D")</f>
        <v>44175</v>
      </c>
      <c r="Q699" s="81">
        <v>1.7017433214675803E-2</v>
      </c>
      <c r="R699" s="85">
        <v>1.689473618500692E-2</v>
      </c>
    </row>
    <row r="700" spans="14:18" x14ac:dyDescent="0.2">
      <c r="N700" s="88" t="str">
        <f t="shared" si="16"/>
        <v>1w</v>
      </c>
      <c r="O700" s="82">
        <f>_xll.qlCalendarAdvance(Calendar,O699,N700,"f",FALSE)</f>
        <v>44180</v>
      </c>
      <c r="P700" s="92">
        <f>_xll.qlCalendarAdvance(Calendar,O700,NDays&amp;"D")</f>
        <v>44182</v>
      </c>
      <c r="Q700" s="81">
        <v>1.7084500450947893E-2</v>
      </c>
      <c r="R700" s="85">
        <v>1.6961983483856358E-2</v>
      </c>
    </row>
    <row r="701" spans="14:18" x14ac:dyDescent="0.2">
      <c r="N701" s="88" t="str">
        <f t="shared" si="16"/>
        <v>1w</v>
      </c>
      <c r="O701" s="82">
        <f>_xll.qlCalendarAdvance(Calendar,O700,N701,"f",FALSE)</f>
        <v>44187</v>
      </c>
      <c r="P701" s="92">
        <f>_xll.qlCalendarAdvance(Calendar,O701,NDays&amp;"D")</f>
        <v>44193</v>
      </c>
      <c r="Q701" s="81">
        <v>1.7184382977861807E-2</v>
      </c>
      <c r="R701" s="85">
        <v>1.7068930357277523E-2</v>
      </c>
    </row>
    <row r="702" spans="14:18" x14ac:dyDescent="0.2">
      <c r="N702" s="88" t="str">
        <f t="shared" si="16"/>
        <v>1w</v>
      </c>
      <c r="O702" s="82">
        <f>_xll.qlCalendarAdvance(Calendar,O701,N702,"f",FALSE)</f>
        <v>44194</v>
      </c>
      <c r="P702" s="92">
        <f>_xll.qlCalendarAdvance(Calendar,O702,NDays&amp;"D")</f>
        <v>44200</v>
      </c>
      <c r="Q702" s="81">
        <v>1.7251023728758735E-2</v>
      </c>
      <c r="R702" s="85">
        <v>1.71245928693331E-2</v>
      </c>
    </row>
    <row r="703" spans="14:18" x14ac:dyDescent="0.2">
      <c r="N703" s="88" t="str">
        <f t="shared" si="16"/>
        <v>1w</v>
      </c>
      <c r="O703" s="82">
        <f>_xll.qlCalendarAdvance(Calendar,O702,N703,"f",FALSE)</f>
        <v>44201</v>
      </c>
      <c r="P703" s="92">
        <f>_xll.qlCalendarAdvance(Calendar,O703,NDays&amp;"D")</f>
        <v>44204</v>
      </c>
      <c r="Q703" s="81">
        <v>1.7289028132470522E-2</v>
      </c>
      <c r="R703" s="85">
        <v>1.7172228955129043E-2</v>
      </c>
    </row>
    <row r="704" spans="14:18" x14ac:dyDescent="0.2">
      <c r="N704" s="88" t="str">
        <f t="shared" si="16"/>
        <v>1w</v>
      </c>
      <c r="O704" s="82">
        <f>_xll.qlCalendarAdvance(Calendar,O703,N704,"f",FALSE)</f>
        <v>44208</v>
      </c>
      <c r="P704" s="92">
        <f>_xll.qlCalendarAdvance(Calendar,O704,NDays&amp;"D")</f>
        <v>44210</v>
      </c>
      <c r="Q704" s="81">
        <v>1.7351076186551129E-2</v>
      </c>
      <c r="R704" s="85">
        <v>1.7229278135788562E-2</v>
      </c>
    </row>
    <row r="705" spans="14:18" x14ac:dyDescent="0.2">
      <c r="N705" s="88" t="str">
        <f t="shared" si="16"/>
        <v>1w</v>
      </c>
      <c r="O705" s="82">
        <f>_xll.qlCalendarAdvance(Calendar,O704,N705,"f",FALSE)</f>
        <v>44215</v>
      </c>
      <c r="P705" s="92">
        <f>_xll.qlCalendarAdvance(Calendar,O705,NDays&amp;"D")</f>
        <v>44217</v>
      </c>
      <c r="Q705" s="81">
        <v>1.7417296803036442E-2</v>
      </c>
      <c r="R705" s="85">
        <v>1.7295678162385641E-2</v>
      </c>
    </row>
    <row r="706" spans="14:18" x14ac:dyDescent="0.2">
      <c r="N706" s="88" t="str">
        <f t="shared" si="16"/>
        <v>1w</v>
      </c>
      <c r="O706" s="82">
        <f>_xll.qlCalendarAdvance(Calendar,O705,N706,"f",FALSE)</f>
        <v>44222</v>
      </c>
      <c r="P706" s="92">
        <f>_xll.qlCalendarAdvance(Calendar,O706,NDays&amp;"D")</f>
        <v>44224</v>
      </c>
      <c r="Q706" s="81">
        <v>1.7467964066375748E-2</v>
      </c>
      <c r="R706" s="85">
        <v>1.7361908734292442E-2</v>
      </c>
    </row>
    <row r="707" spans="14:18" x14ac:dyDescent="0.2">
      <c r="N707" s="88" t="str">
        <f t="shared" si="16"/>
        <v>1w</v>
      </c>
      <c r="O707" s="82">
        <f>_xll.qlCalendarAdvance(Calendar,O706,N707,"f",FALSE)</f>
        <v>44229</v>
      </c>
      <c r="P707" s="92">
        <f>_xll.qlCalendarAdvance(Calendar,O707,NDays&amp;"D")</f>
        <v>44231</v>
      </c>
      <c r="Q707" s="81">
        <v>1.7528752217524448E-2</v>
      </c>
      <c r="R707" s="85">
        <v>1.7427969851429026E-2</v>
      </c>
    </row>
    <row r="708" spans="14:18" x14ac:dyDescent="0.2">
      <c r="N708" s="88" t="str">
        <f t="shared" si="16"/>
        <v>1w</v>
      </c>
      <c r="O708" s="82">
        <f>_xll.qlCalendarAdvance(Calendar,O707,N708,"f",FALSE)</f>
        <v>44236</v>
      </c>
      <c r="P708" s="92">
        <f>_xll.qlCalendarAdvance(Calendar,O708,NDays&amp;"D")</f>
        <v>44238</v>
      </c>
      <c r="Q708" s="81">
        <v>1.7594500387364383E-2</v>
      </c>
      <c r="R708" s="85">
        <v>1.7493861513635522E-2</v>
      </c>
    </row>
    <row r="709" spans="14:18" x14ac:dyDescent="0.2">
      <c r="N709" s="88" t="str">
        <f t="shared" si="16"/>
        <v>1w</v>
      </c>
      <c r="O709" s="82">
        <f>_xll.qlCalendarAdvance(Calendar,O708,N709,"f",FALSE)</f>
        <v>44243</v>
      </c>
      <c r="P709" s="92">
        <f>_xll.qlCalendarAdvance(Calendar,O709,NDays&amp;"D")</f>
        <v>44245</v>
      </c>
      <c r="Q709" s="81">
        <v>1.7660079201403507E-2</v>
      </c>
      <c r="R709" s="85">
        <v>1.7559583720831995E-2</v>
      </c>
    </row>
    <row r="710" spans="14:18" x14ac:dyDescent="0.2">
      <c r="N710" s="88" t="str">
        <f t="shared" si="16"/>
        <v>1w</v>
      </c>
      <c r="O710" s="82">
        <f>_xll.qlCalendarAdvance(Calendar,O709,N710,"f",FALSE)</f>
        <v>44250</v>
      </c>
      <c r="P710" s="92">
        <f>_xll.qlCalendarAdvance(Calendar,O710,NDays&amp;"D")</f>
        <v>44252</v>
      </c>
      <c r="Q710" s="81">
        <v>1.7725488657052462E-2</v>
      </c>
      <c r="R710" s="85">
        <v>1.7625136472938507E-2</v>
      </c>
    </row>
    <row r="711" spans="14:18" x14ac:dyDescent="0.2">
      <c r="N711" s="88" t="str">
        <f t="shared" si="16"/>
        <v>1w</v>
      </c>
      <c r="O711" s="82">
        <f>_xll.qlCalendarAdvance(Calendar,O710,N711,"f",FALSE)</f>
        <v>44257</v>
      </c>
      <c r="P711" s="92">
        <f>_xll.qlCalendarAdvance(Calendar,O711,NDays&amp;"D")</f>
        <v>44259</v>
      </c>
      <c r="Q711" s="81">
        <v>1.781614662108779E-2</v>
      </c>
      <c r="R711" s="85">
        <v>1.7690519769795188E-2</v>
      </c>
    </row>
    <row r="712" spans="14:18" x14ac:dyDescent="0.2">
      <c r="N712" s="88" t="str">
        <f t="shared" si="16"/>
        <v>1w</v>
      </c>
      <c r="O712" s="82">
        <f>_xll.qlCalendarAdvance(Calendar,O711,N712,"f",FALSE)</f>
        <v>44264</v>
      </c>
      <c r="P712" s="92">
        <f>_xll.qlCalendarAdvance(Calendar,O712,NDays&amp;"D")</f>
        <v>44266</v>
      </c>
      <c r="Q712" s="81">
        <v>1.7876099629097475E-2</v>
      </c>
      <c r="R712" s="85">
        <v>1.7755733611402036E-2</v>
      </c>
    </row>
    <row r="713" spans="14:18" x14ac:dyDescent="0.2">
      <c r="N713" s="88" t="str">
        <f t="shared" si="16"/>
        <v>1w</v>
      </c>
      <c r="O713" s="82">
        <f>_xll.qlCalendarAdvance(Calendar,O712,N713,"f",FALSE)</f>
        <v>44271</v>
      </c>
      <c r="P713" s="92">
        <f>_xll.qlCalendarAdvance(Calendar,O713,NDays&amp;"D")</f>
        <v>44273</v>
      </c>
      <c r="Q713" s="81">
        <v>1.7940965498830508E-2</v>
      </c>
      <c r="R713" s="85">
        <v>1.7820777997679116E-2</v>
      </c>
    </row>
    <row r="714" spans="14:18" x14ac:dyDescent="0.2">
      <c r="N714" s="88" t="str">
        <f t="shared" si="16"/>
        <v>1w</v>
      </c>
      <c r="O714" s="82">
        <f>_xll.qlCalendarAdvance(Calendar,O713,N714,"f",FALSE)</f>
        <v>44278</v>
      </c>
      <c r="P714" s="92">
        <f>_xll.qlCalendarAdvance(Calendar,O714,NDays&amp;"D")</f>
        <v>44280</v>
      </c>
      <c r="Q714" s="81">
        <v>1.8005662011957302E-2</v>
      </c>
      <c r="R714" s="85">
        <v>1.7885652928386619E-2</v>
      </c>
    </row>
    <row r="715" spans="14:18" x14ac:dyDescent="0.2">
      <c r="N715" s="88" t="str">
        <f t="shared" si="16"/>
        <v>1w</v>
      </c>
      <c r="O715" s="82">
        <f>_xll.qlCalendarAdvance(Calendar,O714,N715,"f",FALSE)</f>
        <v>44285</v>
      </c>
      <c r="P715" s="92">
        <f>_xll.qlCalendarAdvance(Calendar,O715,NDays&amp;"D")</f>
        <v>44287</v>
      </c>
      <c r="Q715" s="81">
        <v>1.8070189165560191E-2</v>
      </c>
      <c r="R715" s="85">
        <v>1.7968814557729473E-2</v>
      </c>
    </row>
    <row r="716" spans="14:18" x14ac:dyDescent="0.2">
      <c r="N716" s="88" t="str">
        <f t="shared" si="16"/>
        <v>1w</v>
      </c>
      <c r="O716" s="82">
        <f>_xll.qlCalendarAdvance(Calendar,O715,N716,"f",FALSE)</f>
        <v>44292</v>
      </c>
      <c r="P716" s="92">
        <f>_xll.qlCalendarAdvance(Calendar,O716,NDays&amp;"D")</f>
        <v>44294</v>
      </c>
      <c r="Q716" s="81">
        <v>1.8134546956721509E-2</v>
      </c>
      <c r="R716" s="85">
        <v>1.8014894423172834E-2</v>
      </c>
    </row>
    <row r="717" spans="14:18" x14ac:dyDescent="0.2">
      <c r="N717" s="88" t="str">
        <f t="shared" si="16"/>
        <v>1w</v>
      </c>
      <c r="O717" s="82">
        <f>_xll.qlCalendarAdvance(Calendar,O716,N717,"f",FALSE)</f>
        <v>44299</v>
      </c>
      <c r="P717" s="92">
        <f>_xll.qlCalendarAdvance(Calendar,O717,NDays&amp;"D")</f>
        <v>44301</v>
      </c>
      <c r="Q717" s="81">
        <v>1.819873538253608E-2</v>
      </c>
      <c r="R717" s="85">
        <v>1.8079260987091672E-2</v>
      </c>
    </row>
    <row r="718" spans="14:18" x14ac:dyDescent="0.2">
      <c r="N718" s="88" t="str">
        <f t="shared" si="16"/>
        <v>1w</v>
      </c>
      <c r="O718" s="82">
        <f>_xll.qlCalendarAdvance(Calendar,O717,N718,"f",FALSE)</f>
        <v>44306</v>
      </c>
      <c r="P718" s="92">
        <f>_xll.qlCalendarAdvance(Calendar,O718,NDays&amp;"D")</f>
        <v>44308</v>
      </c>
      <c r="Q718" s="81">
        <v>1.8267774589366681E-2</v>
      </c>
      <c r="R718" s="85">
        <v>1.8143458095041254E-2</v>
      </c>
    </row>
    <row r="719" spans="14:18" x14ac:dyDescent="0.2">
      <c r="N719" s="88" t="str">
        <f t="shared" si="16"/>
        <v>1w</v>
      </c>
      <c r="O719" s="82">
        <f>_xll.qlCalendarAdvance(Calendar,O718,N719,"f",FALSE)</f>
        <v>44313</v>
      </c>
      <c r="P719" s="92">
        <f>_xll.qlCalendarAdvance(Calendar,O719,NDays&amp;"D")</f>
        <v>44315</v>
      </c>
      <c r="Q719" s="81">
        <v>1.8326604126541746E-2</v>
      </c>
      <c r="R719" s="85">
        <v>1.8207485747101515E-2</v>
      </c>
    </row>
    <row r="720" spans="14:18" x14ac:dyDescent="0.2">
      <c r="N720" s="88" t="str">
        <f t="shared" si="16"/>
        <v>1w</v>
      </c>
      <c r="O720" s="82">
        <f>_xll.qlCalendarAdvance(Calendar,O719,N720,"f",FALSE)</f>
        <v>44320</v>
      </c>
      <c r="P720" s="92">
        <f>_xll.qlCalendarAdvance(Calendar,O720,NDays&amp;"D")</f>
        <v>44322</v>
      </c>
      <c r="Q720" s="81">
        <v>1.8390284438954962E-2</v>
      </c>
      <c r="R720" s="85">
        <v>1.827134394319252E-2</v>
      </c>
    </row>
    <row r="721" spans="14:18" x14ac:dyDescent="0.2">
      <c r="N721" s="88" t="str">
        <f t="shared" si="16"/>
        <v>1w</v>
      </c>
      <c r="O721" s="82">
        <f>_xll.qlCalendarAdvance(Calendar,O720,N721,"f",FALSE)</f>
        <v>44327</v>
      </c>
      <c r="P721" s="92">
        <f>_xll.qlCalendarAdvance(Calendar,O721,NDays&amp;"D")</f>
        <v>44330</v>
      </c>
      <c r="Q721" s="81">
        <v>1.8457861539762723E-2</v>
      </c>
      <c r="R721" s="85">
        <v>1.8344117241460012E-2</v>
      </c>
    </row>
    <row r="722" spans="14:18" x14ac:dyDescent="0.2">
      <c r="N722" s="88" t="str">
        <f t="shared" si="16"/>
        <v>1w</v>
      </c>
      <c r="O722" s="82">
        <f>_xll.qlCalendarAdvance(Calendar,O721,N722,"f",FALSE)</f>
        <v>44334</v>
      </c>
      <c r="P722" s="92">
        <f>_xll.qlCalendarAdvance(Calendar,O722,NDays&amp;"D")</f>
        <v>44336</v>
      </c>
      <c r="Q722" s="81">
        <v>1.8517136930233657E-2</v>
      </c>
      <c r="R722" s="85">
        <v>1.8407612317137279E-2</v>
      </c>
    </row>
    <row r="723" spans="14:18" x14ac:dyDescent="0.2">
      <c r="N723" s="88" t="str">
        <f t="shared" si="16"/>
        <v>1w</v>
      </c>
      <c r="O723" s="82">
        <f>_xll.qlCalendarAdvance(Calendar,O722,N723,"f",FALSE)</f>
        <v>44341</v>
      </c>
      <c r="P723" s="92">
        <f>_xll.qlCalendarAdvance(Calendar,O723,NDays&amp;"D")</f>
        <v>44343</v>
      </c>
      <c r="Q723" s="81">
        <v>1.8580309103371218E-2</v>
      </c>
      <c r="R723" s="85">
        <v>1.8461901794371016E-2</v>
      </c>
    </row>
    <row r="724" spans="14:18" x14ac:dyDescent="0.2">
      <c r="N724" s="88" t="str">
        <f t="shared" si="16"/>
        <v>1w</v>
      </c>
      <c r="O724" s="82">
        <f>_xll.qlCalendarAdvance(Calendar,O723,N724,"f",FALSE)</f>
        <v>44348</v>
      </c>
      <c r="P724" s="92">
        <f>_xll.qlCalendarAdvance(Calendar,O724,NDays&amp;"D")</f>
        <v>44350</v>
      </c>
      <c r="Q724" s="81">
        <v>1.8643311891030634E-2</v>
      </c>
      <c r="R724" s="85">
        <v>1.8525082165545825E-2</v>
      </c>
    </row>
    <row r="725" spans="14:18" x14ac:dyDescent="0.2">
      <c r="N725" s="88" t="str">
        <f t="shared" ref="N725:N788" si="17">N724</f>
        <v>1w</v>
      </c>
      <c r="O725" s="82">
        <f>_xll.qlCalendarAdvance(Calendar,O724,N725,"f",FALSE)</f>
        <v>44355</v>
      </c>
      <c r="P725" s="92">
        <f>_xll.qlCalendarAdvance(Calendar,O725,NDays&amp;"D")</f>
        <v>44357</v>
      </c>
      <c r="Q725" s="81">
        <v>1.8706145290369181E-2</v>
      </c>
      <c r="R725" s="85">
        <v>1.8588093080191825E-2</v>
      </c>
    </row>
    <row r="726" spans="14:18" x14ac:dyDescent="0.2">
      <c r="N726" s="88" t="str">
        <f t="shared" si="17"/>
        <v>1w</v>
      </c>
      <c r="O726" s="82">
        <f>_xll.qlCalendarAdvance(Calendar,O725,N726,"f",FALSE)</f>
        <v>44362</v>
      </c>
      <c r="P726" s="92">
        <f>_xll.qlCalendarAdvance(Calendar,O726,NDays&amp;"D")</f>
        <v>44364</v>
      </c>
      <c r="Q726" s="81">
        <v>1.8768809298549127E-2</v>
      </c>
      <c r="R726" s="85">
        <v>1.8650934538309016E-2</v>
      </c>
    </row>
    <row r="727" spans="14:18" x14ac:dyDescent="0.2">
      <c r="N727" s="88" t="str">
        <f t="shared" si="17"/>
        <v>1w</v>
      </c>
      <c r="O727" s="82">
        <f>_xll.qlCalendarAdvance(Calendar,O726,N727,"f",FALSE)</f>
        <v>44369</v>
      </c>
      <c r="P727" s="92">
        <f>_xll.qlCalendarAdvance(Calendar,O727,NDays&amp;"D")</f>
        <v>44371</v>
      </c>
      <c r="Q727" s="81">
        <v>1.8831303912742736E-2</v>
      </c>
      <c r="R727" s="85">
        <v>1.8722545849669814E-2</v>
      </c>
    </row>
    <row r="728" spans="14:18" x14ac:dyDescent="0.2">
      <c r="N728" s="88" t="str">
        <f t="shared" si="17"/>
        <v>1w</v>
      </c>
      <c r="O728" s="82">
        <f>_xll.qlCalendarAdvance(Calendar,O727,N728,"f",FALSE)</f>
        <v>44376</v>
      </c>
      <c r="P728" s="92">
        <f>_xll.qlCalendarAdvance(Calendar,O728,NDays&amp;"D")</f>
        <v>44378</v>
      </c>
      <c r="Q728" s="81">
        <v>1.8893629130124767E-2</v>
      </c>
      <c r="R728" s="85">
        <v>1.8776109084557291E-2</v>
      </c>
    </row>
    <row r="729" spans="14:18" x14ac:dyDescent="0.2">
      <c r="N729" s="88" t="str">
        <f t="shared" si="17"/>
        <v>1w</v>
      </c>
      <c r="O729" s="82">
        <f>_xll.qlCalendarAdvance(Calendar,O728,N729,"f",FALSE)</f>
        <v>44383</v>
      </c>
      <c r="P729" s="92">
        <f>_xll.qlCalendarAdvance(Calendar,O729,NDays&amp;"D")</f>
        <v>44385</v>
      </c>
      <c r="Q729" s="81">
        <v>1.8955784947884968E-2</v>
      </c>
      <c r="R729" s="85">
        <v>1.8838442172448566E-2</v>
      </c>
    </row>
    <row r="730" spans="14:18" x14ac:dyDescent="0.2">
      <c r="N730" s="88" t="str">
        <f t="shared" si="17"/>
        <v>1w</v>
      </c>
      <c r="O730" s="82">
        <f>_xll.qlCalendarAdvance(Calendar,O729,N730,"f",FALSE)</f>
        <v>44390</v>
      </c>
      <c r="P730" s="92">
        <f>_xll.qlCalendarAdvance(Calendar,O730,NDays&amp;"D")</f>
        <v>44392</v>
      </c>
      <c r="Q730" s="81">
        <v>1.9017771363210589E-2</v>
      </c>
      <c r="R730" s="85">
        <v>1.8900605803491288E-2</v>
      </c>
    </row>
    <row r="731" spans="14:18" x14ac:dyDescent="0.2">
      <c r="N731" s="88" t="str">
        <f t="shared" si="17"/>
        <v>1w</v>
      </c>
      <c r="O731" s="82">
        <f>_xll.qlCalendarAdvance(Calendar,O730,N731,"f",FALSE)</f>
        <v>44397</v>
      </c>
      <c r="P731" s="92">
        <f>_xll.qlCalendarAdvance(Calendar,O731,NDays&amp;"D")</f>
        <v>44399</v>
      </c>
      <c r="Q731" s="81">
        <v>1.9079588373308864E-2</v>
      </c>
      <c r="R731" s="85">
        <v>1.8962599977525585E-2</v>
      </c>
    </row>
    <row r="732" spans="14:18" x14ac:dyDescent="0.2">
      <c r="N732" s="88" t="str">
        <f t="shared" si="17"/>
        <v>1w</v>
      </c>
      <c r="O732" s="82">
        <f>_xll.qlCalendarAdvance(Calendar,O731,N732,"f",FALSE)</f>
        <v>44404</v>
      </c>
      <c r="P732" s="92">
        <f>_xll.qlCalendarAdvance(Calendar,O732,NDays&amp;"D")</f>
        <v>44406</v>
      </c>
      <c r="Q732" s="81">
        <v>1.9141235975382032E-2</v>
      </c>
      <c r="R732" s="85">
        <v>1.902442469447152E-2</v>
      </c>
    </row>
    <row r="733" spans="14:18" x14ac:dyDescent="0.2">
      <c r="N733" s="88" t="str">
        <f t="shared" si="17"/>
        <v>1w</v>
      </c>
      <c r="O733" s="82">
        <f>_xll.qlCalendarAdvance(Calendar,O732,N733,"f",FALSE)</f>
        <v>44411</v>
      </c>
      <c r="P733" s="92">
        <f>_xll.qlCalendarAdvance(Calendar,O733,NDays&amp;"D")</f>
        <v>44413</v>
      </c>
      <c r="Q733" s="81">
        <v>1.9202714166647317E-2</v>
      </c>
      <c r="R733" s="85">
        <v>1.9086079954249158E-2</v>
      </c>
    </row>
    <row r="734" spans="14:18" x14ac:dyDescent="0.2">
      <c r="N734" s="88" t="str">
        <f t="shared" si="17"/>
        <v>1w</v>
      </c>
      <c r="O734" s="82">
        <f>_xll.qlCalendarAdvance(Calendar,O733,N734,"f",FALSE)</f>
        <v>44418</v>
      </c>
      <c r="P734" s="92">
        <f>_xll.qlCalendarAdvance(Calendar,O734,NDays&amp;"D")</f>
        <v>44420</v>
      </c>
      <c r="Q734" s="81">
        <v>1.9264022944334436E-2</v>
      </c>
      <c r="R734" s="85">
        <v>1.9147565756778562E-2</v>
      </c>
    </row>
    <row r="735" spans="14:18" x14ac:dyDescent="0.2">
      <c r="N735" s="88" t="str">
        <f t="shared" si="17"/>
        <v>1w</v>
      </c>
      <c r="O735" s="82">
        <f>_xll.qlCalendarAdvance(Calendar,O734,N735,"f",FALSE)</f>
        <v>44425</v>
      </c>
      <c r="P735" s="92">
        <f>_xll.qlCalendarAdvance(Calendar,O735,NDays&amp;"D")</f>
        <v>44427</v>
      </c>
      <c r="Q735" s="81">
        <v>1.9325162305668109E-2</v>
      </c>
      <c r="R735" s="85">
        <v>1.9208882101979796E-2</v>
      </c>
    </row>
    <row r="736" spans="14:18" x14ac:dyDescent="0.2">
      <c r="N736" s="88" t="str">
        <f t="shared" si="17"/>
        <v>1w</v>
      </c>
      <c r="O736" s="82">
        <f>_xll.qlCalendarAdvance(Calendar,O735,N736,"f",FALSE)</f>
        <v>44432</v>
      </c>
      <c r="P736" s="92">
        <f>_xll.qlCalendarAdvance(Calendar,O736,NDays&amp;"D")</f>
        <v>44434</v>
      </c>
      <c r="Q736" s="81">
        <v>1.9386132247890542E-2</v>
      </c>
      <c r="R736" s="85">
        <v>1.9270028989772925E-2</v>
      </c>
    </row>
    <row r="737" spans="14:18" x14ac:dyDescent="0.2">
      <c r="N737" s="88" t="str">
        <f t="shared" si="17"/>
        <v>1w</v>
      </c>
      <c r="O737" s="82">
        <f>_xll.qlCalendarAdvance(Calendar,O736,N737,"f",FALSE)</f>
        <v>44439</v>
      </c>
      <c r="P737" s="92">
        <f>_xll.qlCalendarAdvance(Calendar,O737,NDays&amp;"D")</f>
        <v>44441</v>
      </c>
      <c r="Q737" s="81">
        <v>1.9446927836721251E-2</v>
      </c>
      <c r="R737" s="85">
        <v>1.9331006420078012E-2</v>
      </c>
    </row>
    <row r="738" spans="14:18" x14ac:dyDescent="0.2">
      <c r="N738" s="88" t="str">
        <f t="shared" si="17"/>
        <v>1w</v>
      </c>
      <c r="O738" s="82">
        <f>_xll.qlCalendarAdvance(Calendar,O737,N738,"f",FALSE)</f>
        <v>44446</v>
      </c>
      <c r="P738" s="92">
        <f>_xll.qlCalendarAdvance(Calendar,O738,NDays&amp;"D")</f>
        <v>44448</v>
      </c>
      <c r="Q738" s="81">
        <v>1.950749569020388E-2</v>
      </c>
      <c r="R738" s="85">
        <v>1.9391814392735185E-2</v>
      </c>
    </row>
    <row r="739" spans="14:18" x14ac:dyDescent="0.2">
      <c r="N739" s="88" t="str">
        <f t="shared" si="17"/>
        <v>1w</v>
      </c>
      <c r="O739" s="82">
        <f>_xll.qlCalendarAdvance(Calendar,O738,N739,"f",FALSE)</f>
        <v>44453</v>
      </c>
      <c r="P739" s="92">
        <f>_xll.qlCalendarAdvance(Calendar,O739,NDays&amp;"D")</f>
        <v>44455</v>
      </c>
      <c r="Q739" s="81">
        <v>1.9567754926766989E-2</v>
      </c>
      <c r="R739" s="85">
        <v>1.9452452907744444E-2</v>
      </c>
    </row>
    <row r="740" spans="14:18" x14ac:dyDescent="0.2">
      <c r="N740" s="88" t="str">
        <f t="shared" si="17"/>
        <v>1w</v>
      </c>
      <c r="O740" s="82">
        <f>_xll.qlCalendarAdvance(Calendar,O739,N740,"f",FALSE)</f>
        <v>44460</v>
      </c>
      <c r="P740" s="92">
        <f>_xll.qlCalendarAdvance(Calendar,O740,NDays&amp;"D")</f>
        <v>44462</v>
      </c>
      <c r="Q740" s="81">
        <v>1.9627624347500483E-2</v>
      </c>
      <c r="R740" s="85">
        <v>1.9512921964865981E-2</v>
      </c>
    </row>
    <row r="741" spans="14:18" x14ac:dyDescent="0.2">
      <c r="N741" s="88" t="str">
        <f t="shared" si="17"/>
        <v>1w</v>
      </c>
      <c r="O741" s="82">
        <f>_xll.qlCalendarAdvance(Calendar,O740,N741,"f",FALSE)</f>
        <v>44467</v>
      </c>
      <c r="P741" s="92">
        <f>_xll.qlCalendarAdvance(Calendar,O741,NDays&amp;"D")</f>
        <v>44469</v>
      </c>
      <c r="Q741" s="81">
        <v>1.9672810595424809E-2</v>
      </c>
      <c r="R741" s="85">
        <v>1.9573106871444423E-2</v>
      </c>
    </row>
    <row r="742" spans="14:18" x14ac:dyDescent="0.2">
      <c r="N742" s="88" t="str">
        <f t="shared" si="17"/>
        <v>1w</v>
      </c>
      <c r="O742" s="82">
        <f>_xll.qlCalendarAdvance(Calendar,O741,N742,"f",FALSE)</f>
        <v>44474</v>
      </c>
      <c r="P742" s="92">
        <f>_xll.qlCalendarAdvance(Calendar,O742,NDays&amp;"D")</f>
        <v>44476</v>
      </c>
      <c r="Q742" s="81">
        <v>1.9745889137506578E-2</v>
      </c>
      <c r="R742" s="85">
        <v>1.9632760596364207E-2</v>
      </c>
    </row>
    <row r="743" spans="14:18" x14ac:dyDescent="0.2">
      <c r="N743" s="88" t="str">
        <f t="shared" si="17"/>
        <v>1w</v>
      </c>
      <c r="O743" s="82">
        <f>_xll.qlCalendarAdvance(Calendar,O742,N743,"f",FALSE)</f>
        <v>44481</v>
      </c>
      <c r="P743" s="92">
        <f>_xll.qlCalendarAdvance(Calendar,O743,NDays&amp;"D")</f>
        <v>44483</v>
      </c>
      <c r="Q743" s="81">
        <v>1.9804214855941582E-2</v>
      </c>
      <c r="R743" s="85">
        <v>1.96918743170027E-2</v>
      </c>
    </row>
    <row r="744" spans="14:18" x14ac:dyDescent="0.2">
      <c r="N744" s="88" t="str">
        <f t="shared" si="17"/>
        <v>1w</v>
      </c>
      <c r="O744" s="82">
        <f>_xll.qlCalendarAdvance(Calendar,O743,N744,"f",FALSE)</f>
        <v>44488</v>
      </c>
      <c r="P744" s="92">
        <f>_xll.qlCalendarAdvance(Calendar,O744,NDays&amp;"D")</f>
        <v>44490</v>
      </c>
      <c r="Q744" s="81">
        <v>1.9861999938170782E-2</v>
      </c>
      <c r="R744" s="85">
        <v>1.9750448032960222E-2</v>
      </c>
    </row>
    <row r="745" spans="14:18" x14ac:dyDescent="0.2">
      <c r="N745" s="88" t="str">
        <f t="shared" si="17"/>
        <v>1w</v>
      </c>
      <c r="O745" s="82">
        <f>_xll.qlCalendarAdvance(Calendar,O744,N745,"f",FALSE)</f>
        <v>44495</v>
      </c>
      <c r="P745" s="92">
        <f>_xll.qlCalendarAdvance(Calendar,O745,NDays&amp;"D")</f>
        <v>44497</v>
      </c>
      <c r="Q745" s="81">
        <v>1.9919244375875833E-2</v>
      </c>
      <c r="R745" s="85">
        <v>1.98084817440769E-2</v>
      </c>
    </row>
    <row r="746" spans="14:18" x14ac:dyDescent="0.2">
      <c r="N746" s="88" t="str">
        <f t="shared" si="17"/>
        <v>1w</v>
      </c>
      <c r="O746" s="82">
        <f>_xll.qlCalendarAdvance(Calendar,O745,N746,"f",FALSE)</f>
        <v>44502</v>
      </c>
      <c r="P746" s="92">
        <f>_xll.qlCalendarAdvance(Calendar,O746,NDays&amp;"D")</f>
        <v>44504</v>
      </c>
      <c r="Q746" s="81">
        <v>1.9975948160815826E-2</v>
      </c>
      <c r="R746" s="85">
        <v>1.9865975450032991E-2</v>
      </c>
    </row>
    <row r="747" spans="14:18" x14ac:dyDescent="0.2">
      <c r="N747" s="88" t="str">
        <f t="shared" si="17"/>
        <v>1w</v>
      </c>
      <c r="O747" s="82">
        <f>_xll.qlCalendarAdvance(Calendar,O746,N747,"f",FALSE)</f>
        <v>44509</v>
      </c>
      <c r="P747" s="92">
        <f>_xll.qlCalendarAdvance(Calendar,O747,NDays&amp;"D")</f>
        <v>44511</v>
      </c>
      <c r="Q747" s="81">
        <v>2.0032111284824794E-2</v>
      </c>
      <c r="R747" s="85">
        <v>1.9922929150588686E-2</v>
      </c>
    </row>
    <row r="748" spans="14:18" x14ac:dyDescent="0.2">
      <c r="N748" s="88" t="str">
        <f t="shared" si="17"/>
        <v>1w</v>
      </c>
      <c r="O748" s="82">
        <f>_xll.qlCalendarAdvance(Calendar,O747,N748,"f",FALSE)</f>
        <v>44516</v>
      </c>
      <c r="P748" s="92">
        <f>_xll.qlCalendarAdvance(Calendar,O748,NDays&amp;"D")</f>
        <v>44518</v>
      </c>
      <c r="Q748" s="81">
        <v>2.0087733739819202E-2</v>
      </c>
      <c r="R748" s="85">
        <v>1.9979342845504178E-2</v>
      </c>
    </row>
    <row r="749" spans="14:18" x14ac:dyDescent="0.2">
      <c r="N749" s="88" t="str">
        <f t="shared" si="17"/>
        <v>1w</v>
      </c>
      <c r="O749" s="82">
        <f>_xll.qlCalendarAdvance(Calendar,O748,N749,"f",FALSE)</f>
        <v>44523</v>
      </c>
      <c r="P749" s="92">
        <f>_xll.qlCalendarAdvance(Calendar,O749,NDays&amp;"D")</f>
        <v>44525</v>
      </c>
      <c r="Q749" s="81">
        <v>2.0142815517790458E-2</v>
      </c>
      <c r="R749" s="85">
        <v>2.0035216534459721E-2</v>
      </c>
    </row>
    <row r="750" spans="14:18" x14ac:dyDescent="0.2">
      <c r="N750" s="88" t="str">
        <f t="shared" si="17"/>
        <v>1w</v>
      </c>
      <c r="O750" s="82">
        <f>_xll.qlCalendarAdvance(Calendar,O749,N750,"f",FALSE)</f>
        <v>44530</v>
      </c>
      <c r="P750" s="92">
        <f>_xll.qlCalendarAdvance(Calendar,O750,NDays&amp;"D")</f>
        <v>44532</v>
      </c>
      <c r="Q750" s="81">
        <v>2.0197356610807404E-2</v>
      </c>
      <c r="R750" s="85">
        <v>2.0090550217295444E-2</v>
      </c>
    </row>
    <row r="751" spans="14:18" x14ac:dyDescent="0.2">
      <c r="N751" s="88" t="str">
        <f t="shared" si="17"/>
        <v>1w</v>
      </c>
      <c r="O751" s="82">
        <f>_xll.qlCalendarAdvance(Calendar,O750,N751,"f",FALSE)</f>
        <v>44537</v>
      </c>
      <c r="P751" s="92">
        <f>_xll.qlCalendarAdvance(Calendar,O751,NDays&amp;"D")</f>
        <v>44539</v>
      </c>
      <c r="Q751" s="81">
        <v>2.025135701102132E-2</v>
      </c>
      <c r="R751" s="85">
        <v>2.0145343893691603E-2</v>
      </c>
    </row>
    <row r="752" spans="14:18" x14ac:dyDescent="0.2">
      <c r="N752" s="88" t="str">
        <f t="shared" si="17"/>
        <v>1w</v>
      </c>
      <c r="O752" s="82">
        <f>_xll.qlCalendarAdvance(Calendar,O751,N752,"f",FALSE)</f>
        <v>44544</v>
      </c>
      <c r="P752" s="92">
        <f>_xll.qlCalendarAdvance(Calendar,O752,NDays&amp;"D")</f>
        <v>44546</v>
      </c>
      <c r="Q752" s="81">
        <v>2.030481671065093E-2</v>
      </c>
      <c r="R752" s="85">
        <v>2.0199597563328453E-2</v>
      </c>
    </row>
    <row r="753" spans="14:18" x14ac:dyDescent="0.2">
      <c r="N753" s="88" t="str">
        <f t="shared" si="17"/>
        <v>1w</v>
      </c>
      <c r="O753" s="82">
        <f>_xll.qlCalendarAdvance(Calendar,O752,N753,"f",FALSE)</f>
        <v>44551</v>
      </c>
      <c r="P753" s="92">
        <f>_xll.qlCalendarAdvance(Calendar,O753,NDays&amp;"D")</f>
        <v>44553</v>
      </c>
      <c r="Q753" s="81">
        <v>2.0357735702004887E-2</v>
      </c>
      <c r="R753" s="85">
        <v>2.0260940524359228E-2</v>
      </c>
    </row>
    <row r="754" spans="14:18" x14ac:dyDescent="0.2">
      <c r="N754" s="88" t="str">
        <f t="shared" si="17"/>
        <v>1w</v>
      </c>
      <c r="O754" s="82">
        <f>_xll.qlCalendarAdvance(Calendar,O753,N754,"f",FALSE)</f>
        <v>44558</v>
      </c>
      <c r="P754" s="92">
        <f>_xll.qlCalendarAdvance(Calendar,O754,NDays&amp;"D")</f>
        <v>44560</v>
      </c>
      <c r="Q754" s="81">
        <v>2.0410113977459288E-2</v>
      </c>
      <c r="R754" s="85">
        <v>2.0314037036106569E-2</v>
      </c>
    </row>
    <row r="755" spans="14:18" x14ac:dyDescent="0.2">
      <c r="N755" s="88" t="str">
        <f t="shared" si="17"/>
        <v>1w</v>
      </c>
      <c r="O755" s="82">
        <f>_xll.qlCalendarAdvance(Calendar,O754,N755,"f",FALSE)</f>
        <v>44565</v>
      </c>
      <c r="P755" s="92">
        <f>_xll.qlCalendarAdvance(Calendar,O755,NDays&amp;"D")</f>
        <v>44568</v>
      </c>
      <c r="Q755" s="81">
        <v>2.0465081137575416E-2</v>
      </c>
      <c r="R755" s="85">
        <v>2.0366593540455113E-2</v>
      </c>
    </row>
    <row r="756" spans="14:18" x14ac:dyDescent="0.2">
      <c r="N756" s="88" t="str">
        <f t="shared" si="17"/>
        <v>1w</v>
      </c>
      <c r="O756" s="82">
        <f>_xll.qlCalendarAdvance(Calendar,O755,N756,"f",FALSE)</f>
        <v>44572</v>
      </c>
      <c r="P756" s="92">
        <f>_xll.qlCalendarAdvance(Calendar,O756,NDays&amp;"D")</f>
        <v>44574</v>
      </c>
      <c r="Q756" s="81">
        <v>2.0513248350598479E-2</v>
      </c>
      <c r="R756" s="85">
        <v>2.041121217076558E-2</v>
      </c>
    </row>
    <row r="757" spans="14:18" x14ac:dyDescent="0.2">
      <c r="N757" s="88" t="str">
        <f t="shared" si="17"/>
        <v>1w</v>
      </c>
      <c r="O757" s="82">
        <f>_xll.qlCalendarAdvance(Calendar,O756,N757,"f",FALSE)</f>
        <v>44579</v>
      </c>
      <c r="P757" s="92">
        <f>_xll.qlCalendarAdvance(Calendar,O757,NDays&amp;"D")</f>
        <v>44581</v>
      </c>
      <c r="Q757" s="81">
        <v>2.056400443343015E-2</v>
      </c>
      <c r="R757" s="85">
        <v>2.0462765803568317E-2</v>
      </c>
    </row>
    <row r="758" spans="14:18" x14ac:dyDescent="0.2">
      <c r="N758" s="88" t="str">
        <f t="shared" si="17"/>
        <v>1w</v>
      </c>
      <c r="O758" s="82">
        <f>_xll.qlCalendarAdvance(Calendar,O757,N758,"f",FALSE)</f>
        <v>44586</v>
      </c>
      <c r="P758" s="92">
        <f>_xll.qlCalendarAdvance(Calendar,O758,NDays&amp;"D")</f>
        <v>44588</v>
      </c>
      <c r="Q758" s="81">
        <v>2.061421977066602E-2</v>
      </c>
      <c r="R758" s="85">
        <v>2.0513779428332768E-2</v>
      </c>
    </row>
    <row r="759" spans="14:18" x14ac:dyDescent="0.2">
      <c r="N759" s="88" t="str">
        <f t="shared" si="17"/>
        <v>1w</v>
      </c>
      <c r="O759" s="82">
        <f>_xll.qlCalendarAdvance(Calendar,O758,N759,"f",FALSE)</f>
        <v>44593</v>
      </c>
      <c r="P759" s="92">
        <f>_xll.qlCalendarAdvance(Calendar,O759,NDays&amp;"D")</f>
        <v>44595</v>
      </c>
      <c r="Q759" s="81">
        <v>2.0647499844826785E-2</v>
      </c>
      <c r="R759" s="85">
        <v>2.0564253044659253E-2</v>
      </c>
    </row>
    <row r="760" spans="14:18" x14ac:dyDescent="0.2">
      <c r="N760" s="88" t="str">
        <f t="shared" si="17"/>
        <v>1w</v>
      </c>
      <c r="O760" s="82">
        <f>_xll.qlCalendarAdvance(Calendar,O759,N760,"f",FALSE)</f>
        <v>44600</v>
      </c>
      <c r="P760" s="92">
        <f>_xll.qlCalendarAdvance(Calendar,O760,NDays&amp;"D")</f>
        <v>44602</v>
      </c>
      <c r="Q760" s="81">
        <v>2.0696776862652984E-2</v>
      </c>
      <c r="R760" s="85">
        <v>2.0614186652547772E-2</v>
      </c>
    </row>
    <row r="761" spans="14:18" x14ac:dyDescent="0.2">
      <c r="N761" s="88" t="str">
        <f t="shared" si="17"/>
        <v>1w</v>
      </c>
      <c r="O761" s="82">
        <f>_xll.qlCalendarAdvance(Calendar,O760,N761,"f",FALSE)</f>
        <v>44607</v>
      </c>
      <c r="P761" s="92">
        <f>_xll.qlCalendarAdvance(Calendar,O761,NDays&amp;"D")</f>
        <v>44609</v>
      </c>
      <c r="Q761" s="81">
        <v>2.0745513213039794E-2</v>
      </c>
      <c r="R761" s="85">
        <v>2.0663580251518709E-2</v>
      </c>
    </row>
    <row r="762" spans="14:18" x14ac:dyDescent="0.2">
      <c r="N762" s="88" t="str">
        <f t="shared" si="17"/>
        <v>1w</v>
      </c>
      <c r="O762" s="82">
        <f>_xll.qlCalendarAdvance(Calendar,O761,N762,"f",FALSE)</f>
        <v>44614</v>
      </c>
      <c r="P762" s="92">
        <f>_xll.qlCalendarAdvance(Calendar,O762,NDays&amp;"D")</f>
        <v>44616</v>
      </c>
      <c r="Q762" s="81">
        <v>2.0793708889846409E-2</v>
      </c>
      <c r="R762" s="85">
        <v>2.0712433841652E-2</v>
      </c>
    </row>
    <row r="763" spans="14:18" x14ac:dyDescent="0.2">
      <c r="N763" s="88" t="str">
        <f t="shared" si="17"/>
        <v>1w</v>
      </c>
      <c r="O763" s="82">
        <f>_xll.qlCalendarAdvance(Calendar,O762,N763,"f",FALSE)</f>
        <v>44621</v>
      </c>
      <c r="P763" s="92">
        <f>_xll.qlCalendarAdvance(Calendar,O763,NDays&amp;"D")</f>
        <v>44623</v>
      </c>
      <c r="Q763" s="81">
        <v>2.0857185022628566E-2</v>
      </c>
      <c r="R763" s="85">
        <v>2.0760747422468029E-2</v>
      </c>
    </row>
    <row r="764" spans="14:18" x14ac:dyDescent="0.2">
      <c r="N764" s="88" t="str">
        <f t="shared" si="17"/>
        <v>1w</v>
      </c>
      <c r="O764" s="82">
        <f>_xll.qlCalendarAdvance(Calendar,O763,N764,"f",FALSE)</f>
        <v>44628</v>
      </c>
      <c r="P764" s="92">
        <f>_xll.qlCalendarAdvance(Calendar,O764,NDays&amp;"D")</f>
        <v>44630</v>
      </c>
      <c r="Q764" s="81">
        <v>2.0904155737198893E-2</v>
      </c>
      <c r="R764" s="85">
        <v>2.0808520993886859E-2</v>
      </c>
    </row>
    <row r="765" spans="14:18" x14ac:dyDescent="0.2">
      <c r="N765" s="88" t="str">
        <f t="shared" si="17"/>
        <v>1w</v>
      </c>
      <c r="O765" s="82">
        <f>_xll.qlCalendarAdvance(Calendar,O764,N765,"f",FALSE)</f>
        <v>44635</v>
      </c>
      <c r="P765" s="92">
        <f>_xll.qlCalendarAdvance(Calendar,O765,NDays&amp;"D")</f>
        <v>44637</v>
      </c>
      <c r="Q765" s="81">
        <v>2.0954460929053814E-2</v>
      </c>
      <c r="R765" s="85">
        <v>2.0855754555668682E-2</v>
      </c>
    </row>
    <row r="766" spans="14:18" x14ac:dyDescent="0.2">
      <c r="N766" s="88" t="str">
        <f t="shared" si="17"/>
        <v>1w</v>
      </c>
      <c r="O766" s="82">
        <f>_xll.qlCalendarAdvance(Calendar,O765,N766,"f",FALSE)</f>
        <v>44642</v>
      </c>
      <c r="P766" s="92">
        <f>_xll.qlCalendarAdvance(Calendar,O766,NDays&amp;"D")</f>
        <v>44644</v>
      </c>
      <c r="Q766" s="81">
        <v>2.0996474775952512E-2</v>
      </c>
      <c r="R766" s="85">
        <v>2.090244810757369E-2</v>
      </c>
    </row>
    <row r="767" spans="14:18" x14ac:dyDescent="0.2">
      <c r="N767" s="88" t="str">
        <f t="shared" si="17"/>
        <v>1w</v>
      </c>
      <c r="O767" s="82">
        <f>_xll.qlCalendarAdvance(Calendar,O766,N767,"f",FALSE)</f>
        <v>44649</v>
      </c>
      <c r="P767" s="92">
        <f>_xll.qlCalendarAdvance(Calendar,O767,NDays&amp;"D")</f>
        <v>44651</v>
      </c>
      <c r="Q767" s="81">
        <v>2.103039341405287E-2</v>
      </c>
      <c r="R767" s="85">
        <v>2.0948601649442011E-2</v>
      </c>
    </row>
    <row r="768" spans="14:18" x14ac:dyDescent="0.2">
      <c r="N768" s="88" t="str">
        <f t="shared" si="17"/>
        <v>1w</v>
      </c>
      <c r="O768" s="82">
        <f>_xll.qlCalendarAdvance(Calendar,O767,N768,"f",FALSE)</f>
        <v>44656</v>
      </c>
      <c r="P768" s="92">
        <f>_xll.qlCalendarAdvance(Calendar,O768,NDays&amp;"D")</f>
        <v>44658</v>
      </c>
      <c r="Q768" s="81">
        <v>2.1086630583347088E-2</v>
      </c>
      <c r="R768" s="85">
        <v>2.0994215180953901E-2</v>
      </c>
    </row>
    <row r="769" spans="14:18" x14ac:dyDescent="0.2">
      <c r="N769" s="88" t="str">
        <f t="shared" si="17"/>
        <v>1w</v>
      </c>
      <c r="O769" s="82">
        <f>_xll.qlCalendarAdvance(Calendar,O768,N769,"f",FALSE)</f>
        <v>44663</v>
      </c>
      <c r="P769" s="92">
        <f>_xll.qlCalendarAdvance(Calendar,O769,NDays&amp;"D")</f>
        <v>44665</v>
      </c>
      <c r="Q769" s="81">
        <v>2.1130897259007131E-2</v>
      </c>
      <c r="R769" s="85">
        <v>2.1052067665277008E-2</v>
      </c>
    </row>
    <row r="770" spans="14:18" x14ac:dyDescent="0.2">
      <c r="N770" s="88" t="str">
        <f t="shared" si="17"/>
        <v>1w</v>
      </c>
      <c r="O770" s="82">
        <f>_xll.qlCalendarAdvance(Calendar,O769,N770,"f",FALSE)</f>
        <v>44670</v>
      </c>
      <c r="P770" s="92">
        <f>_xll.qlCalendarAdvance(Calendar,O770,NDays&amp;"D")</f>
        <v>44672</v>
      </c>
      <c r="Q770" s="81">
        <v>2.117462310745416E-2</v>
      </c>
      <c r="R770" s="85">
        <v>2.1083822212508707E-2</v>
      </c>
    </row>
    <row r="771" spans="14:18" x14ac:dyDescent="0.2">
      <c r="N771" s="88" t="str">
        <f t="shared" si="17"/>
        <v>1w</v>
      </c>
      <c r="O771" s="82">
        <f>_xll.qlCalendarAdvance(Calendar,O770,N771,"f",FALSE)</f>
        <v>44677</v>
      </c>
      <c r="P771" s="92">
        <f>_xll.qlCalendarAdvance(Calendar,O771,NDays&amp;"D")</f>
        <v>44679</v>
      </c>
      <c r="Q771" s="81">
        <v>2.1217808122390713E-2</v>
      </c>
      <c r="R771" s="85">
        <v>2.1127815711992071E-2</v>
      </c>
    </row>
    <row r="772" spans="14:18" x14ac:dyDescent="0.2">
      <c r="N772" s="88" t="str">
        <f t="shared" si="17"/>
        <v>1w</v>
      </c>
      <c r="O772" s="82">
        <f>_xll.qlCalendarAdvance(Calendar,O771,N772,"f",FALSE)</f>
        <v>44684</v>
      </c>
      <c r="P772" s="92">
        <f>_xll.qlCalendarAdvance(Calendar,O772,NDays&amp;"D")</f>
        <v>44686</v>
      </c>
      <c r="Q772" s="81">
        <v>2.1264075293312021E-2</v>
      </c>
      <c r="R772" s="85">
        <v>2.1171269200399578E-2</v>
      </c>
    </row>
    <row r="773" spans="14:18" x14ac:dyDescent="0.2">
      <c r="N773" s="88" t="str">
        <f t="shared" si="17"/>
        <v>1w</v>
      </c>
      <c r="O773" s="82">
        <f>_xll.qlCalendarAdvance(Calendar,O772,N773,"f",FALSE)</f>
        <v>44691</v>
      </c>
      <c r="P773" s="92">
        <f>_xll.qlCalendarAdvance(Calendar,O773,NDays&amp;"D")</f>
        <v>44693</v>
      </c>
      <c r="Q773" s="81">
        <v>2.1302555626942221E-2</v>
      </c>
      <c r="R773" s="85">
        <v>2.1214182677571358E-2</v>
      </c>
    </row>
    <row r="774" spans="14:18" x14ac:dyDescent="0.2">
      <c r="N774" s="88" t="str">
        <f t="shared" si="17"/>
        <v>1w</v>
      </c>
      <c r="O774" s="82">
        <f>_xll.qlCalendarAdvance(Calendar,O773,N774,"f",FALSE)</f>
        <v>44698</v>
      </c>
      <c r="P774" s="92">
        <f>_xll.qlCalendarAdvance(Calendar,O774,NDays&amp;"D")</f>
        <v>44700</v>
      </c>
      <c r="Q774" s="81">
        <v>2.1344118104351939E-2</v>
      </c>
      <c r="R774" s="85">
        <v>2.1256556143187666E-2</v>
      </c>
    </row>
    <row r="775" spans="14:18" x14ac:dyDescent="0.2">
      <c r="N775" s="88" t="str">
        <f t="shared" si="17"/>
        <v>1w</v>
      </c>
      <c r="O775" s="82">
        <f>_xll.qlCalendarAdvance(Calendar,O774,N775,"f",FALSE)</f>
        <v>44705</v>
      </c>
      <c r="P775" s="92">
        <f>_xll.qlCalendarAdvance(Calendar,O775,NDays&amp;"D")</f>
        <v>44708</v>
      </c>
      <c r="Q775" s="81">
        <v>2.138744319377647E-2</v>
      </c>
      <c r="R775" s="85">
        <v>2.1304321722359632E-2</v>
      </c>
    </row>
    <row r="776" spans="14:18" x14ac:dyDescent="0.2">
      <c r="N776" s="88" t="str">
        <f t="shared" si="17"/>
        <v>1w</v>
      </c>
      <c r="O776" s="82">
        <f>_xll.qlCalendarAdvance(Calendar,O775,N776,"f",FALSE)</f>
        <v>44712</v>
      </c>
      <c r="P776" s="92">
        <f>_xll.qlCalendarAdvance(Calendar,O776,NDays&amp;"D")</f>
        <v>44714</v>
      </c>
      <c r="Q776" s="81">
        <v>2.1425620479525731E-2</v>
      </c>
      <c r="R776" s="85">
        <v>2.1345538019934551E-2</v>
      </c>
    </row>
    <row r="777" spans="14:18" x14ac:dyDescent="0.2">
      <c r="N777" s="88" t="str">
        <f t="shared" si="17"/>
        <v>1w</v>
      </c>
      <c r="O777" s="82">
        <f>_xll.qlCalendarAdvance(Calendar,O776,N777,"f",FALSE)</f>
        <v>44719</v>
      </c>
      <c r="P777" s="92">
        <f>_xll.qlCalendarAdvance(Calendar,O777,NDays&amp;"D")</f>
        <v>44721</v>
      </c>
      <c r="Q777" s="81">
        <v>2.1465560365554193E-2</v>
      </c>
      <c r="R777" s="85">
        <v>2.1380436469504716E-2</v>
      </c>
    </row>
    <row r="778" spans="14:18" x14ac:dyDescent="0.2">
      <c r="N778" s="88" t="str">
        <f t="shared" si="17"/>
        <v>1w</v>
      </c>
      <c r="O778" s="82">
        <f>_xll.qlCalendarAdvance(Calendar,O777,N778,"f",FALSE)</f>
        <v>44726</v>
      </c>
      <c r="P778" s="92">
        <f>_xll.qlCalendarAdvance(Calendar,O778,NDays&amp;"D")</f>
        <v>44728</v>
      </c>
      <c r="Q778" s="81">
        <v>2.1504959376183186E-2</v>
      </c>
      <c r="R778" s="85">
        <v>2.1420649887460286E-2</v>
      </c>
    </row>
    <row r="779" spans="14:18" x14ac:dyDescent="0.2">
      <c r="N779" s="88" t="str">
        <f t="shared" si="17"/>
        <v>1w</v>
      </c>
      <c r="O779" s="82">
        <f>_xll.qlCalendarAdvance(Calendar,O778,N779,"f",FALSE)</f>
        <v>44733</v>
      </c>
      <c r="P779" s="92">
        <f>_xll.qlCalendarAdvance(Calendar,O779,NDays&amp;"D")</f>
        <v>44735</v>
      </c>
      <c r="Q779" s="81">
        <v>2.1543817505737251E-2</v>
      </c>
      <c r="R779" s="85">
        <v>2.1465946839569483E-2</v>
      </c>
    </row>
    <row r="780" spans="14:18" x14ac:dyDescent="0.2">
      <c r="N780" s="88" t="str">
        <f t="shared" si="17"/>
        <v>1w</v>
      </c>
      <c r="O780" s="82">
        <f>_xll.qlCalendarAdvance(Calendar,O779,N780,"f",FALSE)</f>
        <v>44740</v>
      </c>
      <c r="P780" s="92">
        <f>_xll.qlCalendarAdvance(Calendar,O780,NDays&amp;"D")</f>
        <v>44742</v>
      </c>
      <c r="Q780" s="81">
        <v>2.1572115656424713E-2</v>
      </c>
      <c r="R780" s="85">
        <v>2.1499456685827312E-2</v>
      </c>
    </row>
    <row r="781" spans="14:18" x14ac:dyDescent="0.2">
      <c r="N781" s="88" t="str">
        <f t="shared" si="17"/>
        <v>1w</v>
      </c>
      <c r="O781" s="82">
        <f>_xll.qlCalendarAdvance(Calendar,O780,N781,"f",FALSE)</f>
        <v>44747</v>
      </c>
      <c r="P781" s="92">
        <f>_xll.qlCalendarAdvance(Calendar,O781,NDays&amp;"D")</f>
        <v>44749</v>
      </c>
      <c r="Q781" s="81">
        <v>2.1619911099328426E-2</v>
      </c>
      <c r="R781" s="85">
        <v>2.1538050065998959E-2</v>
      </c>
    </row>
    <row r="782" spans="14:18" x14ac:dyDescent="0.2">
      <c r="N782" s="88" t="str">
        <f t="shared" si="17"/>
        <v>1w</v>
      </c>
      <c r="O782" s="82">
        <f>_xll.qlCalendarAdvance(Calendar,O781,N782,"f",FALSE)</f>
        <v>44754</v>
      </c>
      <c r="P782" s="92">
        <f>_xll.qlCalendarAdvance(Calendar,O782,NDays&amp;"D")</f>
        <v>44756</v>
      </c>
      <c r="Q782" s="81">
        <v>2.1657146552409301E-2</v>
      </c>
      <c r="R782" s="85">
        <v>2.1576103433256222E-2</v>
      </c>
    </row>
    <row r="783" spans="14:18" x14ac:dyDescent="0.2">
      <c r="N783" s="88" t="str">
        <f t="shared" si="17"/>
        <v>1w</v>
      </c>
      <c r="O783" s="82">
        <f>_xll.qlCalendarAdvance(Calendar,O782,N783,"f",FALSE)</f>
        <v>44761</v>
      </c>
      <c r="P783" s="92">
        <f>_xll.qlCalendarAdvance(Calendar,O783,NDays&amp;"D")</f>
        <v>44763</v>
      </c>
      <c r="Q783" s="81">
        <v>2.1693841102502776E-2</v>
      </c>
      <c r="R783" s="85">
        <v>2.1613616787359291E-2</v>
      </c>
    </row>
    <row r="784" spans="14:18" x14ac:dyDescent="0.2">
      <c r="N784" s="88" t="str">
        <f t="shared" si="17"/>
        <v>1w</v>
      </c>
      <c r="O784" s="82">
        <f>_xll.qlCalendarAdvance(Calendar,O783,N784,"f",FALSE)</f>
        <v>44768</v>
      </c>
      <c r="P784" s="92">
        <f>_xll.qlCalendarAdvance(Calendar,O784,NDays&amp;"D")</f>
        <v>44770</v>
      </c>
      <c r="Q784" s="81">
        <v>2.1729994744328074E-2</v>
      </c>
      <c r="R784" s="85">
        <v>2.1650590128228231E-2</v>
      </c>
    </row>
    <row r="785" spans="14:18" x14ac:dyDescent="0.2">
      <c r="N785" s="88" t="str">
        <f t="shared" si="17"/>
        <v>1w</v>
      </c>
      <c r="O785" s="82">
        <f>_xll.qlCalendarAdvance(Calendar,O784,N785,"f",FALSE)</f>
        <v>44775</v>
      </c>
      <c r="P785" s="92">
        <f>_xll.qlCalendarAdvance(Calendar,O785,NDays&amp;"D")</f>
        <v>44777</v>
      </c>
      <c r="Q785" s="81">
        <v>2.1765607472681858E-2</v>
      </c>
      <c r="R785" s="85">
        <v>2.1687023455703169E-2</v>
      </c>
    </row>
    <row r="786" spans="14:18" x14ac:dyDescent="0.2">
      <c r="N786" s="88" t="str">
        <f t="shared" si="17"/>
        <v>1w</v>
      </c>
      <c r="O786" s="82">
        <f>_xll.qlCalendarAdvance(Calendar,O785,N786,"f",FALSE)</f>
        <v>44782</v>
      </c>
      <c r="P786" s="92">
        <f>_xll.qlCalendarAdvance(Calendar,O786,NDays&amp;"D")</f>
        <v>44784</v>
      </c>
      <c r="Q786" s="81">
        <v>2.1800679282430735E-2</v>
      </c>
      <c r="R786" s="85">
        <v>2.1722916769464362E-2</v>
      </c>
    </row>
    <row r="787" spans="14:18" x14ac:dyDescent="0.2">
      <c r="N787" s="88" t="str">
        <f t="shared" si="17"/>
        <v>1w</v>
      </c>
      <c r="O787" s="82">
        <f>_xll.qlCalendarAdvance(Calendar,O786,N787,"f",FALSE)</f>
        <v>44789</v>
      </c>
      <c r="P787" s="92">
        <f>_xll.qlCalendarAdvance(Calendar,O787,NDays&amp;"D")</f>
        <v>44791</v>
      </c>
      <c r="Q787" s="81">
        <v>2.183521016852874E-2</v>
      </c>
      <c r="R787" s="85">
        <v>2.1758270069511809E-2</v>
      </c>
    </row>
    <row r="788" spans="14:18" x14ac:dyDescent="0.2">
      <c r="N788" s="88" t="str">
        <f t="shared" si="17"/>
        <v>1w</v>
      </c>
      <c r="O788" s="82">
        <f>_xll.qlCalendarAdvance(Calendar,O787,N788,"f",FALSE)</f>
        <v>44796</v>
      </c>
      <c r="P788" s="92">
        <f>_xll.qlCalendarAdvance(Calendar,O788,NDays&amp;"D")</f>
        <v>44798</v>
      </c>
      <c r="Q788" s="81">
        <v>2.1869200126002353E-2</v>
      </c>
      <c r="R788" s="85">
        <v>2.1793083355605702E-2</v>
      </c>
    </row>
    <row r="789" spans="14:18" x14ac:dyDescent="0.2">
      <c r="N789" s="88" t="str">
        <f t="shared" ref="N789:N852" si="18">N788</f>
        <v>1w</v>
      </c>
      <c r="O789" s="82">
        <f>_xll.qlCalendarAdvance(Calendar,O788,N789,"f",FALSE)</f>
        <v>44803</v>
      </c>
      <c r="P789" s="92">
        <f>_xll.qlCalendarAdvance(Calendar,O789,NDays&amp;"D")</f>
        <v>44805</v>
      </c>
      <c r="Q789" s="81">
        <v>2.1902648429059646E-2</v>
      </c>
      <c r="R789" s="85">
        <v>2.1827356627746042E-2</v>
      </c>
    </row>
    <row r="790" spans="14:18" x14ac:dyDescent="0.2">
      <c r="N790" s="88" t="str">
        <f t="shared" si="18"/>
        <v>1w</v>
      </c>
      <c r="O790" s="82">
        <f>_xll.qlCalendarAdvance(Calendar,O789,N790,"f",FALSE)</f>
        <v>44810</v>
      </c>
      <c r="P790" s="92">
        <f>_xll.qlCalendarAdvance(Calendar,O790,NDays&amp;"D")</f>
        <v>44812</v>
      </c>
      <c r="Q790" s="81">
        <v>2.1935542243104733E-2</v>
      </c>
      <c r="R790" s="85">
        <v>2.1861089885533147E-2</v>
      </c>
    </row>
    <row r="791" spans="14:18" x14ac:dyDescent="0.2">
      <c r="N791" s="88" t="str">
        <f t="shared" si="18"/>
        <v>1w</v>
      </c>
      <c r="O791" s="82">
        <f>_xll.qlCalendarAdvance(Calendar,O790,N791,"f",FALSE)</f>
        <v>44817</v>
      </c>
      <c r="P791" s="92">
        <f>_xll.qlCalendarAdvance(Calendar,O791,NDays&amp;"D")</f>
        <v>44819</v>
      </c>
      <c r="Q791" s="81">
        <v>2.1967858685896513E-2</v>
      </c>
      <c r="R791" s="85">
        <v>2.1894283129046954E-2</v>
      </c>
    </row>
    <row r="792" spans="14:18" x14ac:dyDescent="0.2">
      <c r="N792" s="88" t="str">
        <f t="shared" si="18"/>
        <v>1w</v>
      </c>
      <c r="O792" s="82">
        <f>_xll.qlCalendarAdvance(Calendar,O791,N792,"f",FALSE)</f>
        <v>44824</v>
      </c>
      <c r="P792" s="92">
        <f>_xll.qlCalendarAdvance(Calendar,O792,NDays&amp;"D")</f>
        <v>44826</v>
      </c>
      <c r="Q792" s="81">
        <v>2.1999574570882308E-2</v>
      </c>
      <c r="R792" s="85">
        <v>2.1926936357887783E-2</v>
      </c>
    </row>
    <row r="793" spans="14:18" x14ac:dyDescent="0.2">
      <c r="N793" s="88" t="str">
        <f t="shared" si="18"/>
        <v>1w</v>
      </c>
      <c r="O793" s="82">
        <f>_xll.qlCalendarAdvance(Calendar,O792,N793,"f",FALSE)</f>
        <v>44831</v>
      </c>
      <c r="P793" s="92">
        <f>_xll.qlCalendarAdvance(Calendar,O793,NDays&amp;"D")</f>
        <v>44833</v>
      </c>
      <c r="Q793" s="81">
        <v>2.2030666711344571E-2</v>
      </c>
      <c r="R793" s="85">
        <v>2.1959027626170524E-2</v>
      </c>
    </row>
    <row r="794" spans="14:18" x14ac:dyDescent="0.2">
      <c r="N794" s="88" t="str">
        <f t="shared" si="18"/>
        <v>1w</v>
      </c>
      <c r="O794" s="82">
        <f>_xll.qlCalendarAdvance(Calendar,O793,N794,"f",FALSE)</f>
        <v>44838</v>
      </c>
      <c r="P794" s="92">
        <f>_xll.qlCalendarAdvance(Calendar,O794,NDays&amp;"D")</f>
        <v>44840</v>
      </c>
      <c r="Q794" s="81">
        <v>2.2061115784035301E-2</v>
      </c>
      <c r="R794" s="85">
        <v>2.1990479942601837E-2</v>
      </c>
    </row>
    <row r="795" spans="14:18" x14ac:dyDescent="0.2">
      <c r="N795" s="88" t="str">
        <f t="shared" si="18"/>
        <v>1w</v>
      </c>
      <c r="O795" s="82">
        <f>_xll.qlCalendarAdvance(Calendar,O794,N795,"f",FALSE)</f>
        <v>44845</v>
      </c>
      <c r="P795" s="92">
        <f>_xll.qlCalendarAdvance(Calendar,O795,NDays&amp;"D")</f>
        <v>44847</v>
      </c>
      <c r="Q795" s="81">
        <v>2.2090917920106756E-2</v>
      </c>
      <c r="R795" s="85">
        <v>2.2021286471449741E-2</v>
      </c>
    </row>
    <row r="796" spans="14:18" x14ac:dyDescent="0.2">
      <c r="N796" s="88" t="str">
        <f t="shared" si="18"/>
        <v>1w</v>
      </c>
      <c r="O796" s="82">
        <f>_xll.qlCalendarAdvance(Calendar,O795,N796,"f",FALSE)</f>
        <v>44852</v>
      </c>
      <c r="P796" s="92">
        <f>_xll.qlCalendarAdvance(Calendar,O796,NDays&amp;"D")</f>
        <v>44854</v>
      </c>
      <c r="Q796" s="81">
        <v>2.2120073114430538E-2</v>
      </c>
      <c r="R796" s="85">
        <v>2.2051447212554365E-2</v>
      </c>
    </row>
    <row r="797" spans="14:18" x14ac:dyDescent="0.2">
      <c r="N797" s="88" t="str">
        <f t="shared" si="18"/>
        <v>1w</v>
      </c>
      <c r="O797" s="82">
        <f>_xll.qlCalendarAdvance(Calendar,O796,N797,"f",FALSE)</f>
        <v>44859</v>
      </c>
      <c r="P797" s="92">
        <f>_xll.qlCalendarAdvance(Calendar,O797,NDays&amp;"D")</f>
        <v>44861</v>
      </c>
      <c r="Q797" s="81">
        <v>2.2148581361983166E-2</v>
      </c>
      <c r="R797" s="85">
        <v>2.2080962165835771E-2</v>
      </c>
    </row>
    <row r="798" spans="14:18" x14ac:dyDescent="0.2">
      <c r="N798" s="88" t="str">
        <f t="shared" si="18"/>
        <v>1w</v>
      </c>
      <c r="O798" s="82">
        <f>_xll.qlCalendarAdvance(Calendar,O797,N798,"f",FALSE)</f>
        <v>44866</v>
      </c>
      <c r="P798" s="92">
        <f>_xll.qlCalendarAdvance(Calendar,O798,NDays&amp;"D")</f>
        <v>44868</v>
      </c>
      <c r="Q798" s="81">
        <v>2.2176442657861062E-2</v>
      </c>
      <c r="R798" s="85">
        <v>2.2109831330894281E-2</v>
      </c>
    </row>
    <row r="799" spans="14:18" x14ac:dyDescent="0.2">
      <c r="N799" s="88" t="str">
        <f t="shared" si="18"/>
        <v>1w</v>
      </c>
      <c r="O799" s="82">
        <f>_xll.qlCalendarAdvance(Calendar,O798,N799,"f",FALSE)</f>
        <v>44873</v>
      </c>
      <c r="P799" s="92">
        <f>_xll.qlCalendarAdvance(Calendar,O799,NDays&amp;"D")</f>
        <v>44875</v>
      </c>
      <c r="Q799" s="81">
        <v>2.2203656997265564E-2</v>
      </c>
      <c r="R799" s="85">
        <v>2.2138054707809829E-2</v>
      </c>
    </row>
    <row r="800" spans="14:18" x14ac:dyDescent="0.2">
      <c r="N800" s="88" t="str">
        <f t="shared" si="18"/>
        <v>1w</v>
      </c>
      <c r="O800" s="82">
        <f>_xll.qlCalendarAdvance(Calendar,O799,N800,"f",FALSE)</f>
        <v>44880</v>
      </c>
      <c r="P800" s="92">
        <f>_xll.qlCalendarAdvance(Calendar,O800,NDays&amp;"D")</f>
        <v>44882</v>
      </c>
      <c r="Q800" s="81">
        <v>2.2230224375507923E-2</v>
      </c>
      <c r="R800" s="85">
        <v>2.2165632296342608E-2</v>
      </c>
    </row>
    <row r="801" spans="14:18" x14ac:dyDescent="0.2">
      <c r="N801" s="88" t="str">
        <f t="shared" si="18"/>
        <v>1w</v>
      </c>
      <c r="O801" s="82">
        <f>_xll.qlCalendarAdvance(Calendar,O800,N801,"f",FALSE)</f>
        <v>44887</v>
      </c>
      <c r="P801" s="92">
        <f>_xll.qlCalendarAdvance(Calendar,O801,NDays&amp;"D")</f>
        <v>44889</v>
      </c>
      <c r="Q801" s="81">
        <v>2.225862336515147E-2</v>
      </c>
      <c r="R801" s="85">
        <v>2.2192564096412681E-2</v>
      </c>
    </row>
    <row r="802" spans="14:18" x14ac:dyDescent="0.2">
      <c r="N802" s="88" t="str">
        <f t="shared" si="18"/>
        <v>1w</v>
      </c>
      <c r="O802" s="82">
        <f>_xll.qlCalendarAdvance(Calendar,O801,N802,"f",FALSE)</f>
        <v>44894</v>
      </c>
      <c r="P802" s="92">
        <f>_xll.qlCalendarAdvance(Calendar,O802,NDays&amp;"D")</f>
        <v>44896</v>
      </c>
      <c r="Q802" s="81">
        <v>2.2281418230318262E-2</v>
      </c>
      <c r="R802" s="85">
        <v>2.2218850107780241E-2</v>
      </c>
    </row>
    <row r="803" spans="14:18" x14ac:dyDescent="0.2">
      <c r="N803" s="88" t="str">
        <f t="shared" si="18"/>
        <v>1w</v>
      </c>
      <c r="O803" s="82">
        <f>_xll.qlCalendarAdvance(Calendar,O802,N803,"f",FALSE)</f>
        <v>44901</v>
      </c>
      <c r="P803" s="92">
        <f>_xll.qlCalendarAdvance(Calendar,O803,NDays&amp;"D")</f>
        <v>44903</v>
      </c>
      <c r="Q803" s="81">
        <v>2.2306044698075789E-2</v>
      </c>
      <c r="R803" s="85">
        <v>2.2244490330285416E-2</v>
      </c>
    </row>
    <row r="804" spans="14:18" x14ac:dyDescent="0.2">
      <c r="N804" s="88" t="str">
        <f t="shared" si="18"/>
        <v>1w</v>
      </c>
      <c r="O804" s="82">
        <f>_xll.qlCalendarAdvance(Calendar,O803,N804,"f",FALSE)</f>
        <v>44908</v>
      </c>
      <c r="P804" s="92">
        <f>_xll.qlCalendarAdvance(Calendar,O804,NDays&amp;"D")</f>
        <v>44910</v>
      </c>
      <c r="Q804" s="81">
        <v>2.2330024187037778E-2</v>
      </c>
      <c r="R804" s="85">
        <v>2.2269484763848268E-2</v>
      </c>
    </row>
    <row r="805" spans="14:18" x14ac:dyDescent="0.2">
      <c r="N805" s="88" t="str">
        <f t="shared" si="18"/>
        <v>1w</v>
      </c>
      <c r="O805" s="82">
        <f>_xll.qlCalendarAdvance(Calendar,O804,N805,"f",FALSE)</f>
        <v>44915</v>
      </c>
      <c r="P805" s="92">
        <f>_xll.qlCalendarAdvance(Calendar,O805,NDays&amp;"D")</f>
        <v>44917</v>
      </c>
      <c r="Q805" s="81">
        <v>2.2353356693080029E-2</v>
      </c>
      <c r="R805" s="85">
        <v>2.2297259068624342E-2</v>
      </c>
    </row>
    <row r="806" spans="14:18" x14ac:dyDescent="0.2">
      <c r="N806" s="88" t="str">
        <f t="shared" si="18"/>
        <v>1w</v>
      </c>
      <c r="O806" s="82">
        <f>_xll.qlCalendarAdvance(Calendar,O805,N806,"f",FALSE)</f>
        <v>44922</v>
      </c>
      <c r="P806" s="92">
        <f>_xll.qlCalendarAdvance(Calendar,O806,NDays&amp;"D")</f>
        <v>44924</v>
      </c>
      <c r="Q806" s="81">
        <v>2.2376042212185754E-2</v>
      </c>
      <c r="R806" s="85">
        <v>2.2317536263667392E-2</v>
      </c>
    </row>
    <row r="807" spans="14:18" x14ac:dyDescent="0.2">
      <c r="N807" s="88" t="str">
        <f t="shared" si="18"/>
        <v>1w</v>
      </c>
      <c r="O807" s="82">
        <f>_xll.qlCalendarAdvance(Calendar,O806,N807,"f",FALSE)</f>
        <v>44929</v>
      </c>
      <c r="P807" s="92">
        <f>_xll.qlCalendarAdvance(Calendar,O807,NDays&amp;"D")</f>
        <v>44931</v>
      </c>
      <c r="Q807" s="81">
        <v>2.2398080740445581E-2</v>
      </c>
      <c r="R807" s="85">
        <v>2.2343834478633084E-2</v>
      </c>
    </row>
    <row r="808" spans="14:18" x14ac:dyDescent="0.2">
      <c r="N808" s="88" t="str">
        <f t="shared" si="18"/>
        <v>1w</v>
      </c>
      <c r="O808" s="82">
        <f>_xll.qlCalendarAdvance(Calendar,O807,N808,"f",FALSE)</f>
        <v>44936</v>
      </c>
      <c r="P808" s="92">
        <f>_xll.qlCalendarAdvance(Calendar,O808,NDays&amp;"D")</f>
        <v>44938</v>
      </c>
      <c r="Q808" s="81">
        <v>2.2419472274062546E-2</v>
      </c>
      <c r="R808" s="85">
        <v>2.2363004606038572E-2</v>
      </c>
    </row>
    <row r="809" spans="14:18" x14ac:dyDescent="0.2">
      <c r="N809" s="88" t="str">
        <f t="shared" si="18"/>
        <v>1w</v>
      </c>
      <c r="O809" s="82">
        <f>_xll.qlCalendarAdvance(Calendar,O808,N809,"f",FALSE)</f>
        <v>44943</v>
      </c>
      <c r="P809" s="92">
        <f>_xll.qlCalendarAdvance(Calendar,O809,NDays&amp;"D")</f>
        <v>44945</v>
      </c>
      <c r="Q809" s="81">
        <v>2.2440216809359592E-2</v>
      </c>
      <c r="R809" s="85">
        <v>2.2384770092891415E-2</v>
      </c>
    </row>
    <row r="810" spans="14:18" x14ac:dyDescent="0.2">
      <c r="N810" s="88" t="str">
        <f t="shared" si="18"/>
        <v>1w</v>
      </c>
      <c r="O810" s="82">
        <f>_xll.qlCalendarAdvance(Calendar,O809,N810,"f",FALSE)</f>
        <v>44950</v>
      </c>
      <c r="P810" s="92">
        <f>_xll.qlCalendarAdvance(Calendar,O810,NDays&amp;"D")</f>
        <v>44952</v>
      </c>
      <c r="Q810" s="81">
        <v>2.2460314342762078E-2</v>
      </c>
      <c r="R810" s="85">
        <v>2.2405889790162448E-2</v>
      </c>
    </row>
    <row r="811" spans="14:18" x14ac:dyDescent="0.2">
      <c r="N811" s="88" t="str">
        <f t="shared" si="18"/>
        <v>1w</v>
      </c>
      <c r="O811" s="82">
        <f>_xll.qlCalendarAdvance(Calendar,O810,N811,"f",FALSE)</f>
        <v>44957</v>
      </c>
      <c r="P811" s="92">
        <f>_xll.qlCalendarAdvance(Calendar,O811,NDays&amp;"D")</f>
        <v>44959</v>
      </c>
      <c r="Q811" s="81">
        <v>2.2471601642290687E-2</v>
      </c>
      <c r="R811" s="85">
        <v>2.242636369745199E-2</v>
      </c>
    </row>
    <row r="812" spans="14:18" x14ac:dyDescent="0.2">
      <c r="N812" s="88" t="str">
        <f t="shared" si="18"/>
        <v>1w</v>
      </c>
      <c r="O812" s="82">
        <f>_xll.qlCalendarAdvance(Calendar,O811,N812,"f",FALSE)</f>
        <v>44964</v>
      </c>
      <c r="P812" s="92">
        <f>_xll.qlCalendarAdvance(Calendar,O812,NDays&amp;"D")</f>
        <v>44966</v>
      </c>
      <c r="Q812" s="81">
        <v>2.2490585283441167E-2</v>
      </c>
      <c r="R812" s="85">
        <v>2.2446191814919914E-2</v>
      </c>
    </row>
    <row r="813" spans="14:18" x14ac:dyDescent="0.2">
      <c r="N813" s="88" t="str">
        <f t="shared" si="18"/>
        <v>1w</v>
      </c>
      <c r="O813" s="82">
        <f>_xll.qlCalendarAdvance(Calendar,O812,N813,"f",FALSE)</f>
        <v>44971</v>
      </c>
      <c r="P813" s="92">
        <f>_xll.qlCalendarAdvance(Calendar,O813,NDays&amp;"D")</f>
        <v>44973</v>
      </c>
      <c r="Q813" s="81">
        <v>2.2508922071217921E-2</v>
      </c>
      <c r="R813" s="85">
        <v>2.2465374142326411E-2</v>
      </c>
    </row>
    <row r="814" spans="14:18" x14ac:dyDescent="0.2">
      <c r="N814" s="88" t="str">
        <f t="shared" si="18"/>
        <v>1w</v>
      </c>
      <c r="O814" s="82">
        <f>_xll.qlCalendarAdvance(Calendar,O813,N814,"f",FALSE)</f>
        <v>44978</v>
      </c>
      <c r="P814" s="92">
        <f>_xll.qlCalendarAdvance(Calendar,O814,NDays&amp;"D")</f>
        <v>44980</v>
      </c>
      <c r="Q814" s="81">
        <v>2.25266120028546E-2</v>
      </c>
      <c r="R814" s="85">
        <v>2.2483910679511609E-2</v>
      </c>
    </row>
    <row r="815" spans="14:18" x14ac:dyDescent="0.2">
      <c r="N815" s="88" t="str">
        <f t="shared" si="18"/>
        <v>1w</v>
      </c>
      <c r="O815" s="82">
        <f>_xll.qlCalendarAdvance(Calendar,O814,N815,"f",FALSE)</f>
        <v>44985</v>
      </c>
      <c r="P815" s="92">
        <f>_xll.qlCalendarAdvance(Calendar,O815,NDays&amp;"D")</f>
        <v>44987</v>
      </c>
      <c r="Q815" s="81">
        <v>2.2551096864097397E-2</v>
      </c>
      <c r="R815" s="85">
        <v>2.2501801426555446E-2</v>
      </c>
    </row>
    <row r="816" spans="14:18" x14ac:dyDescent="0.2">
      <c r="N816" s="88" t="str">
        <f t="shared" si="18"/>
        <v>1w</v>
      </c>
      <c r="O816" s="82">
        <f>_xll.qlCalendarAdvance(Calendar,O815,N816,"f",FALSE)</f>
        <v>44992</v>
      </c>
      <c r="P816" s="92">
        <f>_xll.qlCalendarAdvance(Calendar,O816,NDays&amp;"D")</f>
        <v>44994</v>
      </c>
      <c r="Q816" s="81">
        <v>2.2569116991193058E-2</v>
      </c>
      <c r="R816" s="85">
        <v>2.2519046383218111E-2</v>
      </c>
    </row>
    <row r="817" spans="14:18" x14ac:dyDescent="0.2">
      <c r="N817" s="88" t="str">
        <f t="shared" si="18"/>
        <v>1w</v>
      </c>
      <c r="O817" s="82">
        <f>_xll.qlCalendarAdvance(Calendar,O816,N817,"f",FALSE)</f>
        <v>44999</v>
      </c>
      <c r="P817" s="92">
        <f>_xll.qlCalendarAdvance(Calendar,O817,NDays&amp;"D")</f>
        <v>45001</v>
      </c>
      <c r="Q817" s="81">
        <v>2.2582880746818135E-2</v>
      </c>
      <c r="R817" s="85">
        <v>2.2535645549499606E-2</v>
      </c>
    </row>
    <row r="818" spans="14:18" x14ac:dyDescent="0.2">
      <c r="N818" s="88" t="str">
        <f t="shared" si="18"/>
        <v>1w</v>
      </c>
      <c r="O818" s="82">
        <f>_xll.qlCalendarAdvance(Calendar,O817,N818,"f",FALSE)</f>
        <v>45006</v>
      </c>
      <c r="P818" s="92">
        <f>_xll.qlCalendarAdvance(Calendar,O818,NDays&amp;"D")</f>
        <v>45008</v>
      </c>
      <c r="Q818" s="81">
        <v>2.2597802149826318E-2</v>
      </c>
      <c r="R818" s="85">
        <v>2.2551598925240057E-2</v>
      </c>
    </row>
    <row r="819" spans="14:18" x14ac:dyDescent="0.2">
      <c r="N819" s="88" t="str">
        <f t="shared" si="18"/>
        <v>1w</v>
      </c>
      <c r="O819" s="82">
        <f>_xll.qlCalendarAdvance(Calendar,O818,N819,"f",FALSE)</f>
        <v>45013</v>
      </c>
      <c r="P819" s="92">
        <f>_xll.qlCalendarAdvance(Calendar,O819,NDays&amp;"D")</f>
        <v>45015</v>
      </c>
      <c r="Q819" s="81">
        <v>2.2607044551832111E-2</v>
      </c>
      <c r="R819" s="85">
        <v>2.2566906510439466E-2</v>
      </c>
    </row>
    <row r="820" spans="14:18" x14ac:dyDescent="0.2">
      <c r="N820" s="88" t="str">
        <f t="shared" si="18"/>
        <v>1w</v>
      </c>
      <c r="O820" s="82">
        <f>_xll.qlCalendarAdvance(Calendar,O819,N820,"f",FALSE)</f>
        <v>45020</v>
      </c>
      <c r="P820" s="92">
        <f>_xll.qlCalendarAdvance(Calendar,O820,NDays&amp;"D")</f>
        <v>45022</v>
      </c>
      <c r="Q820" s="81">
        <v>2.2625703866286095E-2</v>
      </c>
      <c r="R820" s="85">
        <v>2.25856387743395E-2</v>
      </c>
    </row>
    <row r="821" spans="14:18" x14ac:dyDescent="0.2">
      <c r="N821" s="88" t="str">
        <f t="shared" si="18"/>
        <v>1w</v>
      </c>
      <c r="O821" s="82">
        <f>_xll.qlCalendarAdvance(Calendar,O820,N821,"f",FALSE)</f>
        <v>45027</v>
      </c>
      <c r="P821" s="92">
        <f>_xll.qlCalendarAdvance(Calendar,O821,NDays&amp;"D")</f>
        <v>45029</v>
      </c>
      <c r="Q821" s="81">
        <v>2.2638684174934032E-2</v>
      </c>
      <c r="R821" s="85">
        <v>2.2595584308495731E-2</v>
      </c>
    </row>
    <row r="822" spans="14:18" x14ac:dyDescent="0.2">
      <c r="N822" s="88" t="str">
        <f t="shared" si="18"/>
        <v>1w</v>
      </c>
      <c r="O822" s="82">
        <f>_xll.qlCalendarAdvance(Calendar,O821,N822,"f",FALSE)</f>
        <v>45034</v>
      </c>
      <c r="P822" s="92">
        <f>_xll.qlCalendarAdvance(Calendar,O822,NDays&amp;"D")</f>
        <v>45036</v>
      </c>
      <c r="Q822" s="81">
        <v>2.2651017447514743E-2</v>
      </c>
      <c r="R822" s="85">
        <v>2.2608954521352587E-2</v>
      </c>
    </row>
    <row r="823" spans="14:18" x14ac:dyDescent="0.2">
      <c r="N823" s="88" t="str">
        <f t="shared" si="18"/>
        <v>1w</v>
      </c>
      <c r="O823" s="82">
        <f>_xll.qlCalendarAdvance(Calendar,O822,N823,"f",FALSE)</f>
        <v>45041</v>
      </c>
      <c r="P823" s="92">
        <f>_xll.qlCalendarAdvance(Calendar,O823,NDays&amp;"D")</f>
        <v>45043</v>
      </c>
      <c r="Q823" s="81">
        <v>2.2664190805715995E-2</v>
      </c>
      <c r="R823" s="85">
        <v>2.2623444000249293E-2</v>
      </c>
    </row>
    <row r="824" spans="14:18" x14ac:dyDescent="0.2">
      <c r="N824" s="88" t="str">
        <f t="shared" si="18"/>
        <v>1w</v>
      </c>
      <c r="O824" s="82">
        <f>_xll.qlCalendarAdvance(Calendar,O823,N824,"f",FALSE)</f>
        <v>45048</v>
      </c>
      <c r="P824" s="92">
        <f>_xll.qlCalendarAdvance(Calendar,O824,NDays&amp;"D")</f>
        <v>45050</v>
      </c>
      <c r="Q824" s="81">
        <v>2.2673742876071212E-2</v>
      </c>
      <c r="R824" s="85">
        <v>2.2633757574324065E-2</v>
      </c>
    </row>
    <row r="825" spans="14:18" x14ac:dyDescent="0.2">
      <c r="N825" s="88" t="str">
        <f t="shared" si="18"/>
        <v>1w</v>
      </c>
      <c r="O825" s="82">
        <f>_xll.qlCalendarAdvance(Calendar,O824,N825,"f",FALSE)</f>
        <v>45055</v>
      </c>
      <c r="P825" s="92">
        <f>_xll.qlCalendarAdvance(Calendar,O825,NDays&amp;"D")</f>
        <v>45057</v>
      </c>
      <c r="Q825" s="81">
        <v>2.2684135028140096E-2</v>
      </c>
      <c r="R825" s="85">
        <v>2.2645190414198879E-2</v>
      </c>
    </row>
    <row r="826" spans="14:18" x14ac:dyDescent="0.2">
      <c r="N826" s="88" t="str">
        <f t="shared" si="18"/>
        <v>1w</v>
      </c>
      <c r="O826" s="82">
        <f>_xll.qlCalendarAdvance(Calendar,O825,N826,"f",FALSE)</f>
        <v>45062</v>
      </c>
      <c r="P826" s="92">
        <f>_xll.qlCalendarAdvance(Calendar,O826,NDays&amp;"D")</f>
        <v>45065</v>
      </c>
      <c r="Q826" s="81">
        <v>2.2693871275984417E-2</v>
      </c>
      <c r="R826" s="85">
        <v>2.2657465752304873E-2</v>
      </c>
    </row>
    <row r="827" spans="14:18" x14ac:dyDescent="0.2">
      <c r="N827" s="88" t="str">
        <f t="shared" si="18"/>
        <v>1w</v>
      </c>
      <c r="O827" s="82">
        <f>_xll.qlCalendarAdvance(Calendar,O826,N827,"f",FALSE)</f>
        <v>45069</v>
      </c>
      <c r="P827" s="92">
        <f>_xll.qlCalendarAdvance(Calendar,O827,NDays&amp;"D")</f>
        <v>45071</v>
      </c>
      <c r="Q827" s="81">
        <v>2.2702978198901325E-2</v>
      </c>
      <c r="R827" s="85">
        <v>2.2667514754095563E-2</v>
      </c>
    </row>
    <row r="828" spans="14:18" x14ac:dyDescent="0.2">
      <c r="N828" s="88" t="str">
        <f t="shared" si="18"/>
        <v>1w</v>
      </c>
      <c r="O828" s="82">
        <f>_xll.qlCalendarAdvance(Calendar,O827,N828,"f",FALSE)</f>
        <v>45076</v>
      </c>
      <c r="P828" s="92">
        <f>_xll.qlCalendarAdvance(Calendar,O828,NDays&amp;"D")</f>
        <v>45078</v>
      </c>
      <c r="Q828" s="81">
        <v>2.2711429214353762E-2</v>
      </c>
      <c r="R828" s="85">
        <v>2.2675614187059878E-2</v>
      </c>
    </row>
    <row r="829" spans="14:18" x14ac:dyDescent="0.2">
      <c r="N829" s="88" t="str">
        <f t="shared" si="18"/>
        <v>1w</v>
      </c>
      <c r="O829" s="82">
        <f>_xll.qlCalendarAdvance(Calendar,O828,N829,"f",FALSE)</f>
        <v>45083</v>
      </c>
      <c r="P829" s="92">
        <f>_xll.qlCalendarAdvance(Calendar,O829,NDays&amp;"D")</f>
        <v>45085</v>
      </c>
      <c r="Q829" s="81">
        <v>2.27192331812065E-2</v>
      </c>
      <c r="R829" s="85">
        <v>2.2684463862212567E-2</v>
      </c>
    </row>
    <row r="830" spans="14:18" x14ac:dyDescent="0.2">
      <c r="N830" s="88" t="str">
        <f t="shared" si="18"/>
        <v>1w</v>
      </c>
      <c r="O830" s="82">
        <f>_xll.qlCalendarAdvance(Calendar,O829,N830,"f",FALSE)</f>
        <v>45090</v>
      </c>
      <c r="P830" s="92">
        <f>_xll.qlCalendarAdvance(Calendar,O830,NDays&amp;"D")</f>
        <v>45092</v>
      </c>
      <c r="Q830" s="81">
        <v>2.2726390098115612E-2</v>
      </c>
      <c r="R830" s="85">
        <v>2.2692667746104789E-2</v>
      </c>
    </row>
    <row r="831" spans="14:18" x14ac:dyDescent="0.2">
      <c r="N831" s="88" t="str">
        <f t="shared" si="18"/>
        <v>1w</v>
      </c>
      <c r="O831" s="82">
        <f>_xll.qlCalendarAdvance(Calendar,O830,N831,"f",FALSE)</f>
        <v>45097</v>
      </c>
      <c r="P831" s="92">
        <f>_xll.qlCalendarAdvance(Calendar,O831,NDays&amp;"D")</f>
        <v>45099</v>
      </c>
      <c r="Q831" s="81">
        <v>2.2732899963852082E-2</v>
      </c>
      <c r="R831" s="85">
        <v>2.2701252848413844E-2</v>
      </c>
    </row>
    <row r="832" spans="14:18" x14ac:dyDescent="0.2">
      <c r="N832" s="88" t="str">
        <f t="shared" si="18"/>
        <v>1w</v>
      </c>
      <c r="O832" s="82">
        <f>_xll.qlCalendarAdvance(Calendar,O831,N832,"f",FALSE)</f>
        <v>45104</v>
      </c>
      <c r="P832" s="92">
        <f>_xll.qlCalendarAdvance(Calendar,O832,NDays&amp;"D")</f>
        <v>45106</v>
      </c>
      <c r="Q832" s="81">
        <v>2.2738762777294308E-2</v>
      </c>
      <c r="R832" s="85">
        <v>2.2707138139628213E-2</v>
      </c>
    </row>
    <row r="833" spans="14:18" x14ac:dyDescent="0.2">
      <c r="N833" s="88" t="str">
        <f t="shared" si="18"/>
        <v>1w</v>
      </c>
      <c r="O833" s="82">
        <f>_xll.qlCalendarAdvance(Calendar,O832,N833,"f",FALSE)</f>
        <v>45111</v>
      </c>
      <c r="P833" s="92">
        <f>_xll.qlCalendarAdvance(Calendar,O833,NDays&amp;"D")</f>
        <v>45113</v>
      </c>
      <c r="Q833" s="81">
        <v>2.2743978537430598E-2</v>
      </c>
      <c r="R833" s="85">
        <v>2.2713404649259417E-2</v>
      </c>
    </row>
    <row r="834" spans="14:18" x14ac:dyDescent="0.2">
      <c r="N834" s="88" t="str">
        <f t="shared" si="18"/>
        <v>1w</v>
      </c>
      <c r="O834" s="82">
        <f>_xll.qlCalendarAdvance(Calendar,O833,N834,"f",FALSE)</f>
        <v>45118</v>
      </c>
      <c r="P834" s="92">
        <f>_xll.qlCalendarAdvance(Calendar,O834,NDays&amp;"D")</f>
        <v>45120</v>
      </c>
      <c r="Q834" s="81">
        <v>2.2748547243361672E-2</v>
      </c>
      <c r="R834" s="85">
        <v>2.2719025367390344E-2</v>
      </c>
    </row>
    <row r="835" spans="14:18" x14ac:dyDescent="0.2">
      <c r="N835" s="88" t="str">
        <f t="shared" si="18"/>
        <v>1w</v>
      </c>
      <c r="O835" s="82">
        <f>_xll.qlCalendarAdvance(Calendar,O834,N835,"f",FALSE)</f>
        <v>45125</v>
      </c>
      <c r="P835" s="92">
        <f>_xll.qlCalendarAdvance(Calendar,O835,NDays&amp;"D")</f>
        <v>45127</v>
      </c>
      <c r="Q835" s="81">
        <v>2.2752468894305655E-2</v>
      </c>
      <c r="R835" s="85">
        <v>2.2724000294100932E-2</v>
      </c>
    </row>
    <row r="836" spans="14:18" x14ac:dyDescent="0.2">
      <c r="N836" s="88" t="str">
        <f t="shared" si="18"/>
        <v>1w</v>
      </c>
      <c r="O836" s="82">
        <f>_xll.qlCalendarAdvance(Calendar,O835,N836,"f",FALSE)</f>
        <v>45132</v>
      </c>
      <c r="P836" s="92">
        <f>_xll.qlCalendarAdvance(Calendar,O836,NDays&amp;"D")</f>
        <v>45134</v>
      </c>
      <c r="Q836" s="81">
        <v>2.2755743489585589E-2</v>
      </c>
      <c r="R836" s="85">
        <v>2.2728329429231309E-2</v>
      </c>
    </row>
    <row r="837" spans="14:18" x14ac:dyDescent="0.2">
      <c r="N837" s="88" t="str">
        <f t="shared" si="18"/>
        <v>1w</v>
      </c>
      <c r="O837" s="82">
        <f>_xll.qlCalendarAdvance(Calendar,O836,N837,"f",FALSE)</f>
        <v>45139</v>
      </c>
      <c r="P837" s="92">
        <f>_xll.qlCalendarAdvance(Calendar,O837,NDays&amp;"D")</f>
        <v>45141</v>
      </c>
      <c r="Q837" s="81">
        <v>2.2758371028634428E-2</v>
      </c>
      <c r="R837" s="85">
        <v>2.2732012772781474E-2</v>
      </c>
    </row>
    <row r="838" spans="14:18" x14ac:dyDescent="0.2">
      <c r="N838" s="88" t="str">
        <f t="shared" si="18"/>
        <v>1w</v>
      </c>
      <c r="O838" s="82">
        <f>_xll.qlCalendarAdvance(Calendar,O837,N838,"f",FALSE)</f>
        <v>45146</v>
      </c>
      <c r="P838" s="92">
        <f>_xll.qlCalendarAdvance(Calendar,O838,NDays&amp;"D")</f>
        <v>45148</v>
      </c>
      <c r="Q838" s="81">
        <v>2.2760351511005028E-2</v>
      </c>
      <c r="R838" s="85">
        <v>2.2735050324831363E-2</v>
      </c>
    </row>
    <row r="839" spans="14:18" x14ac:dyDescent="0.2">
      <c r="N839" s="88" t="str">
        <f t="shared" si="18"/>
        <v>1w</v>
      </c>
      <c r="O839" s="82">
        <f>_xll.qlCalendarAdvance(Calendar,O838,N839,"f",FALSE)</f>
        <v>45153</v>
      </c>
      <c r="P839" s="92">
        <f>_xll.qlCalendarAdvance(Calendar,O839,NDays&amp;"D")</f>
        <v>45155</v>
      </c>
      <c r="Q839" s="81">
        <v>2.2761684936350168E-2</v>
      </c>
      <c r="R839" s="85">
        <v>2.2737442085221105E-2</v>
      </c>
    </row>
    <row r="840" spans="14:18" x14ac:dyDescent="0.2">
      <c r="N840" s="88" t="str">
        <f t="shared" si="18"/>
        <v>1w</v>
      </c>
      <c r="O840" s="82">
        <f>_xll.qlCalendarAdvance(Calendar,O839,N840,"f",FALSE)</f>
        <v>45160</v>
      </c>
      <c r="P840" s="92">
        <f>_xll.qlCalendarAdvance(Calendar,O840,NDays&amp;"D")</f>
        <v>45162</v>
      </c>
      <c r="Q840" s="81">
        <v>2.2762371304445028E-2</v>
      </c>
      <c r="R840" s="85">
        <v>2.2739188053950699E-2</v>
      </c>
    </row>
    <row r="841" spans="14:18" x14ac:dyDescent="0.2">
      <c r="N841" s="88" t="str">
        <f t="shared" si="18"/>
        <v>1w</v>
      </c>
      <c r="O841" s="82">
        <f>_xll.qlCalendarAdvance(Calendar,O840,N841,"f",FALSE)</f>
        <v>45167</v>
      </c>
      <c r="P841" s="92">
        <f>_xll.qlCalendarAdvance(Calendar,O841,NDays&amp;"D")</f>
        <v>45169</v>
      </c>
      <c r="Q841" s="81">
        <v>2.2760400052301611E-2</v>
      </c>
      <c r="R841" s="85">
        <v>2.2740288231180017E-2</v>
      </c>
    </row>
    <row r="842" spans="14:18" x14ac:dyDescent="0.2">
      <c r="N842" s="88" t="str">
        <f t="shared" si="18"/>
        <v>1w</v>
      </c>
      <c r="O842" s="82">
        <f>_xll.qlCalendarAdvance(Calendar,O841,N842,"f",FALSE)</f>
        <v>45174</v>
      </c>
      <c r="P842" s="92">
        <f>_xll.qlCalendarAdvance(Calendar,O842,NDays&amp;"D")</f>
        <v>45176</v>
      </c>
      <c r="Q842" s="81">
        <v>2.276194757021982E-2</v>
      </c>
      <c r="R842" s="85">
        <v>2.2740742616829124E-2</v>
      </c>
    </row>
    <row r="843" spans="14:18" x14ac:dyDescent="0.2">
      <c r="N843" s="88" t="str">
        <f t="shared" si="18"/>
        <v>1w</v>
      </c>
      <c r="O843" s="82">
        <f>_xll.qlCalendarAdvance(Calendar,O842,N843,"f",FALSE)</f>
        <v>45181</v>
      </c>
      <c r="P843" s="92">
        <f>_xll.qlCalendarAdvance(Calendar,O843,NDays&amp;"D")</f>
        <v>45183</v>
      </c>
      <c r="Q843" s="81">
        <v>2.2761258984001775E-2</v>
      </c>
      <c r="R843" s="85">
        <v>2.2740551210738147E-2</v>
      </c>
    </row>
    <row r="844" spans="14:18" x14ac:dyDescent="0.2">
      <c r="N844" s="88" t="str">
        <f t="shared" si="18"/>
        <v>1w</v>
      </c>
      <c r="O844" s="82">
        <f>_xll.qlCalendarAdvance(Calendar,O843,N844,"f",FALSE)</f>
        <v>45188</v>
      </c>
      <c r="P844" s="92">
        <f>_xll.qlCalendarAdvance(Calendar,O844,NDays&amp;"D")</f>
        <v>45190</v>
      </c>
      <c r="Q844" s="81">
        <v>2.2760646559578102E-2</v>
      </c>
      <c r="R844" s="85">
        <v>2.2739714013066958E-2</v>
      </c>
    </row>
    <row r="845" spans="14:18" x14ac:dyDescent="0.2">
      <c r="N845" s="88" t="str">
        <f t="shared" si="18"/>
        <v>1w</v>
      </c>
      <c r="O845" s="82">
        <f>_xll.qlCalendarAdvance(Calendar,O844,N845,"f",FALSE)</f>
        <v>45195</v>
      </c>
      <c r="P845" s="92">
        <f>_xll.qlCalendarAdvance(Calendar,O845,NDays&amp;"D")</f>
        <v>45197</v>
      </c>
      <c r="Q845" s="81">
        <v>2.2760408092994122E-2</v>
      </c>
      <c r="R845" s="85">
        <v>2.2738402015516357E-2</v>
      </c>
    </row>
    <row r="846" spans="14:18" x14ac:dyDescent="0.2">
      <c r="N846" s="88" t="str">
        <f t="shared" si="18"/>
        <v>1w</v>
      </c>
      <c r="O846" s="82">
        <f>_xll.qlCalendarAdvance(Calendar,O845,N846,"f",FALSE)</f>
        <v>45202</v>
      </c>
      <c r="P846" s="92">
        <f>_xll.qlCalendarAdvance(Calendar,O846,NDays&amp;"D")</f>
        <v>45204</v>
      </c>
      <c r="Q846" s="81">
        <v>2.2760810124744513E-2</v>
      </c>
      <c r="R846" s="85">
        <v>2.2737631925204838E-2</v>
      </c>
    </row>
    <row r="847" spans="14:18" x14ac:dyDescent="0.2">
      <c r="N847" s="88" t="str">
        <f t="shared" si="18"/>
        <v>1w</v>
      </c>
      <c r="O847" s="82">
        <f>_xll.qlCalendarAdvance(Calendar,O846,N847,"f",FALSE)</f>
        <v>45209</v>
      </c>
      <c r="P847" s="92">
        <f>_xll.qlCalendarAdvance(Calendar,O847,NDays&amp;"D")</f>
        <v>45211</v>
      </c>
      <c r="Q847" s="81">
        <v>2.2761926308060287E-2</v>
      </c>
      <c r="R847" s="85">
        <v>2.2737574733993071E-2</v>
      </c>
    </row>
    <row r="848" spans="14:18" x14ac:dyDescent="0.2">
      <c r="N848" s="88" t="str">
        <f t="shared" si="18"/>
        <v>1w</v>
      </c>
      <c r="O848" s="82">
        <f>_xll.qlCalendarAdvance(Calendar,O847,N848,"f",FALSE)</f>
        <v>45216</v>
      </c>
      <c r="P848" s="92">
        <f>_xll.qlCalendarAdvance(Calendar,O848,NDays&amp;"D")</f>
        <v>45218</v>
      </c>
      <c r="Q848" s="81">
        <v>2.2763756787855527E-2</v>
      </c>
      <c r="R848" s="85">
        <v>2.273823044164125E-2</v>
      </c>
    </row>
    <row r="849" spans="14:18" x14ac:dyDescent="0.2">
      <c r="N849" s="88" t="str">
        <f t="shared" si="18"/>
        <v>1w</v>
      </c>
      <c r="O849" s="82">
        <f>_xll.qlCalendarAdvance(Calendar,O848,N849,"f",FALSE)</f>
        <v>45223</v>
      </c>
      <c r="P849" s="92">
        <f>_xll.qlCalendarAdvance(Calendar,O849,NDays&amp;"D")</f>
        <v>45225</v>
      </c>
      <c r="Q849" s="81">
        <v>2.2766301564484948E-2</v>
      </c>
      <c r="R849" s="85">
        <v>2.2739599048389181E-2</v>
      </c>
    </row>
    <row r="850" spans="14:18" x14ac:dyDescent="0.2">
      <c r="N850" s="88" t="str">
        <f t="shared" si="18"/>
        <v>1w</v>
      </c>
      <c r="O850" s="82">
        <f>_xll.qlCalendarAdvance(Calendar,O849,N850,"f",FALSE)</f>
        <v>45230</v>
      </c>
      <c r="P850" s="92">
        <f>_xll.qlCalendarAdvance(Calendar,O850,NDays&amp;"D")</f>
        <v>45232</v>
      </c>
      <c r="Q850" s="81">
        <v>2.2769560638425668E-2</v>
      </c>
      <c r="R850" s="85">
        <v>2.2741680554076993E-2</v>
      </c>
    </row>
    <row r="851" spans="14:18" x14ac:dyDescent="0.2">
      <c r="N851" s="88" t="str">
        <f t="shared" si="18"/>
        <v>1w</v>
      </c>
      <c r="O851" s="82">
        <f>_xll.qlCalendarAdvance(Calendar,O850,N851,"f",FALSE)</f>
        <v>45237</v>
      </c>
      <c r="P851" s="92">
        <f>_xll.qlCalendarAdvance(Calendar,O851,NDays&amp;"D")</f>
        <v>45239</v>
      </c>
      <c r="Q851" s="81">
        <v>2.2773534010297192E-2</v>
      </c>
      <c r="R851" s="85">
        <v>2.2744474958864558E-2</v>
      </c>
    </row>
    <row r="852" spans="14:18" x14ac:dyDescent="0.2">
      <c r="N852" s="88" t="str">
        <f t="shared" si="18"/>
        <v>1w</v>
      </c>
      <c r="O852" s="82">
        <f>_xll.qlCalendarAdvance(Calendar,O851,N852,"f",FALSE)</f>
        <v>45244</v>
      </c>
      <c r="P852" s="92">
        <f>_xll.qlCalendarAdvance(Calendar,O852,NDays&amp;"D")</f>
        <v>45246</v>
      </c>
      <c r="Q852" s="81">
        <v>2.2778221680858912E-2</v>
      </c>
      <c r="R852" s="85">
        <v>2.274798226267194E-2</v>
      </c>
    </row>
    <row r="853" spans="14:18" x14ac:dyDescent="0.2">
      <c r="N853" s="88" t="str">
        <f t="shared" ref="N853:N916" si="19">N852</f>
        <v>1w</v>
      </c>
      <c r="O853" s="82">
        <f>_xll.qlCalendarAdvance(Calendar,O852,N853,"f",FALSE)</f>
        <v>45251</v>
      </c>
      <c r="P853" s="92">
        <f>_xll.qlCalendarAdvance(Calendar,O853,NDays&amp;"D")</f>
        <v>45253</v>
      </c>
      <c r="Q853" s="81">
        <v>2.2785974977356828E-2</v>
      </c>
      <c r="R853" s="85">
        <v>2.2752202465499138E-2</v>
      </c>
    </row>
    <row r="854" spans="14:18" x14ac:dyDescent="0.2">
      <c r="N854" s="88" t="str">
        <f t="shared" si="19"/>
        <v>1w</v>
      </c>
      <c r="O854" s="82">
        <f>_xll.qlCalendarAdvance(Calendar,O853,N854,"f",FALSE)</f>
        <v>45258</v>
      </c>
      <c r="P854" s="92">
        <f>_xll.qlCalendarAdvance(Calendar,O854,NDays&amp;"D")</f>
        <v>45260</v>
      </c>
      <c r="Q854" s="81">
        <v>2.2786095832960727E-2</v>
      </c>
      <c r="R854" s="85">
        <v>2.275713556742609E-2</v>
      </c>
    </row>
    <row r="855" spans="14:18" x14ac:dyDescent="0.2">
      <c r="N855" s="88" t="str">
        <f t="shared" si="19"/>
        <v>1w</v>
      </c>
      <c r="O855" s="82">
        <f>_xll.qlCalendarAdvance(Calendar,O854,N855,"f",FALSE)</f>
        <v>45265</v>
      </c>
      <c r="P855" s="92">
        <f>_xll.qlCalendarAdvance(Calendar,O855,NDays&amp;"D")</f>
        <v>45267</v>
      </c>
      <c r="Q855" s="81">
        <v>2.2796570494257595E-2</v>
      </c>
      <c r="R855" s="85">
        <v>2.2762781568532731E-2</v>
      </c>
    </row>
    <row r="856" spans="14:18" x14ac:dyDescent="0.2">
      <c r="N856" s="88" t="str">
        <f t="shared" si="19"/>
        <v>1w</v>
      </c>
      <c r="O856" s="82">
        <f>_xll.qlCalendarAdvance(Calendar,O855,N856,"f",FALSE)</f>
        <v>45272</v>
      </c>
      <c r="P856" s="92">
        <f>_xll.qlCalendarAdvance(Calendar,O856,NDays&amp;"D")</f>
        <v>45274</v>
      </c>
      <c r="Q856" s="81">
        <v>2.2804115369839395E-2</v>
      </c>
      <c r="R856" s="85">
        <v>2.2769140468739124E-2</v>
      </c>
    </row>
    <row r="857" spans="14:18" x14ac:dyDescent="0.2">
      <c r="N857" s="88" t="str">
        <f t="shared" si="19"/>
        <v>1w</v>
      </c>
      <c r="O857" s="82">
        <f>_xll.qlCalendarAdvance(Calendar,O856,N857,"f",FALSE)</f>
        <v>45279</v>
      </c>
      <c r="P857" s="92">
        <f>_xll.qlCalendarAdvance(Calendar,O857,NDays&amp;"D")</f>
        <v>45281</v>
      </c>
      <c r="Q857" s="81">
        <v>2.2812374549921743E-2</v>
      </c>
      <c r="R857" s="85">
        <v>2.2778363722899542E-2</v>
      </c>
    </row>
    <row r="858" spans="14:18" x14ac:dyDescent="0.2">
      <c r="N858" s="88" t="str">
        <f t="shared" si="19"/>
        <v>1w</v>
      </c>
      <c r="O858" s="82">
        <f>_xll.qlCalendarAdvance(Calendar,O857,N858,"f",FALSE)</f>
        <v>45287</v>
      </c>
      <c r="P858" s="92">
        <f>_xll.qlCalendarAdvance(Calendar,O858,NDays&amp;"D")</f>
        <v>45289</v>
      </c>
      <c r="Q858" s="81">
        <v>2.2824126349162525E-2</v>
      </c>
      <c r="R858" s="85">
        <v>2.2786352106933805E-2</v>
      </c>
    </row>
    <row r="859" spans="14:18" x14ac:dyDescent="0.2">
      <c r="N859" s="88" t="str">
        <f t="shared" si="19"/>
        <v>1w</v>
      </c>
      <c r="O859" s="82">
        <f>_xll.qlCalendarAdvance(Calendar,O858,N859,"f",FALSE)</f>
        <v>45294</v>
      </c>
      <c r="P859" s="92">
        <f>_xll.qlCalendarAdvance(Calendar,O859,NDays&amp;"D")</f>
        <v>45296</v>
      </c>
      <c r="Q859" s="81">
        <v>2.2830993376876375E-2</v>
      </c>
      <c r="R859" s="85">
        <v>2.2793766702990936E-2</v>
      </c>
    </row>
    <row r="860" spans="14:18" x14ac:dyDescent="0.2">
      <c r="N860" s="88" t="str">
        <f t="shared" si="19"/>
        <v>1w</v>
      </c>
      <c r="O860" s="82">
        <f>_xll.qlCalendarAdvance(Calendar,O859,N860,"f",FALSE)</f>
        <v>45301</v>
      </c>
      <c r="P860" s="92">
        <f>_xll.qlCalendarAdvance(Calendar,O860,NDays&amp;"D")</f>
        <v>45303</v>
      </c>
      <c r="Q860" s="81">
        <v>2.2841445840168693E-2</v>
      </c>
      <c r="R860" s="85">
        <v>2.2803079042930108E-2</v>
      </c>
    </row>
    <row r="861" spans="14:18" x14ac:dyDescent="0.2">
      <c r="N861" s="88" t="str">
        <f t="shared" si="19"/>
        <v>1w</v>
      </c>
      <c r="O861" s="82">
        <f>_xll.qlCalendarAdvance(Calendar,O860,N861,"f",FALSE)</f>
        <v>45308</v>
      </c>
      <c r="P861" s="92">
        <f>_xll.qlCalendarAdvance(Calendar,O861,NDays&amp;"D")</f>
        <v>45310</v>
      </c>
      <c r="Q861" s="81">
        <v>2.285261256960144E-2</v>
      </c>
      <c r="R861" s="85">
        <v>2.2813104282288776E-2</v>
      </c>
    </row>
    <row r="862" spans="14:18" x14ac:dyDescent="0.2">
      <c r="N862" s="88" t="str">
        <f t="shared" si="19"/>
        <v>1w</v>
      </c>
      <c r="O862" s="82">
        <f>_xll.qlCalendarAdvance(Calendar,O861,N862,"f",FALSE)</f>
        <v>45315</v>
      </c>
      <c r="P862" s="92">
        <f>_xll.qlCalendarAdvance(Calendar,O862,NDays&amp;"D")</f>
        <v>45317</v>
      </c>
      <c r="Q862" s="81">
        <v>2.286449356723232E-2</v>
      </c>
      <c r="R862" s="85">
        <v>2.2823842421146878E-2</v>
      </c>
    </row>
    <row r="863" spans="14:18" x14ac:dyDescent="0.2">
      <c r="N863" s="88" t="str">
        <f t="shared" si="19"/>
        <v>1w</v>
      </c>
      <c r="O863" s="82">
        <f>_xll.qlCalendarAdvance(Calendar,O862,N863,"f",FALSE)</f>
        <v>45322</v>
      </c>
      <c r="P863" s="92">
        <f>_xll.qlCalendarAdvance(Calendar,O863,NDays&amp;"D")</f>
        <v>45324</v>
      </c>
      <c r="Q863" s="81">
        <v>2.2877088835245397E-2</v>
      </c>
      <c r="R863" s="85">
        <v>2.2835293459344541E-2</v>
      </c>
    </row>
    <row r="864" spans="14:18" x14ac:dyDescent="0.2">
      <c r="N864" s="88" t="str">
        <f t="shared" si="19"/>
        <v>1w</v>
      </c>
      <c r="O864" s="82">
        <f>_xll.qlCalendarAdvance(Calendar,O863,N864,"f",FALSE)</f>
        <v>45329</v>
      </c>
      <c r="P864" s="92">
        <f>_xll.qlCalendarAdvance(Calendar,O864,NDays&amp;"D")</f>
        <v>45331</v>
      </c>
      <c r="Q864" s="81">
        <v>2.2890398375963971E-2</v>
      </c>
      <c r="R864" s="85">
        <v>2.2847457397281445E-2</v>
      </c>
    </row>
    <row r="865" spans="14:18" x14ac:dyDescent="0.2">
      <c r="N865" s="88" t="str">
        <f t="shared" si="19"/>
        <v>1w</v>
      </c>
      <c r="O865" s="82">
        <f>_xll.qlCalendarAdvance(Calendar,O864,N865,"f",FALSE)</f>
        <v>45336</v>
      </c>
      <c r="P865" s="92">
        <f>_xll.qlCalendarAdvance(Calendar,O865,NDays&amp;"D")</f>
        <v>45338</v>
      </c>
      <c r="Q865" s="81">
        <v>2.2904422191835118E-2</v>
      </c>
      <c r="R865" s="85">
        <v>2.2860334234797719E-2</v>
      </c>
    </row>
    <row r="866" spans="14:18" x14ac:dyDescent="0.2">
      <c r="N866" s="88" t="str">
        <f t="shared" si="19"/>
        <v>1w</v>
      </c>
      <c r="O866" s="82">
        <f>_xll.qlCalendarAdvance(Calendar,O865,N866,"f",FALSE)</f>
        <v>45343</v>
      </c>
      <c r="P866" s="92">
        <f>_xll.qlCalendarAdvance(Calendar,O866,NDays&amp;"D")</f>
        <v>45345</v>
      </c>
      <c r="Q866" s="81">
        <v>2.2919160285445158E-2</v>
      </c>
      <c r="R866" s="85">
        <v>2.2873923972053234E-2</v>
      </c>
    </row>
    <row r="867" spans="14:18" x14ac:dyDescent="0.2">
      <c r="N867" s="88" t="str">
        <f t="shared" si="19"/>
        <v>1w</v>
      </c>
      <c r="O867" s="82">
        <f>_xll.qlCalendarAdvance(Calendar,O866,N867,"f",FALSE)</f>
        <v>45350</v>
      </c>
      <c r="P867" s="92">
        <f>_xll.qlCalendarAdvance(Calendar,O867,NDays&amp;"D")</f>
        <v>45352</v>
      </c>
      <c r="Q867" s="81">
        <v>2.293651215687309E-2</v>
      </c>
      <c r="R867" s="85">
        <v>2.2888226609127926E-2</v>
      </c>
    </row>
    <row r="868" spans="14:18" x14ac:dyDescent="0.2">
      <c r="N868" s="88" t="str">
        <f t="shared" si="19"/>
        <v>1w</v>
      </c>
      <c r="O868" s="82">
        <f>_xll.qlCalendarAdvance(Calendar,O867,N868,"f",FALSE)</f>
        <v>45357</v>
      </c>
      <c r="P868" s="92">
        <f>_xll.qlCalendarAdvance(Calendar,O868,NDays&amp;"D")</f>
        <v>45359</v>
      </c>
      <c r="Q868" s="81">
        <v>2.2950779316864092E-2</v>
      </c>
      <c r="R868" s="85">
        <v>2.2903242146101732E-2</v>
      </c>
    </row>
    <row r="869" spans="14:18" x14ac:dyDescent="0.2">
      <c r="N869" s="88" t="str">
        <f t="shared" si="19"/>
        <v>1w</v>
      </c>
      <c r="O869" s="82">
        <f>_xll.qlCalendarAdvance(Calendar,O868,N869,"f",FALSE)</f>
        <v>45364</v>
      </c>
      <c r="P869" s="92">
        <f>_xll.qlCalendarAdvance(Calendar,O869,NDays&amp;"D")</f>
        <v>45366</v>
      </c>
      <c r="Q869" s="81">
        <v>2.2967660260498006E-2</v>
      </c>
      <c r="R869" s="85">
        <v>2.2918970583054588E-2</v>
      </c>
    </row>
    <row r="870" spans="14:18" x14ac:dyDescent="0.2">
      <c r="N870" s="88" t="str">
        <f t="shared" si="19"/>
        <v>1w</v>
      </c>
      <c r="O870" s="82">
        <f>_xll.qlCalendarAdvance(Calendar,O869,N870,"f",FALSE)</f>
        <v>45371</v>
      </c>
      <c r="P870" s="92">
        <f>_xll.qlCalendarAdvance(Calendar,O870,NDays&amp;"D")</f>
        <v>45373</v>
      </c>
      <c r="Q870" s="81">
        <v>2.2985255493510531E-2</v>
      </c>
      <c r="R870" s="85">
        <v>2.2935411920146365E-2</v>
      </c>
    </row>
    <row r="871" spans="14:18" x14ac:dyDescent="0.2">
      <c r="N871" s="88" t="str">
        <f t="shared" si="19"/>
        <v>1w</v>
      </c>
      <c r="O871" s="82">
        <f>_xll.qlCalendarAdvance(Calendar,O870,N871,"f",FALSE)</f>
        <v>45378</v>
      </c>
      <c r="P871" s="92">
        <f>_xll.qlCalendarAdvance(Calendar,O871,NDays&amp;"D")</f>
        <v>45384</v>
      </c>
      <c r="Q871" s="81">
        <v>2.3012215544396142E-2</v>
      </c>
      <c r="R871" s="85">
        <v>2.2957598308792626E-2</v>
      </c>
    </row>
    <row r="872" spans="14:18" x14ac:dyDescent="0.2">
      <c r="N872" s="88" t="str">
        <f t="shared" si="19"/>
        <v>1w</v>
      </c>
      <c r="O872" s="82">
        <f>_xll.qlCalendarAdvance(Calendar,O871,N872,"f",FALSE)</f>
        <v>45385</v>
      </c>
      <c r="P872" s="92">
        <f>_xll.qlCalendarAdvance(Calendar,O872,NDays&amp;"D")</f>
        <v>45387</v>
      </c>
      <c r="Q872" s="81">
        <v>2.3022588840783516E-2</v>
      </c>
      <c r="R872" s="85">
        <v>2.2970433294746684E-2</v>
      </c>
    </row>
    <row r="873" spans="14:18" x14ac:dyDescent="0.2">
      <c r="N873" s="88" t="str">
        <f t="shared" si="19"/>
        <v>1w</v>
      </c>
      <c r="O873" s="82">
        <f>_xll.qlCalendarAdvance(Calendar,O872,N873,"f",FALSE)</f>
        <v>45392</v>
      </c>
      <c r="P873" s="92">
        <f>_xll.qlCalendarAdvance(Calendar,O873,NDays&amp;"D")</f>
        <v>45394</v>
      </c>
      <c r="Q873" s="81">
        <v>2.3042326961915893E-2</v>
      </c>
      <c r="R873" s="85">
        <v>2.298901333257497E-2</v>
      </c>
    </row>
    <row r="874" spans="14:18" x14ac:dyDescent="0.2">
      <c r="N874" s="88" t="str">
        <f t="shared" si="19"/>
        <v>1w</v>
      </c>
      <c r="O874" s="82">
        <f>_xll.qlCalendarAdvance(Calendar,O873,N874,"f",FALSE)</f>
        <v>45399</v>
      </c>
      <c r="P874" s="92">
        <f>_xll.qlCalendarAdvance(Calendar,O874,NDays&amp;"D")</f>
        <v>45401</v>
      </c>
      <c r="Q874" s="81">
        <v>2.306504423470912E-2</v>
      </c>
      <c r="R874" s="85">
        <v>2.3008306270941858E-2</v>
      </c>
    </row>
    <row r="875" spans="14:18" x14ac:dyDescent="0.2">
      <c r="N875" s="88" t="str">
        <f t="shared" si="19"/>
        <v>1w</v>
      </c>
      <c r="O875" s="82">
        <f>_xll.qlCalendarAdvance(Calendar,O874,N875,"f",FALSE)</f>
        <v>45406</v>
      </c>
      <c r="P875" s="92">
        <f>_xll.qlCalendarAdvance(Calendar,O875,NDays&amp;"D")</f>
        <v>45408</v>
      </c>
      <c r="Q875" s="81">
        <v>2.3083946117343695E-2</v>
      </c>
      <c r="R875" s="85">
        <v>2.3030506821779539E-2</v>
      </c>
    </row>
    <row r="876" spans="14:18" x14ac:dyDescent="0.2">
      <c r="N876" s="88" t="str">
        <f t="shared" si="19"/>
        <v>1w</v>
      </c>
      <c r="O876" s="82">
        <f>_xll.qlCalendarAdvance(Calendar,O875,N876,"f",FALSE)</f>
        <v>45414</v>
      </c>
      <c r="P876" s="92">
        <f>_xll.qlCalendarAdvance(Calendar,O876,NDays&amp;"D")</f>
        <v>45418</v>
      </c>
      <c r="Q876" s="81">
        <v>2.3115423416283976E-2</v>
      </c>
      <c r="R876" s="85">
        <v>2.3054303296330403E-2</v>
      </c>
    </row>
    <row r="877" spans="14:18" x14ac:dyDescent="0.2">
      <c r="N877" s="88" t="str">
        <f t="shared" si="19"/>
        <v>1w</v>
      </c>
      <c r="O877" s="82">
        <f>_xll.qlCalendarAdvance(Calendar,O876,N877,"f",FALSE)</f>
        <v>45422</v>
      </c>
      <c r="P877" s="92">
        <f>_xll.qlCalendarAdvance(Calendar,O877,NDays&amp;"D")</f>
        <v>45426</v>
      </c>
      <c r="Q877" s="81">
        <v>2.3141654862922027E-2</v>
      </c>
      <c r="R877" s="85">
        <v>2.3076716756857962E-2</v>
      </c>
    </row>
    <row r="878" spans="14:18" x14ac:dyDescent="0.2">
      <c r="N878" s="88" t="str">
        <f t="shared" si="19"/>
        <v>1w</v>
      </c>
      <c r="O878" s="82">
        <f>_xll.qlCalendarAdvance(Calendar,O877,N878,"f",FALSE)</f>
        <v>45429</v>
      </c>
      <c r="P878" s="92">
        <f>_xll.qlCalendarAdvance(Calendar,O878,NDays&amp;"D")</f>
        <v>45434</v>
      </c>
      <c r="Q878" s="81">
        <v>2.3173848824526999E-2</v>
      </c>
      <c r="R878" s="85">
        <v>2.3107068981591539E-2</v>
      </c>
    </row>
    <row r="879" spans="14:18" x14ac:dyDescent="0.2">
      <c r="N879" s="88" t="str">
        <f t="shared" si="19"/>
        <v>1w</v>
      </c>
      <c r="O879" s="82">
        <f>_xll.qlCalendarAdvance(Calendar,O878,N879,"f",FALSE)</f>
        <v>45436</v>
      </c>
      <c r="P879" s="92">
        <f>_xll.qlCalendarAdvance(Calendar,O879,NDays&amp;"D")</f>
        <v>45440</v>
      </c>
      <c r="Q879" s="81">
        <v>2.3189804908668697E-2</v>
      </c>
      <c r="R879" s="85">
        <v>2.3122126113053199E-2</v>
      </c>
    </row>
    <row r="880" spans="14:18" x14ac:dyDescent="0.2">
      <c r="N880" s="88" t="str">
        <f t="shared" si="19"/>
        <v>1w</v>
      </c>
      <c r="O880" s="82">
        <f>_xll.qlCalendarAdvance(Calendar,O879,N880,"f",FALSE)</f>
        <v>45443</v>
      </c>
      <c r="P880" s="92">
        <f>_xll.qlCalendarAdvance(Calendar,O880,NDays&amp;"D")</f>
        <v>45447</v>
      </c>
      <c r="Q880" s="81">
        <v>2.3212346619772006E-2</v>
      </c>
      <c r="R880" s="85">
        <v>2.3145900142997888E-2</v>
      </c>
    </row>
    <row r="881" spans="14:18" x14ac:dyDescent="0.2">
      <c r="N881" s="88" t="str">
        <f t="shared" si="19"/>
        <v>1w</v>
      </c>
      <c r="O881" s="82">
        <f>_xll.qlCalendarAdvance(Calendar,O880,N881,"f",FALSE)</f>
        <v>45450</v>
      </c>
      <c r="P881" s="92">
        <f>_xll.qlCalendarAdvance(Calendar,O881,NDays&amp;"D")</f>
        <v>45454</v>
      </c>
      <c r="Q881" s="81">
        <v>2.3238154783146392E-2</v>
      </c>
      <c r="R881" s="85">
        <v>2.3170387074280541E-2</v>
      </c>
    </row>
    <row r="882" spans="14:18" x14ac:dyDescent="0.2">
      <c r="N882" s="88" t="str">
        <f t="shared" si="19"/>
        <v>1w</v>
      </c>
      <c r="O882" s="82">
        <f>_xll.qlCalendarAdvance(Calendar,O881,N882,"f",FALSE)</f>
        <v>45457</v>
      </c>
      <c r="P882" s="92">
        <f>_xll.qlCalendarAdvance(Calendar,O882,NDays&amp;"D")</f>
        <v>45461</v>
      </c>
      <c r="Q882" s="81">
        <v>2.3264677237898823E-2</v>
      </c>
      <c r="R882" s="85">
        <v>2.3203331688017581E-2</v>
      </c>
    </row>
    <row r="883" spans="14:18" x14ac:dyDescent="0.2">
      <c r="N883" s="88" t="str">
        <f t="shared" si="19"/>
        <v>1w</v>
      </c>
      <c r="O883" s="82">
        <f>_xll.qlCalendarAdvance(Calendar,O882,N883,"f",FALSE)</f>
        <v>45467</v>
      </c>
      <c r="P883" s="92">
        <f>_xll.qlCalendarAdvance(Calendar,O883,NDays&amp;"D")</f>
        <v>45469</v>
      </c>
      <c r="Q883" s="81">
        <v>2.3295863263330219E-2</v>
      </c>
      <c r="R883" s="85">
        <v>2.3230537959646469E-2</v>
      </c>
    </row>
    <row r="884" spans="14:18" x14ac:dyDescent="0.2">
      <c r="N884" s="88" t="str">
        <f t="shared" si="19"/>
        <v>1w</v>
      </c>
      <c r="O884" s="82">
        <f>_xll.qlCalendarAdvance(Calendar,O883,N884,"f",FALSE)</f>
        <v>45474</v>
      </c>
      <c r="P884" s="92">
        <f>_xll.qlCalendarAdvance(Calendar,O884,NDays&amp;"D")</f>
        <v>45476</v>
      </c>
      <c r="Q884" s="81">
        <v>2.3332402032430529E-2</v>
      </c>
      <c r="R884" s="85">
        <v>2.3257370746891937E-2</v>
      </c>
    </row>
    <row r="885" spans="14:18" x14ac:dyDescent="0.2">
      <c r="N885" s="88" t="str">
        <f t="shared" si="19"/>
        <v>1w</v>
      </c>
      <c r="O885" s="82">
        <f>_xll.qlCalendarAdvance(Calendar,O884,N885,"f",FALSE)</f>
        <v>45481</v>
      </c>
      <c r="P885" s="92">
        <f>_xll.qlCalendarAdvance(Calendar,O885,NDays&amp;"D")</f>
        <v>45483</v>
      </c>
      <c r="Q885" s="81">
        <v>2.3361328122172186E-2</v>
      </c>
      <c r="R885" s="85">
        <v>2.328491653241116E-2</v>
      </c>
    </row>
    <row r="886" spans="14:18" x14ac:dyDescent="0.2">
      <c r="N886" s="88" t="str">
        <f t="shared" si="19"/>
        <v>1w</v>
      </c>
      <c r="O886" s="82">
        <f>_xll.qlCalendarAdvance(Calendar,O885,N886,"f",FALSE)</f>
        <v>45488</v>
      </c>
      <c r="P886" s="92">
        <f>_xll.qlCalendarAdvance(Calendar,O886,NDays&amp;"D")</f>
        <v>45490</v>
      </c>
      <c r="Q886" s="81">
        <v>2.3390968670878563E-2</v>
      </c>
      <c r="R886" s="85">
        <v>2.3313175316710399E-2</v>
      </c>
    </row>
    <row r="887" spans="14:18" x14ac:dyDescent="0.2">
      <c r="N887" s="88" t="str">
        <f t="shared" si="19"/>
        <v>1w</v>
      </c>
      <c r="O887" s="82">
        <f>_xll.qlCalendarAdvance(Calendar,O886,N887,"f",FALSE)</f>
        <v>45495</v>
      </c>
      <c r="P887" s="92">
        <f>_xll.qlCalendarAdvance(Calendar,O887,NDays&amp;"D")</f>
        <v>45497</v>
      </c>
      <c r="Q887" s="81">
        <v>2.3421323684363188E-2</v>
      </c>
      <c r="R887" s="85">
        <v>2.3342147100295918E-2</v>
      </c>
    </row>
    <row r="888" spans="14:18" x14ac:dyDescent="0.2">
      <c r="N888" s="88" t="str">
        <f t="shared" si="19"/>
        <v>1w</v>
      </c>
      <c r="O888" s="82">
        <f>_xll.qlCalendarAdvance(Calendar,O887,N888,"f",FALSE)</f>
        <v>45502</v>
      </c>
      <c r="P888" s="92">
        <f>_xll.qlCalendarAdvance(Calendar,O888,NDays&amp;"D")</f>
        <v>45504</v>
      </c>
      <c r="Q888" s="81">
        <v>2.3443271857882308E-2</v>
      </c>
      <c r="R888" s="85">
        <v>2.3371831883700622E-2</v>
      </c>
    </row>
    <row r="889" spans="14:18" x14ac:dyDescent="0.2">
      <c r="N889" s="88" t="str">
        <f t="shared" si="19"/>
        <v>1w</v>
      </c>
      <c r="O889" s="82">
        <f>_xll.qlCalendarAdvance(Calendar,O888,N889,"f",FALSE)</f>
        <v>45509</v>
      </c>
      <c r="P889" s="92">
        <f>_xll.qlCalendarAdvance(Calendar,O889,NDays&amp;"D")</f>
        <v>45511</v>
      </c>
      <c r="Q889" s="81">
        <v>2.348417712960682E-2</v>
      </c>
      <c r="R889" s="85">
        <v>2.3402229667430774E-2</v>
      </c>
    </row>
    <row r="890" spans="14:18" x14ac:dyDescent="0.2">
      <c r="N890" s="88" t="str">
        <f t="shared" si="19"/>
        <v>1w</v>
      </c>
      <c r="O890" s="82">
        <f>_xll.qlCalendarAdvance(Calendar,O889,N890,"f",FALSE)</f>
        <v>45516</v>
      </c>
      <c r="P890" s="92">
        <f>_xll.qlCalendarAdvance(Calendar,O890,NDays&amp;"D")</f>
        <v>45518</v>
      </c>
      <c r="Q890" s="81">
        <v>2.3516675573688094E-2</v>
      </c>
      <c r="R890" s="85">
        <v>2.343334045201928E-2</v>
      </c>
    </row>
    <row r="891" spans="14:18" x14ac:dyDescent="0.2">
      <c r="N891" s="88" t="str">
        <f t="shared" si="19"/>
        <v>1w</v>
      </c>
      <c r="O891" s="82">
        <f>_xll.qlCalendarAdvance(Calendar,O890,N891,"f",FALSE)</f>
        <v>45523</v>
      </c>
      <c r="P891" s="92">
        <f>_xll.qlCalendarAdvance(Calendar,O891,NDays&amp;"D")</f>
        <v>45525</v>
      </c>
      <c r="Q891" s="81">
        <v>2.3549888507192147E-2</v>
      </c>
      <c r="R891" s="85">
        <v>2.3465164238052338E-2</v>
      </c>
    </row>
    <row r="892" spans="14:18" x14ac:dyDescent="0.2">
      <c r="N892" s="88" t="str">
        <f t="shared" si="19"/>
        <v>1w</v>
      </c>
      <c r="O892" s="82">
        <f>_xll.qlCalendarAdvance(Calendar,O891,N892,"f",FALSE)</f>
        <v>45530</v>
      </c>
      <c r="P892" s="92">
        <f>_xll.qlCalendarAdvance(Calendar,O892,NDays&amp;"D")</f>
        <v>45532</v>
      </c>
      <c r="Q892" s="81">
        <v>2.358381593662771E-2</v>
      </c>
      <c r="R892" s="85">
        <v>2.3497701026062856E-2</v>
      </c>
    </row>
    <row r="893" spans="14:18" x14ac:dyDescent="0.2">
      <c r="N893" s="88" t="str">
        <f t="shared" si="19"/>
        <v>1w</v>
      </c>
      <c r="O893" s="82">
        <f>_xll.qlCalendarAdvance(Calendar,O892,N893,"f",FALSE)</f>
        <v>45537</v>
      </c>
      <c r="P893" s="92">
        <f>_xll.qlCalendarAdvance(Calendar,O893,NDays&amp;"D")</f>
        <v>45539</v>
      </c>
      <c r="Q893" s="81">
        <v>2.3608529808347711E-2</v>
      </c>
      <c r="R893" s="85">
        <v>2.3530950816663676E-2</v>
      </c>
    </row>
    <row r="894" spans="14:18" x14ac:dyDescent="0.2">
      <c r="N894" s="88" t="str">
        <f t="shared" si="19"/>
        <v>1w</v>
      </c>
      <c r="O894" s="82">
        <f>_xll.qlCalendarAdvance(Calendar,O893,N894,"f",FALSE)</f>
        <v>45544</v>
      </c>
      <c r="P894" s="92">
        <f>_xll.qlCalendarAdvance(Calendar,O894,NDays&amp;"D")</f>
        <v>45546</v>
      </c>
      <c r="Q894" s="81">
        <v>2.3643551038069255E-2</v>
      </c>
      <c r="R894" s="85">
        <v>2.3564913610440996E-2</v>
      </c>
    </row>
    <row r="895" spans="14:18" x14ac:dyDescent="0.2">
      <c r="N895" s="88" t="str">
        <f t="shared" si="19"/>
        <v>1w</v>
      </c>
      <c r="O895" s="82">
        <f>_xll.qlCalendarAdvance(Calendar,O894,N895,"f",FALSE)</f>
        <v>45551</v>
      </c>
      <c r="P895" s="92">
        <f>_xll.qlCalendarAdvance(Calendar,O895,NDays&amp;"D")</f>
        <v>45553</v>
      </c>
      <c r="Q895" s="81">
        <v>2.3678839489526204E-2</v>
      </c>
      <c r="R895" s="85">
        <v>2.3599589407981014E-2</v>
      </c>
    </row>
    <row r="896" spans="14:18" x14ac:dyDescent="0.2">
      <c r="N896" s="88" t="str">
        <f t="shared" si="19"/>
        <v>1w</v>
      </c>
      <c r="O896" s="82">
        <f>_xll.qlCalendarAdvance(Calendar,O895,N896,"f",FALSE)</f>
        <v>45558</v>
      </c>
      <c r="P896" s="92">
        <f>_xll.qlCalendarAdvance(Calendar,O896,NDays&amp;"D")</f>
        <v>45560</v>
      </c>
      <c r="Q896" s="81">
        <v>2.3714110620051798E-2</v>
      </c>
      <c r="R896" s="85">
        <v>2.3634978209923219E-2</v>
      </c>
    </row>
    <row r="897" spans="14:18" x14ac:dyDescent="0.2">
      <c r="N897" s="88" t="str">
        <f t="shared" si="19"/>
        <v>1w</v>
      </c>
      <c r="O897" s="82">
        <f>_xll.qlCalendarAdvance(Calendar,O896,N897,"f",FALSE)</f>
        <v>45565</v>
      </c>
      <c r="P897" s="92">
        <f>_xll.qlCalendarAdvance(Calendar,O897,NDays&amp;"D")</f>
        <v>45567</v>
      </c>
      <c r="Q897" s="81">
        <v>2.3758781569717419E-2</v>
      </c>
      <c r="R897" s="85">
        <v>2.3670694948290105E-2</v>
      </c>
    </row>
    <row r="898" spans="14:18" x14ac:dyDescent="0.2">
      <c r="N898" s="88" t="str">
        <f t="shared" si="19"/>
        <v>1w</v>
      </c>
      <c r="O898" s="82">
        <f>_xll.qlCalendarAdvance(Calendar,O897,N898,"f",FALSE)</f>
        <v>45572</v>
      </c>
      <c r="P898" s="92">
        <f>_xll.qlCalendarAdvance(Calendar,O898,NDays&amp;"D")</f>
        <v>45574</v>
      </c>
      <c r="Q898" s="81">
        <v>2.3793162668945621E-2</v>
      </c>
      <c r="R898" s="85">
        <v>2.3705944642840038E-2</v>
      </c>
    </row>
    <row r="899" spans="14:18" x14ac:dyDescent="0.2">
      <c r="N899" s="88" t="str">
        <f t="shared" si="19"/>
        <v>1w</v>
      </c>
      <c r="O899" s="82">
        <f>_xll.qlCalendarAdvance(Calendar,O898,N899,"f",FALSE)</f>
        <v>45579</v>
      </c>
      <c r="P899" s="92">
        <f>_xll.qlCalendarAdvance(Calendar,O899,NDays&amp;"D")</f>
        <v>45581</v>
      </c>
      <c r="Q899" s="81">
        <v>2.3827038555448838E-2</v>
      </c>
      <c r="R899" s="85">
        <v>2.3740690028422051E-2</v>
      </c>
    </row>
    <row r="900" spans="14:18" x14ac:dyDescent="0.2">
      <c r="N900" s="88" t="str">
        <f t="shared" si="19"/>
        <v>1w</v>
      </c>
      <c r="O900" s="82">
        <f>_xll.qlCalendarAdvance(Calendar,O899,N900,"f",FALSE)</f>
        <v>45586</v>
      </c>
      <c r="P900" s="92">
        <f>_xll.qlCalendarAdvance(Calendar,O900,NDays&amp;"D")</f>
        <v>45588</v>
      </c>
      <c r="Q900" s="81">
        <v>2.386040922452537E-2</v>
      </c>
      <c r="R900" s="85">
        <v>2.3774931104663111E-2</v>
      </c>
    </row>
    <row r="901" spans="14:18" x14ac:dyDescent="0.2">
      <c r="N901" s="88" t="str">
        <f t="shared" si="19"/>
        <v>1w</v>
      </c>
      <c r="O901" s="82">
        <f>_xll.qlCalendarAdvance(Calendar,O900,N901,"f",FALSE)</f>
        <v>45593</v>
      </c>
      <c r="P901" s="92">
        <f>_xll.qlCalendarAdvance(Calendar,O901,NDays&amp;"D")</f>
        <v>45595</v>
      </c>
      <c r="Q901" s="81">
        <v>2.3883980385868142E-2</v>
      </c>
      <c r="R901" s="85">
        <v>2.3808667871056954E-2</v>
      </c>
    </row>
    <row r="902" spans="14:18" x14ac:dyDescent="0.2">
      <c r="N902" s="88" t="str">
        <f t="shared" si="19"/>
        <v>1w</v>
      </c>
      <c r="O902" s="82">
        <f>_xll.qlCalendarAdvance(Calendar,O901,N902,"f",FALSE)</f>
        <v>45600</v>
      </c>
      <c r="P902" s="92">
        <f>_xll.qlCalendarAdvance(Calendar,O902,NDays&amp;"D")</f>
        <v>45602</v>
      </c>
      <c r="Q902" s="81">
        <v>2.3916442410131467E-2</v>
      </c>
      <c r="R902" s="85">
        <v>2.3841900327203902E-2</v>
      </c>
    </row>
    <row r="903" spans="14:18" x14ac:dyDescent="0.2">
      <c r="N903" s="88" t="str">
        <f t="shared" si="19"/>
        <v>1w</v>
      </c>
      <c r="O903" s="82">
        <f>_xll.qlCalendarAdvance(Calendar,O902,N903,"f",FALSE)</f>
        <v>45607</v>
      </c>
      <c r="P903" s="92">
        <f>_xll.qlCalendarAdvance(Calendar,O903,NDays&amp;"D")</f>
        <v>45609</v>
      </c>
      <c r="Q903" s="81">
        <v>2.3948399296207512E-2</v>
      </c>
      <c r="R903" s="85">
        <v>2.3874628472704273E-2</v>
      </c>
    </row>
    <row r="904" spans="14:18" x14ac:dyDescent="0.2">
      <c r="N904" s="88" t="str">
        <f t="shared" si="19"/>
        <v>1w</v>
      </c>
      <c r="O904" s="82">
        <f>_xll.qlCalendarAdvance(Calendar,O903,N904,"f",FALSE)</f>
        <v>45614</v>
      </c>
      <c r="P904" s="92">
        <f>_xll.qlCalendarAdvance(Calendar,O904,NDays&amp;"D")</f>
        <v>45616</v>
      </c>
      <c r="Q904" s="81">
        <v>2.3979851040067501E-2</v>
      </c>
      <c r="R904" s="85">
        <v>2.3906852307105098E-2</v>
      </c>
    </row>
    <row r="905" spans="14:18" x14ac:dyDescent="0.2">
      <c r="N905" s="88" t="str">
        <f t="shared" si="19"/>
        <v>1w</v>
      </c>
      <c r="O905" s="82">
        <f>_xll.qlCalendarAdvance(Calendar,O904,N905,"f",FALSE)</f>
        <v>45621</v>
      </c>
      <c r="P905" s="92">
        <f>_xll.qlCalendarAdvance(Calendar,O905,NDays&amp;"D")</f>
        <v>45623</v>
      </c>
      <c r="Q905" s="81">
        <v>2.401079763774927E-2</v>
      </c>
      <c r="R905" s="85">
        <v>2.3938571830059985E-2</v>
      </c>
    </row>
    <row r="906" spans="14:18" x14ac:dyDescent="0.2">
      <c r="N906" s="88" t="str">
        <f t="shared" si="19"/>
        <v>1w</v>
      </c>
      <c r="O906" s="82">
        <f>_xll.qlCalendarAdvance(Calendar,O905,N906,"f",FALSE)</f>
        <v>45628</v>
      </c>
      <c r="P906" s="92">
        <f>_xll.qlCalendarAdvance(Calendar,O906,NDays&amp;"D")</f>
        <v>45630</v>
      </c>
      <c r="Q906" s="81">
        <v>2.4052945293981682E-2</v>
      </c>
      <c r="R906" s="85">
        <v>2.3969787041089319E-2</v>
      </c>
    </row>
    <row r="907" spans="14:18" x14ac:dyDescent="0.2">
      <c r="N907" s="88" t="str">
        <f t="shared" si="19"/>
        <v>1w</v>
      </c>
      <c r="O907" s="82">
        <f>_xll.qlCalendarAdvance(Calendar,O906,N907,"f",FALSE)</f>
        <v>45635</v>
      </c>
      <c r="P907" s="92">
        <f>_xll.qlCalendarAdvance(Calendar,O907,NDays&amp;"D")</f>
        <v>45637</v>
      </c>
      <c r="Q907" s="81">
        <v>2.4079857440371718E-2</v>
      </c>
      <c r="R907" s="85">
        <v>2.4000497939873355E-2</v>
      </c>
    </row>
    <row r="908" spans="14:18" x14ac:dyDescent="0.2">
      <c r="N908" s="88" t="str">
        <f t="shared" si="19"/>
        <v>1w</v>
      </c>
      <c r="O908" s="82">
        <f>_xll.qlCalendarAdvance(Calendar,O907,N908,"f",FALSE)</f>
        <v>45642</v>
      </c>
      <c r="P908" s="92">
        <f>_xll.qlCalendarAdvance(Calendar,O908,NDays&amp;"D")</f>
        <v>45644</v>
      </c>
      <c r="Q908" s="81">
        <v>2.4109186209377853E-2</v>
      </c>
      <c r="R908" s="85">
        <v>2.4030704525985769E-2</v>
      </c>
    </row>
    <row r="909" spans="14:18" x14ac:dyDescent="0.2">
      <c r="N909" s="88" t="str">
        <f t="shared" si="19"/>
        <v>1w</v>
      </c>
      <c r="O909" s="82">
        <f>_xll.qlCalendarAdvance(Calendar,O908,N909,"f",FALSE)</f>
        <v>45649</v>
      </c>
      <c r="P909" s="92">
        <f>_xll.qlCalendarAdvance(Calendar,O909,NDays&amp;"D")</f>
        <v>45656</v>
      </c>
      <c r="Q909" s="81">
        <v>2.4155490407134772E-2</v>
      </c>
      <c r="R909" s="85">
        <v>2.4092474114543183E-2</v>
      </c>
    </row>
    <row r="910" spans="14:18" x14ac:dyDescent="0.2">
      <c r="N910" s="88" t="str">
        <f t="shared" si="19"/>
        <v>1w</v>
      </c>
      <c r="O910" s="82">
        <f>_xll.qlCalendarAdvance(Calendar,O909,N910,"f",FALSE)</f>
        <v>45656</v>
      </c>
      <c r="P910" s="92">
        <f>_xll.qlCalendarAdvance(Calendar,O910,NDays&amp;"D")</f>
        <v>45660</v>
      </c>
      <c r="Q910" s="81">
        <v>2.4168765665715814E-2</v>
      </c>
      <c r="R910" s="85">
        <v>2.4104452317912362E-2</v>
      </c>
    </row>
    <row r="911" spans="14:18" x14ac:dyDescent="0.2">
      <c r="N911" s="88" t="str">
        <f t="shared" si="19"/>
        <v>1w</v>
      </c>
      <c r="O911" s="82">
        <f>_xll.qlCalendarAdvance(Calendar,O910,N911,"f",FALSE)</f>
        <v>45664</v>
      </c>
      <c r="P911" s="92">
        <f>_xll.qlCalendarAdvance(Calendar,O911,NDays&amp;"D")</f>
        <v>45666</v>
      </c>
      <c r="Q911" s="81">
        <v>2.4195323689572279E-2</v>
      </c>
      <c r="R911" s="85">
        <v>2.4124790672592766E-2</v>
      </c>
    </row>
    <row r="912" spans="14:18" x14ac:dyDescent="0.2">
      <c r="N912" s="88" t="str">
        <f t="shared" si="19"/>
        <v>1w</v>
      </c>
      <c r="O912" s="82">
        <f>_xll.qlCalendarAdvance(Calendar,O911,N912,"f",FALSE)</f>
        <v>45671</v>
      </c>
      <c r="P912" s="92">
        <f>_xll.qlCalendarAdvance(Calendar,O912,NDays&amp;"D")</f>
        <v>45673</v>
      </c>
      <c r="Q912" s="81">
        <v>2.4222593486123156E-2</v>
      </c>
      <c r="R912" s="85">
        <v>2.4152832153889747E-2</v>
      </c>
    </row>
    <row r="913" spans="14:18" x14ac:dyDescent="0.2">
      <c r="N913" s="88" t="str">
        <f t="shared" si="19"/>
        <v>1w</v>
      </c>
      <c r="O913" s="82">
        <f>_xll.qlCalendarAdvance(Calendar,O912,N913,"f",FALSE)</f>
        <v>45678</v>
      </c>
      <c r="P913" s="92">
        <f>_xll.qlCalendarAdvance(Calendar,O913,NDays&amp;"D")</f>
        <v>45680</v>
      </c>
      <c r="Q913" s="81">
        <v>2.4249358042234548E-2</v>
      </c>
      <c r="R913" s="85">
        <v>2.4180369383985933E-2</v>
      </c>
    </row>
    <row r="914" spans="14:18" x14ac:dyDescent="0.2">
      <c r="N914" s="88" t="str">
        <f t="shared" si="19"/>
        <v>1w</v>
      </c>
      <c r="O914" s="82">
        <f>_xll.qlCalendarAdvance(Calendar,O913,N914,"f",FALSE)</f>
        <v>45685</v>
      </c>
      <c r="P914" s="92">
        <f>_xll.qlCalendarAdvance(Calendar,O914,NDays&amp;"D")</f>
        <v>45687</v>
      </c>
      <c r="Q914" s="81">
        <v>2.4267659126267167E-2</v>
      </c>
      <c r="R914" s="85">
        <v>2.4207402362641517E-2</v>
      </c>
    </row>
    <row r="915" spans="14:18" x14ac:dyDescent="0.2">
      <c r="N915" s="88" t="str">
        <f t="shared" si="19"/>
        <v>1w</v>
      </c>
      <c r="O915" s="82">
        <f>_xll.qlCalendarAdvance(Calendar,O914,N915,"f",FALSE)</f>
        <v>45692</v>
      </c>
      <c r="P915" s="92">
        <f>_xll.qlCalendarAdvance(Calendar,O915,NDays&amp;"D")</f>
        <v>45694</v>
      </c>
      <c r="Q915" s="81">
        <v>2.4290891521656324E-2</v>
      </c>
      <c r="R915" s="85">
        <v>2.4233931089936434E-2</v>
      </c>
    </row>
    <row r="916" spans="14:18" x14ac:dyDescent="0.2">
      <c r="N916" s="88" t="str">
        <f t="shared" si="19"/>
        <v>1w</v>
      </c>
      <c r="O916" s="82">
        <f>_xll.qlCalendarAdvance(Calendar,O915,N916,"f",FALSE)</f>
        <v>45699</v>
      </c>
      <c r="P916" s="92">
        <f>_xll.qlCalendarAdvance(Calendar,O916,NDays&amp;"D")</f>
        <v>45701</v>
      </c>
      <c r="Q916" s="81">
        <v>2.4316277843366825E-2</v>
      </c>
      <c r="R916" s="85">
        <v>2.4259955565550939E-2</v>
      </c>
    </row>
    <row r="917" spans="14:18" x14ac:dyDescent="0.2">
      <c r="N917" s="88" t="str">
        <f t="shared" ref="N917:N980" si="20">N916</f>
        <v>1w</v>
      </c>
      <c r="O917" s="82">
        <f>_xll.qlCalendarAdvance(Calendar,O916,N917,"f",FALSE)</f>
        <v>45706</v>
      </c>
      <c r="P917" s="92">
        <f>_xll.qlCalendarAdvance(Calendar,O917,NDays&amp;"D")</f>
        <v>45708</v>
      </c>
      <c r="Q917" s="81">
        <v>2.4341159040963359E-2</v>
      </c>
      <c r="R917" s="85">
        <v>2.428547578956497E-2</v>
      </c>
    </row>
    <row r="918" spans="14:18" x14ac:dyDescent="0.2">
      <c r="N918" s="88" t="str">
        <f t="shared" si="20"/>
        <v>1w</v>
      </c>
      <c r="O918" s="82">
        <f>_xll.qlCalendarAdvance(Calendar,O917,N918,"f",FALSE)</f>
        <v>45713</v>
      </c>
      <c r="P918" s="92">
        <f>_xll.qlCalendarAdvance(Calendar,O918,NDays&amp;"D")</f>
        <v>45715</v>
      </c>
      <c r="Q918" s="81">
        <v>2.43655351115197E-2</v>
      </c>
      <c r="R918" s="85">
        <v>2.4310491761818653E-2</v>
      </c>
    </row>
    <row r="919" spans="14:18" x14ac:dyDescent="0.2">
      <c r="N919" s="88" t="str">
        <f t="shared" si="20"/>
        <v>1w</v>
      </c>
      <c r="O919" s="82">
        <f>_xll.qlCalendarAdvance(Calendar,O918,N919,"f",FALSE)</f>
        <v>45720</v>
      </c>
      <c r="P919" s="92">
        <f>_xll.qlCalendarAdvance(Calendar,O919,NDays&amp;"D")</f>
        <v>45722</v>
      </c>
      <c r="Q919" s="81">
        <v>2.4399335132836153E-2</v>
      </c>
      <c r="R919" s="85">
        <v>2.4335003482072182E-2</v>
      </c>
    </row>
    <row r="920" spans="14:18" x14ac:dyDescent="0.2">
      <c r="N920" s="88" t="str">
        <f t="shared" si="20"/>
        <v>1w</v>
      </c>
      <c r="O920" s="82">
        <f>_xll.qlCalendarAdvance(Calendar,O919,N920,"f",FALSE)</f>
        <v>45727</v>
      </c>
      <c r="P920" s="92">
        <f>_xll.qlCalendarAdvance(Calendar,O920,NDays&amp;"D")</f>
        <v>45729</v>
      </c>
      <c r="Q920" s="81">
        <v>2.4422562908891221E-2</v>
      </c>
      <c r="R920" s="85">
        <v>2.4359010950405491E-2</v>
      </c>
    </row>
    <row r="921" spans="14:18" x14ac:dyDescent="0.2">
      <c r="N921" s="88" t="str">
        <f t="shared" si="20"/>
        <v>1w</v>
      </c>
      <c r="O921" s="82">
        <f>_xll.qlCalendarAdvance(Calendar,O920,N921,"f",FALSE)</f>
        <v>45734</v>
      </c>
      <c r="P921" s="92">
        <f>_xll.qlCalendarAdvance(Calendar,O921,NDays&amp;"D")</f>
        <v>45736</v>
      </c>
      <c r="Q921" s="81">
        <v>2.4447690676062776E-2</v>
      </c>
      <c r="R921" s="85">
        <v>2.4382514166658709E-2</v>
      </c>
    </row>
    <row r="922" spans="14:18" x14ac:dyDescent="0.2">
      <c r="N922" s="88" t="str">
        <f t="shared" si="20"/>
        <v>1w</v>
      </c>
      <c r="O922" s="82">
        <f>_xll.qlCalendarAdvance(Calendar,O921,N922,"f",FALSE)</f>
        <v>45741</v>
      </c>
      <c r="P922" s="92">
        <f>_xll.qlCalendarAdvance(Calendar,O922,NDays&amp;"D")</f>
        <v>45743</v>
      </c>
      <c r="Q922" s="81">
        <v>2.4467502655959872E-2</v>
      </c>
      <c r="R922" s="85">
        <v>2.4405513130671963E-2</v>
      </c>
    </row>
    <row r="923" spans="14:18" x14ac:dyDescent="0.2">
      <c r="N923" s="88" t="str">
        <f t="shared" si="20"/>
        <v>1w</v>
      </c>
      <c r="O923" s="82">
        <f>_xll.qlCalendarAdvance(Calendar,O922,N923,"f",FALSE)</f>
        <v>45748</v>
      </c>
      <c r="P923" s="92">
        <f>_xll.qlCalendarAdvance(Calendar,O923,NDays&amp;"D")</f>
        <v>45750</v>
      </c>
      <c r="Q923" s="81">
        <v>2.4489214620930788E-2</v>
      </c>
      <c r="R923" s="85">
        <v>2.4428007842445254E-2</v>
      </c>
    </row>
    <row r="924" spans="14:18" x14ac:dyDescent="0.2">
      <c r="N924" s="88" t="str">
        <f t="shared" si="20"/>
        <v>1w</v>
      </c>
      <c r="O924" s="82">
        <f>_xll.qlCalendarAdvance(Calendar,O923,N924,"f",FALSE)</f>
        <v>45755</v>
      </c>
      <c r="P924" s="92">
        <f>_xll.qlCalendarAdvance(Calendar,O924,NDays&amp;"D")</f>
        <v>45757</v>
      </c>
      <c r="Q924" s="81">
        <v>2.4510421309610897E-2</v>
      </c>
      <c r="R924" s="85">
        <v>2.4449998301818709E-2</v>
      </c>
    </row>
    <row r="925" spans="14:18" x14ac:dyDescent="0.2">
      <c r="N925" s="88" t="str">
        <f t="shared" si="20"/>
        <v>1w</v>
      </c>
      <c r="O925" s="82">
        <f>_xll.qlCalendarAdvance(Calendar,O924,N925,"f",FALSE)</f>
        <v>45762</v>
      </c>
      <c r="P925" s="92">
        <f>_xll.qlCalendarAdvance(Calendar,O925,NDays&amp;"D")</f>
        <v>45764</v>
      </c>
      <c r="Q925" s="81">
        <v>2.4531122719149978E-2</v>
      </c>
      <c r="R925" s="85">
        <v>2.4477530807054393E-2</v>
      </c>
    </row>
    <row r="926" spans="14:18" x14ac:dyDescent="0.2">
      <c r="N926" s="88" t="str">
        <f t="shared" si="20"/>
        <v>1w</v>
      </c>
      <c r="O926" s="82">
        <f>_xll.qlCalendarAdvance(Calendar,O925,N926,"f",FALSE)</f>
        <v>45769</v>
      </c>
      <c r="P926" s="92">
        <f>_xll.qlCalendarAdvance(Calendar,O926,NDays&amp;"D")</f>
        <v>45771</v>
      </c>
      <c r="Q926" s="81">
        <v>2.455131884676276E-2</v>
      </c>
      <c r="R926" s="85">
        <v>2.4492466462966433E-2</v>
      </c>
    </row>
    <row r="927" spans="14:18" x14ac:dyDescent="0.2">
      <c r="N927" s="88" t="str">
        <f t="shared" si="20"/>
        <v>1w</v>
      </c>
      <c r="O927" s="82">
        <f>_xll.qlCalendarAdvance(Calendar,O926,N927,"f",FALSE)</f>
        <v>45776</v>
      </c>
      <c r="P927" s="92">
        <f>_xll.qlCalendarAdvance(Calendar,O927,NDays&amp;"D")</f>
        <v>45779</v>
      </c>
      <c r="Q927" s="81">
        <v>2.457158592660004E-2</v>
      </c>
      <c r="R927" s="85">
        <v>2.4515828387041694E-2</v>
      </c>
    </row>
    <row r="928" spans="14:18" x14ac:dyDescent="0.2">
      <c r="N928" s="88" t="str">
        <f t="shared" si="20"/>
        <v>1w</v>
      </c>
      <c r="O928" s="82">
        <f>_xll.qlCalendarAdvance(Calendar,O927,N928,"f",FALSE)</f>
        <v>45783</v>
      </c>
      <c r="P928" s="92">
        <f>_xll.qlCalendarAdvance(Calendar,O928,NDays&amp;"D")</f>
        <v>45785</v>
      </c>
      <c r="Q928" s="81">
        <v>2.4592357705298766E-2</v>
      </c>
      <c r="R928" s="85">
        <v>2.4532917613555583E-2</v>
      </c>
    </row>
    <row r="929" spans="14:18" x14ac:dyDescent="0.2">
      <c r="N929" s="88" t="str">
        <f t="shared" si="20"/>
        <v>1w</v>
      </c>
      <c r="O929" s="82">
        <f>_xll.qlCalendarAdvance(Calendar,O928,N929,"f",FALSE)</f>
        <v>45790</v>
      </c>
      <c r="P929" s="92">
        <f>_xll.qlCalendarAdvance(Calendar,O929,NDays&amp;"D")</f>
        <v>45792</v>
      </c>
      <c r="Q929" s="81">
        <v>2.4608875511229755E-2</v>
      </c>
      <c r="R929" s="85">
        <v>2.4552386809650883E-2</v>
      </c>
    </row>
    <row r="930" spans="14:18" x14ac:dyDescent="0.2">
      <c r="N930" s="88" t="str">
        <f t="shared" si="20"/>
        <v>1w</v>
      </c>
      <c r="O930" s="82">
        <f>_xll.qlCalendarAdvance(Calendar,O929,N930,"f",FALSE)</f>
        <v>45797</v>
      </c>
      <c r="P930" s="92">
        <f>_xll.qlCalendarAdvance(Calendar,O930,NDays&amp;"D")</f>
        <v>45799</v>
      </c>
      <c r="Q930" s="81">
        <v>2.4627050484666013E-2</v>
      </c>
      <c r="R930" s="85">
        <v>2.4571351752786796E-2</v>
      </c>
    </row>
    <row r="931" spans="14:18" x14ac:dyDescent="0.2">
      <c r="N931" s="88" t="str">
        <f t="shared" si="20"/>
        <v>1w</v>
      </c>
      <c r="O931" s="82">
        <f>_xll.qlCalendarAdvance(Calendar,O930,N931,"f",FALSE)</f>
        <v>45804</v>
      </c>
      <c r="P931" s="92">
        <f>_xll.qlCalendarAdvance(Calendar,O931,NDays&amp;"D")</f>
        <v>45807</v>
      </c>
      <c r="Q931" s="81">
        <v>2.4645147007821243E-2</v>
      </c>
      <c r="R931" s="85">
        <v>2.4592408520875964E-2</v>
      </c>
    </row>
    <row r="932" spans="14:18" x14ac:dyDescent="0.2">
      <c r="N932" s="88" t="str">
        <f t="shared" si="20"/>
        <v>1w</v>
      </c>
      <c r="O932" s="82">
        <f>_xll.qlCalendarAdvance(Calendar,O931,N932,"f",FALSE)</f>
        <v>45811</v>
      </c>
      <c r="P932" s="92">
        <f>_xll.qlCalendarAdvance(Calendar,O932,NDays&amp;"D")</f>
        <v>45813</v>
      </c>
      <c r="Q932" s="81">
        <v>2.4661884544687485E-2</v>
      </c>
      <c r="R932" s="85">
        <v>2.4610292921876109E-2</v>
      </c>
    </row>
    <row r="933" spans="14:18" x14ac:dyDescent="0.2">
      <c r="N933" s="88" t="str">
        <f t="shared" si="20"/>
        <v>1w</v>
      </c>
      <c r="O933" s="82">
        <f>_xll.qlCalendarAdvance(Calendar,O932,N933,"f",FALSE)</f>
        <v>45818</v>
      </c>
      <c r="P933" s="92">
        <f>_xll.qlCalendarAdvance(Calendar,O933,NDays&amp;"D")</f>
        <v>45820</v>
      </c>
      <c r="Q933" s="81">
        <v>2.4678543626591443E-2</v>
      </c>
      <c r="R933" s="85">
        <v>2.4625221064038527E-2</v>
      </c>
    </row>
    <row r="934" spans="14:18" x14ac:dyDescent="0.2">
      <c r="N934" s="88" t="str">
        <f t="shared" si="20"/>
        <v>1w</v>
      </c>
      <c r="O934" s="82">
        <f>_xll.qlCalendarAdvance(Calendar,O933,N934,"f",FALSE)</f>
        <v>45825</v>
      </c>
      <c r="P934" s="92">
        <f>_xll.qlCalendarAdvance(Calendar,O934,NDays&amp;"D")</f>
        <v>45827</v>
      </c>
      <c r="Q934" s="81">
        <v>2.4694697406749955E-2</v>
      </c>
      <c r="R934" s="85">
        <v>2.4644548964278812E-2</v>
      </c>
    </row>
    <row r="935" spans="14:18" x14ac:dyDescent="0.2">
      <c r="N935" s="88" t="str">
        <f t="shared" si="20"/>
        <v>1w</v>
      </c>
      <c r="O935" s="82">
        <f>_xll.qlCalendarAdvance(Calendar,O934,N935,"f",FALSE)</f>
        <v>45832</v>
      </c>
      <c r="P935" s="92">
        <f>_xll.qlCalendarAdvance(Calendar,O935,NDays&amp;"D")</f>
        <v>45834</v>
      </c>
      <c r="Q935" s="81">
        <v>2.4710345882987261E-2</v>
      </c>
      <c r="R935" s="85">
        <v>2.4658612672316949E-2</v>
      </c>
    </row>
    <row r="936" spans="14:18" x14ac:dyDescent="0.2">
      <c r="N936" s="88" t="str">
        <f t="shared" si="20"/>
        <v>1w</v>
      </c>
      <c r="O936" s="82">
        <f>_xll.qlCalendarAdvance(Calendar,O935,N936,"f",FALSE)</f>
        <v>45839</v>
      </c>
      <c r="P936" s="92">
        <f>_xll.qlCalendarAdvance(Calendar,O936,NDays&amp;"D")</f>
        <v>45841</v>
      </c>
      <c r="Q936" s="81">
        <v>2.4725489053202543E-2</v>
      </c>
      <c r="R936" s="85">
        <v>2.4674552096417557E-2</v>
      </c>
    </row>
    <row r="937" spans="14:18" x14ac:dyDescent="0.2">
      <c r="N937" s="88" t="str">
        <f t="shared" si="20"/>
        <v>1w</v>
      </c>
      <c r="O937" s="82">
        <f>_xll.qlCalendarAdvance(Calendar,O936,N937,"f",FALSE)</f>
        <v>45846</v>
      </c>
      <c r="P937" s="92">
        <f>_xll.qlCalendarAdvance(Calendar,O937,NDays&amp;"D")</f>
        <v>45848</v>
      </c>
      <c r="Q937" s="81">
        <v>2.4740126915359928E-2</v>
      </c>
      <c r="R937" s="85">
        <v>2.4689987267079161E-2</v>
      </c>
    </row>
    <row r="938" spans="14:18" x14ac:dyDescent="0.2">
      <c r="N938" s="88" t="str">
        <f t="shared" si="20"/>
        <v>1w</v>
      </c>
      <c r="O938" s="82">
        <f>_xll.qlCalendarAdvance(Calendar,O937,N938,"f",FALSE)</f>
        <v>45853</v>
      </c>
      <c r="P938" s="92">
        <f>_xll.qlCalendarAdvance(Calendar,O938,NDays&amp;"D")</f>
        <v>45855</v>
      </c>
      <c r="Q938" s="81">
        <v>2.4754259467485995E-2</v>
      </c>
      <c r="R938" s="85">
        <v>2.4704918184301761E-2</v>
      </c>
    </row>
    <row r="939" spans="14:18" x14ac:dyDescent="0.2">
      <c r="N939" s="88" t="str">
        <f t="shared" si="20"/>
        <v>1w</v>
      </c>
      <c r="O939" s="82">
        <f>_xll.qlCalendarAdvance(Calendar,O938,N939,"f",FALSE)</f>
        <v>45860</v>
      </c>
      <c r="P939" s="92">
        <f>_xll.qlCalendarAdvance(Calendar,O939,NDays&amp;"D")</f>
        <v>45862</v>
      </c>
      <c r="Q939" s="81">
        <v>2.4767886707687259E-2</v>
      </c>
      <c r="R939" s="85">
        <v>2.471934484800542E-2</v>
      </c>
    </row>
    <row r="940" spans="14:18" x14ac:dyDescent="0.2">
      <c r="N940" s="88" t="str">
        <f t="shared" si="20"/>
        <v>1w</v>
      </c>
      <c r="O940" s="82">
        <f>_xll.qlCalendarAdvance(Calendar,O939,N940,"f",FALSE)</f>
        <v>45867</v>
      </c>
      <c r="P940" s="92">
        <f>_xll.qlCalendarAdvance(Calendar,O940,NDays&amp;"D")</f>
        <v>45869</v>
      </c>
      <c r="Q940" s="81">
        <v>2.4775761831746672E-2</v>
      </c>
      <c r="R940" s="85">
        <v>2.4733267258030267E-2</v>
      </c>
    </row>
    <row r="941" spans="14:18" x14ac:dyDescent="0.2">
      <c r="N941" s="88" t="str">
        <f t="shared" si="20"/>
        <v>1w</v>
      </c>
      <c r="O941" s="82">
        <f>_xll.qlCalendarAdvance(Calendar,O940,N941,"f",FALSE)</f>
        <v>45874</v>
      </c>
      <c r="P941" s="92">
        <f>_xll.qlCalendarAdvance(Calendar,O941,NDays&amp;"D")</f>
        <v>45876</v>
      </c>
      <c r="Q941" s="81">
        <v>2.4793625245046191E-2</v>
      </c>
      <c r="R941" s="85">
        <v>2.4746685414376302E-2</v>
      </c>
    </row>
    <row r="942" spans="14:18" x14ac:dyDescent="0.2">
      <c r="N942" s="88" t="str">
        <f t="shared" si="20"/>
        <v>1w</v>
      </c>
      <c r="O942" s="82">
        <f>_xll.qlCalendarAdvance(Calendar,O941,N942,"f",FALSE)</f>
        <v>45881</v>
      </c>
      <c r="P942" s="92">
        <f>_xll.qlCalendarAdvance(Calendar,O942,NDays&amp;"D")</f>
        <v>45883</v>
      </c>
      <c r="Q942" s="81">
        <v>2.480573653874163E-2</v>
      </c>
      <c r="R942" s="85">
        <v>2.4759599317043524E-2</v>
      </c>
    </row>
    <row r="943" spans="14:18" x14ac:dyDescent="0.2">
      <c r="N943" s="88" t="str">
        <f t="shared" si="20"/>
        <v>1w</v>
      </c>
      <c r="O943" s="82">
        <f>_xll.qlCalendarAdvance(Calendar,O942,N943,"f",FALSE)</f>
        <v>45888</v>
      </c>
      <c r="P943" s="92">
        <f>_xll.qlCalendarAdvance(Calendar,O943,NDays&amp;"D")</f>
        <v>45890</v>
      </c>
      <c r="Q943" s="81">
        <v>2.4817342513587803E-2</v>
      </c>
      <c r="R943" s="85">
        <v>2.4772008965951997E-2</v>
      </c>
    </row>
    <row r="944" spans="14:18" x14ac:dyDescent="0.2">
      <c r="N944" s="88" t="str">
        <f t="shared" si="20"/>
        <v>1w</v>
      </c>
      <c r="O944" s="82">
        <f>_xll.qlCalendarAdvance(Calendar,O943,N944,"f",FALSE)</f>
        <v>45895</v>
      </c>
      <c r="P944" s="92">
        <f>_xll.qlCalendarAdvance(Calendar,O944,NDays&amp;"D")</f>
        <v>45897</v>
      </c>
      <c r="Q944" s="81">
        <v>2.4828443168023462E-2</v>
      </c>
      <c r="R944" s="85">
        <v>2.478391436094185E-2</v>
      </c>
    </row>
    <row r="945" spans="14:18" x14ac:dyDescent="0.2">
      <c r="N945" s="88" t="str">
        <f t="shared" si="20"/>
        <v>1w</v>
      </c>
      <c r="O945" s="82">
        <f>_xll.qlCalendarAdvance(Calendar,O944,N945,"f",FALSE)</f>
        <v>45902</v>
      </c>
      <c r="P945" s="92">
        <f>_xll.qlCalendarAdvance(Calendar,O945,NDays&amp;"D")</f>
        <v>45904</v>
      </c>
      <c r="Q945" s="81">
        <v>2.483905975360412E-2</v>
      </c>
      <c r="R945" s="85">
        <v>2.4795315502093018E-2</v>
      </c>
    </row>
    <row r="946" spans="14:18" x14ac:dyDescent="0.2">
      <c r="N946" s="88" t="str">
        <f t="shared" si="20"/>
        <v>1w</v>
      </c>
      <c r="O946" s="82">
        <f>_xll.qlCalendarAdvance(Calendar,O945,N946,"f",FALSE)</f>
        <v>45909</v>
      </c>
      <c r="P946" s="92">
        <f>_xll.qlCalendarAdvance(Calendar,O946,NDays&amp;"D")</f>
        <v>45911</v>
      </c>
      <c r="Q946" s="81">
        <v>2.4849298534287412E-2</v>
      </c>
      <c r="R946" s="85">
        <v>2.4806212389405502E-2</v>
      </c>
    </row>
    <row r="947" spans="14:18" x14ac:dyDescent="0.2">
      <c r="N947" s="88" t="str">
        <f t="shared" si="20"/>
        <v>1w</v>
      </c>
      <c r="O947" s="82">
        <f>_xll.qlCalendarAdvance(Calendar,O946,N947,"f",FALSE)</f>
        <v>45916</v>
      </c>
      <c r="P947" s="92">
        <f>_xll.qlCalendarAdvance(Calendar,O947,NDays&amp;"D")</f>
        <v>45918</v>
      </c>
      <c r="Q947" s="81">
        <v>2.4859287027544918E-2</v>
      </c>
      <c r="R947" s="85">
        <v>2.4816605022639493E-2</v>
      </c>
    </row>
    <row r="948" spans="14:18" x14ac:dyDescent="0.2">
      <c r="N948" s="88" t="str">
        <f t="shared" si="20"/>
        <v>1w</v>
      </c>
      <c r="O948" s="82">
        <f>_xll.qlCalendarAdvance(Calendar,O947,N948,"f",FALSE)</f>
        <v>45923</v>
      </c>
      <c r="P948" s="92">
        <f>_xll.qlCalendarAdvance(Calendar,O948,NDays&amp;"D")</f>
        <v>45925</v>
      </c>
      <c r="Q948" s="81">
        <v>2.4869152751327839E-2</v>
      </c>
      <c r="R948" s="85">
        <v>2.4826495380452229E-2</v>
      </c>
    </row>
    <row r="949" spans="14:18" x14ac:dyDescent="0.2">
      <c r="N949" s="88" t="str">
        <f t="shared" si="20"/>
        <v>1w</v>
      </c>
      <c r="O949" s="82">
        <f>_xll.qlCalendarAdvance(Calendar,O948,N949,"f",FALSE)</f>
        <v>45930</v>
      </c>
      <c r="P949" s="92">
        <f>_xll.qlCalendarAdvance(Calendar,O949,NDays&amp;"D")</f>
        <v>45932</v>
      </c>
      <c r="Q949" s="81">
        <v>2.487902155105276E-2</v>
      </c>
      <c r="R949" s="85">
        <v>2.4836211903638272E-2</v>
      </c>
    </row>
    <row r="950" spans="14:18" x14ac:dyDescent="0.2">
      <c r="N950" s="88" t="str">
        <f t="shared" si="20"/>
        <v>1w</v>
      </c>
      <c r="O950" s="82">
        <f>_xll.qlCalendarAdvance(Calendar,O949,N950,"f",FALSE)</f>
        <v>45937</v>
      </c>
      <c r="P950" s="92">
        <f>_xll.qlCalendarAdvance(Calendar,O950,NDays&amp;"D")</f>
        <v>45939</v>
      </c>
      <c r="Q950" s="81">
        <v>2.4888964002022784E-2</v>
      </c>
      <c r="R950" s="85">
        <v>2.4846005869356702E-2</v>
      </c>
    </row>
    <row r="951" spans="14:18" x14ac:dyDescent="0.2">
      <c r="N951" s="88" t="str">
        <f t="shared" si="20"/>
        <v>1w</v>
      </c>
      <c r="O951" s="82">
        <f>_xll.qlCalendarAdvance(Calendar,O950,N951,"f",FALSE)</f>
        <v>45944</v>
      </c>
      <c r="P951" s="92">
        <f>_xll.qlCalendarAdvance(Calendar,O951,NDays&amp;"D")</f>
        <v>45946</v>
      </c>
      <c r="Q951" s="81">
        <v>2.4898984070040597E-2</v>
      </c>
      <c r="R951" s="85">
        <v>2.4855877277607519E-2</v>
      </c>
    </row>
    <row r="952" spans="14:18" x14ac:dyDescent="0.2">
      <c r="N952" s="88" t="str">
        <f t="shared" si="20"/>
        <v>1w</v>
      </c>
      <c r="O952" s="82">
        <f>_xll.qlCalendarAdvance(Calendar,O951,N952,"f",FALSE)</f>
        <v>45951</v>
      </c>
      <c r="P952" s="92">
        <f>_xll.qlCalendarAdvance(Calendar,O952,NDays&amp;"D")</f>
        <v>45953</v>
      </c>
      <c r="Q952" s="81">
        <v>2.4909081755308538E-2</v>
      </c>
      <c r="R952" s="85">
        <v>2.4865826128310786E-2</v>
      </c>
    </row>
    <row r="953" spans="14:18" x14ac:dyDescent="0.2">
      <c r="N953" s="88" t="str">
        <f t="shared" si="20"/>
        <v>1w</v>
      </c>
      <c r="O953" s="82">
        <f>_xll.qlCalendarAdvance(Calendar,O952,N953,"f",FALSE)</f>
        <v>45958</v>
      </c>
      <c r="P953" s="92">
        <f>_xll.qlCalendarAdvance(Calendar,O953,NDays&amp;"D")</f>
        <v>45960</v>
      </c>
      <c r="Q953" s="81">
        <v>2.4914473195829893E-2</v>
      </c>
      <c r="R953" s="85">
        <v>2.487585242154644E-2</v>
      </c>
    </row>
    <row r="954" spans="14:18" x14ac:dyDescent="0.2">
      <c r="N954" s="88" t="str">
        <f t="shared" si="20"/>
        <v>1w</v>
      </c>
      <c r="O954" s="82">
        <f>_xll.qlCalendarAdvance(Calendar,O953,N954,"f",FALSE)</f>
        <v>45965</v>
      </c>
      <c r="P954" s="92">
        <f>_xll.qlCalendarAdvance(Calendar,O954,NDays&amp;"D")</f>
        <v>45967</v>
      </c>
      <c r="Q954" s="81">
        <v>2.4929509978439124E-2</v>
      </c>
      <c r="R954" s="85">
        <v>2.4885956157314482E-2</v>
      </c>
    </row>
    <row r="955" spans="14:18" x14ac:dyDescent="0.2">
      <c r="N955" s="88" t="str">
        <f t="shared" si="20"/>
        <v>1w</v>
      </c>
      <c r="O955" s="82">
        <f>_xll.qlCalendarAdvance(Calendar,O954,N955,"f",FALSE)</f>
        <v>45972</v>
      </c>
      <c r="P955" s="92">
        <f>_xll.qlCalendarAdvance(Calendar,O955,NDays&amp;"D")</f>
        <v>45974</v>
      </c>
      <c r="Q955" s="81">
        <v>2.4939840516721434E-2</v>
      </c>
      <c r="R955" s="85">
        <v>2.4896137335694846E-2</v>
      </c>
    </row>
    <row r="956" spans="14:18" x14ac:dyDescent="0.2">
      <c r="N956" s="88" t="str">
        <f t="shared" si="20"/>
        <v>1w</v>
      </c>
      <c r="O956" s="82">
        <f>_xll.qlCalendarAdvance(Calendar,O955,N956,"f",FALSE)</f>
        <v>45979</v>
      </c>
      <c r="P956" s="92">
        <f>_xll.qlCalendarAdvance(Calendar,O956,NDays&amp;"D")</f>
        <v>45981</v>
      </c>
      <c r="Q956" s="81">
        <v>2.4950248673100694E-2</v>
      </c>
      <c r="R956" s="85">
        <v>2.4906395956447724E-2</v>
      </c>
    </row>
    <row r="957" spans="14:18" x14ac:dyDescent="0.2">
      <c r="N957" s="88" t="str">
        <f t="shared" si="20"/>
        <v>1w</v>
      </c>
      <c r="O957" s="82">
        <f>_xll.qlCalendarAdvance(Calendar,O956,N957,"f",FALSE)</f>
        <v>45986</v>
      </c>
      <c r="P957" s="92">
        <f>_xll.qlCalendarAdvance(Calendar,O957,NDays&amp;"D")</f>
        <v>45988</v>
      </c>
      <c r="Q957" s="81">
        <v>2.4960734447789235E-2</v>
      </c>
      <c r="R957" s="85">
        <v>2.4916732019812926E-2</v>
      </c>
    </row>
    <row r="958" spans="14:18" x14ac:dyDescent="0.2">
      <c r="N958" s="88" t="str">
        <f t="shared" si="20"/>
        <v>1w</v>
      </c>
      <c r="O958" s="82">
        <f>_xll.qlCalendarAdvance(Calendar,O957,N958,"f",FALSE)</f>
        <v>45993</v>
      </c>
      <c r="P958" s="92">
        <f>_xll.qlCalendarAdvance(Calendar,O958,NDays&amp;"D")</f>
        <v>45995</v>
      </c>
      <c r="Q958" s="81">
        <v>2.4971297841006879E-2</v>
      </c>
      <c r="R958" s="85">
        <v>2.4927145525790451E-2</v>
      </c>
    </row>
    <row r="959" spans="14:18" x14ac:dyDescent="0.2">
      <c r="N959" s="88" t="str">
        <f t="shared" si="20"/>
        <v>1w</v>
      </c>
      <c r="O959" s="82">
        <f>_xll.qlCalendarAdvance(Calendar,O958,N959,"f",FALSE)</f>
        <v>46000</v>
      </c>
      <c r="P959" s="92">
        <f>_xll.qlCalendarAdvance(Calendar,O959,NDays&amp;"D")</f>
        <v>46002</v>
      </c>
      <c r="Q959" s="81">
        <v>2.4981938852968455E-2</v>
      </c>
      <c r="R959" s="85">
        <v>2.4937636474300362E-2</v>
      </c>
    </row>
    <row r="960" spans="14:18" x14ac:dyDescent="0.2">
      <c r="N960" s="88" t="str">
        <f t="shared" si="20"/>
        <v>1w</v>
      </c>
      <c r="O960" s="82">
        <f>_xll.qlCalendarAdvance(Calendar,O959,N960,"f",FALSE)</f>
        <v>46007</v>
      </c>
      <c r="P960" s="92">
        <f>_xll.qlCalendarAdvance(Calendar,O960,NDays&amp;"D")</f>
        <v>46009</v>
      </c>
      <c r="Q960" s="81">
        <v>2.4992657483896286E-2</v>
      </c>
      <c r="R960" s="85">
        <v>2.4948204865262724E-2</v>
      </c>
    </row>
    <row r="961" spans="14:18" x14ac:dyDescent="0.2">
      <c r="N961" s="88" t="str">
        <f t="shared" si="20"/>
        <v>1w</v>
      </c>
      <c r="O961" s="82">
        <f>_xll.qlCalendarAdvance(Calendar,O960,N961,"f",FALSE)</f>
        <v>46014</v>
      </c>
      <c r="P961" s="92">
        <f>_xll.qlCalendarAdvance(Calendar,O961,NDays&amp;"D")</f>
        <v>46021</v>
      </c>
      <c r="Q961" s="81">
        <v>2.500956289376851E-2</v>
      </c>
      <c r="R961" s="85">
        <v>2.4971209081594559E-2</v>
      </c>
    </row>
    <row r="962" spans="14:18" x14ac:dyDescent="0.2">
      <c r="N962" s="88" t="str">
        <f t="shared" si="20"/>
        <v>1w</v>
      </c>
      <c r="O962" s="82">
        <f>_xll.qlCalendarAdvance(Calendar,O961,N962,"f",FALSE)</f>
        <v>46021</v>
      </c>
      <c r="P962" s="92">
        <f>_xll.qlCalendarAdvance(Calendar,O962,NDays&amp;"D")</f>
        <v>46027</v>
      </c>
      <c r="Q962" s="81">
        <v>2.5018920721566321E-2</v>
      </c>
      <c r="R962" s="85">
        <v>2.4974193371889442E-2</v>
      </c>
    </row>
    <row r="963" spans="14:18" x14ac:dyDescent="0.2">
      <c r="N963" s="88" t="str">
        <f t="shared" si="20"/>
        <v>1w</v>
      </c>
      <c r="O963" s="82">
        <f>_xll.qlCalendarAdvance(Calendar,O962,N963,"f",FALSE)</f>
        <v>46029</v>
      </c>
      <c r="P963" s="92">
        <f>_xll.qlCalendarAdvance(Calendar,O963,NDays&amp;"D")</f>
        <v>46031</v>
      </c>
      <c r="Q963" s="81">
        <v>2.5025190952618116E-2</v>
      </c>
      <c r="R963" s="85">
        <v>2.4981923975566644E-2</v>
      </c>
    </row>
    <row r="964" spans="14:18" x14ac:dyDescent="0.2">
      <c r="N964" s="88" t="str">
        <f t="shared" si="20"/>
        <v>1w</v>
      </c>
      <c r="O964" s="82">
        <f>_xll.qlCalendarAdvance(Calendar,O963,N964,"f",FALSE)</f>
        <v>46036</v>
      </c>
      <c r="P964" s="92">
        <f>_xll.qlCalendarAdvance(Calendar,O964,NDays&amp;"D")</f>
        <v>46038</v>
      </c>
      <c r="Q964" s="81">
        <v>2.503622483953194E-2</v>
      </c>
      <c r="R964" s="85">
        <v>2.499281320020863E-2</v>
      </c>
    </row>
    <row r="965" spans="14:18" x14ac:dyDescent="0.2">
      <c r="N965" s="88" t="str">
        <f t="shared" si="20"/>
        <v>1w</v>
      </c>
      <c r="O965" s="82">
        <f>_xll.qlCalendarAdvance(Calendar,O964,N965,"f",FALSE)</f>
        <v>46043</v>
      </c>
      <c r="P965" s="92">
        <f>_xll.qlCalendarAdvance(Calendar,O965,NDays&amp;"D")</f>
        <v>46045</v>
      </c>
      <c r="Q965" s="81">
        <v>2.5047336340817468E-2</v>
      </c>
      <c r="R965" s="85">
        <v>2.5003779867383003E-2</v>
      </c>
    </row>
    <row r="966" spans="14:18" x14ac:dyDescent="0.2">
      <c r="N966" s="88" t="str">
        <f t="shared" si="20"/>
        <v>1w</v>
      </c>
      <c r="O966" s="82">
        <f>_xll.qlCalendarAdvance(Calendar,O965,N966,"f",FALSE)</f>
        <v>46050</v>
      </c>
      <c r="P966" s="92">
        <f>_xll.qlCalendarAdvance(Calendar,O966,NDays&amp;"D")</f>
        <v>46052</v>
      </c>
      <c r="Q966" s="81">
        <v>2.505349576672319E-2</v>
      </c>
      <c r="R966" s="85">
        <v>2.5014823977169698E-2</v>
      </c>
    </row>
    <row r="967" spans="14:18" x14ac:dyDescent="0.2">
      <c r="N967" s="88" t="str">
        <f t="shared" si="20"/>
        <v>1w</v>
      </c>
      <c r="O967" s="82">
        <f>_xll.qlCalendarAdvance(Calendar,O966,N967,"f",FALSE)</f>
        <v>46057</v>
      </c>
      <c r="P967" s="92">
        <f>_xll.qlCalendarAdvance(Calendar,O967,NDays&amp;"D")</f>
        <v>46059</v>
      </c>
      <c r="Q967" s="81">
        <v>2.5064743518861437E-2</v>
      </c>
      <c r="R967" s="85">
        <v>2.5025945529568716E-2</v>
      </c>
    </row>
    <row r="968" spans="14:18" x14ac:dyDescent="0.2">
      <c r="N968" s="88" t="str">
        <f t="shared" si="20"/>
        <v>1w</v>
      </c>
      <c r="O968" s="82">
        <f>_xll.qlCalendarAdvance(Calendar,O967,N968,"f",FALSE)</f>
        <v>46064</v>
      </c>
      <c r="P968" s="92">
        <f>_xll.qlCalendarAdvance(Calendar,O968,NDays&amp;"D")</f>
        <v>46066</v>
      </c>
      <c r="Q968" s="81">
        <v>2.5076068868745058E-2</v>
      </c>
      <c r="R968" s="85">
        <v>2.5037144524659993E-2</v>
      </c>
    </row>
    <row r="969" spans="14:18" x14ac:dyDescent="0.2">
      <c r="N969" s="88" t="str">
        <f t="shared" si="20"/>
        <v>1w</v>
      </c>
      <c r="O969" s="82">
        <f>_xll.qlCalendarAdvance(Calendar,O968,N969,"f",FALSE)</f>
        <v>46071</v>
      </c>
      <c r="P969" s="92">
        <f>_xll.qlCalendarAdvance(Calendar,O969,NDays&amp;"D")</f>
        <v>46073</v>
      </c>
      <c r="Q969" s="81">
        <v>2.5087471816571037E-2</v>
      </c>
      <c r="R969" s="85">
        <v>2.5048420962283657E-2</v>
      </c>
    </row>
    <row r="970" spans="14:18" x14ac:dyDescent="0.2">
      <c r="N970" s="88" t="str">
        <f t="shared" si="20"/>
        <v>1w</v>
      </c>
      <c r="O970" s="82">
        <f>_xll.qlCalendarAdvance(Calendar,O969,N970,"f",FALSE)</f>
        <v>46078</v>
      </c>
      <c r="P970" s="92">
        <f>_xll.qlCalendarAdvance(Calendar,O970,NDays&amp;"D")</f>
        <v>46080</v>
      </c>
      <c r="Q970" s="81">
        <v>2.5105761341186195E-2</v>
      </c>
      <c r="R970" s="85">
        <v>2.505977484259958E-2</v>
      </c>
    </row>
    <row r="971" spans="14:18" x14ac:dyDescent="0.2">
      <c r="N971" s="88" t="str">
        <f t="shared" si="20"/>
        <v>1w</v>
      </c>
      <c r="O971" s="82">
        <f>_xll.qlCalendarAdvance(Calendar,O970,N971,"f",FALSE)</f>
        <v>46085</v>
      </c>
      <c r="P971" s="92">
        <f>_xll.qlCalendarAdvance(Calendar,O971,NDays&amp;"D")</f>
        <v>46087</v>
      </c>
      <c r="Q971" s="81">
        <v>2.511734488449574E-2</v>
      </c>
      <c r="R971" s="85">
        <v>2.5071206165607762E-2</v>
      </c>
    </row>
    <row r="972" spans="14:18" x14ac:dyDescent="0.2">
      <c r="N972" s="88" t="str">
        <f t="shared" si="20"/>
        <v>1w</v>
      </c>
      <c r="O972" s="82">
        <f>_xll.qlCalendarAdvance(Calendar,O971,N972,"f",FALSE)</f>
        <v>46092</v>
      </c>
      <c r="P972" s="92">
        <f>_xll.qlCalendarAdvance(Calendar,O972,NDays&amp;"D")</f>
        <v>46094</v>
      </c>
      <c r="Q972" s="81">
        <v>2.5127290071106832E-2</v>
      </c>
      <c r="R972" s="85">
        <v>2.5082714931148331E-2</v>
      </c>
    </row>
    <row r="973" spans="14:18" x14ac:dyDescent="0.2">
      <c r="N973" s="88" t="str">
        <f t="shared" si="20"/>
        <v>1w</v>
      </c>
      <c r="O973" s="82">
        <f>_xll.qlCalendarAdvance(Calendar,O972,N973,"f",FALSE)</f>
        <v>46099</v>
      </c>
      <c r="P973" s="92">
        <f>_xll.qlCalendarAdvance(Calendar,O973,NDays&amp;"D")</f>
        <v>46101</v>
      </c>
      <c r="Q973" s="81">
        <v>2.5139022495503999E-2</v>
      </c>
      <c r="R973" s="85">
        <v>2.5094301139381159E-2</v>
      </c>
    </row>
    <row r="974" spans="14:18" x14ac:dyDescent="0.2">
      <c r="N974" s="88" t="str">
        <f t="shared" si="20"/>
        <v>1w</v>
      </c>
      <c r="O974" s="82">
        <f>_xll.qlCalendarAdvance(Calendar,O973,N974,"f",FALSE)</f>
        <v>46106</v>
      </c>
      <c r="P974" s="92">
        <f>_xll.qlCalendarAdvance(Calendar,O974,NDays&amp;"D")</f>
        <v>46108</v>
      </c>
      <c r="Q974" s="81">
        <v>2.5150832536330575E-2</v>
      </c>
      <c r="R974" s="85">
        <v>2.5105964790306246E-2</v>
      </c>
    </row>
    <row r="975" spans="14:18" x14ac:dyDescent="0.2">
      <c r="N975" s="88" t="str">
        <f t="shared" si="20"/>
        <v>1w</v>
      </c>
      <c r="O975" s="82">
        <f>_xll.qlCalendarAdvance(Calendar,O974,N975,"f",FALSE)</f>
        <v>46113</v>
      </c>
      <c r="P975" s="92">
        <f>_xll.qlCalendarAdvance(Calendar,O975,NDays&amp;"D")</f>
        <v>46119</v>
      </c>
      <c r="Q975" s="81">
        <v>2.5167809949262931E-2</v>
      </c>
      <c r="R975" s="85">
        <v>2.5121074706184743E-2</v>
      </c>
    </row>
    <row r="976" spans="14:18" x14ac:dyDescent="0.2">
      <c r="N976" s="88" t="str">
        <f t="shared" si="20"/>
        <v>1w</v>
      </c>
      <c r="O976" s="82">
        <f>_xll.qlCalendarAdvance(Calendar,O975,N976,"f",FALSE)</f>
        <v>46120</v>
      </c>
      <c r="P976" s="92">
        <f>_xll.qlCalendarAdvance(Calendar,O976,NDays&amp;"D")</f>
        <v>46122</v>
      </c>
      <c r="Q976" s="81">
        <v>2.5174685468213151E-2</v>
      </c>
      <c r="R976" s="85">
        <v>2.512952442015326E-2</v>
      </c>
    </row>
    <row r="977" spans="14:18" x14ac:dyDescent="0.2">
      <c r="N977" s="88" t="str">
        <f t="shared" si="20"/>
        <v>1w</v>
      </c>
      <c r="O977" s="82">
        <f>_xll.qlCalendarAdvance(Calendar,O976,N977,"f",FALSE)</f>
        <v>46127</v>
      </c>
      <c r="P977" s="92">
        <f>_xll.qlCalendarAdvance(Calendar,O977,NDays&amp;"D")</f>
        <v>46129</v>
      </c>
      <c r="Q977" s="81">
        <v>2.5186728359748767E-2</v>
      </c>
      <c r="R977" s="85">
        <v>2.5141420399075187E-2</v>
      </c>
    </row>
    <row r="978" spans="14:18" x14ac:dyDescent="0.2">
      <c r="N978" s="88" t="str">
        <f t="shared" si="20"/>
        <v>1w</v>
      </c>
      <c r="O978" s="82">
        <f>_xll.qlCalendarAdvance(Calendar,O977,N978,"f",FALSE)</f>
        <v>46134</v>
      </c>
      <c r="P978" s="92">
        <f>_xll.qlCalendarAdvance(Calendar,O978,NDays&amp;"D")</f>
        <v>46136</v>
      </c>
      <c r="Q978" s="81">
        <v>2.5200603110571707E-2</v>
      </c>
      <c r="R978" s="85">
        <v>2.515339382076931E-2</v>
      </c>
    </row>
    <row r="979" spans="14:18" x14ac:dyDescent="0.2">
      <c r="N979" s="88" t="str">
        <f t="shared" si="20"/>
        <v>1w</v>
      </c>
      <c r="O979" s="82">
        <f>_xll.qlCalendarAdvance(Calendar,O978,N979,"f",FALSE)</f>
        <v>46141</v>
      </c>
      <c r="P979" s="92">
        <f>_xll.qlCalendarAdvance(Calendar,O979,NDays&amp;"D")</f>
        <v>46146</v>
      </c>
      <c r="Q979" s="81">
        <v>2.5216298524290255E-2</v>
      </c>
      <c r="R979" s="85">
        <v>2.5167172558999695E-2</v>
      </c>
    </row>
    <row r="980" spans="14:18" x14ac:dyDescent="0.2">
      <c r="N980" s="88" t="str">
        <f t="shared" si="20"/>
        <v>1w</v>
      </c>
      <c r="O980" s="82">
        <f>_xll.qlCalendarAdvance(Calendar,O979,N980,"f",FALSE)</f>
        <v>46148</v>
      </c>
      <c r="P980" s="92">
        <f>_xll.qlCalendarAdvance(Calendar,O980,NDays&amp;"D")</f>
        <v>46150</v>
      </c>
      <c r="Q980" s="81">
        <v>2.5223322739628667E-2</v>
      </c>
      <c r="R980" s="85">
        <v>2.5177572992154396E-2</v>
      </c>
    </row>
    <row r="981" spans="14:18" x14ac:dyDescent="0.2">
      <c r="N981" s="88" t="str">
        <f t="shared" ref="N981:N1044" si="21">N980</f>
        <v>1w</v>
      </c>
      <c r="O981" s="82">
        <f>_xll.qlCalendarAdvance(Calendar,O980,N981,"f",FALSE)</f>
        <v>46155</v>
      </c>
      <c r="P981" s="92">
        <f>_xll.qlCalendarAdvance(Calendar,O981,NDays&amp;"D")</f>
        <v>46160</v>
      </c>
      <c r="Q981" s="81">
        <v>2.524099416109029E-2</v>
      </c>
      <c r="R981" s="85">
        <v>2.5191528742309899E-2</v>
      </c>
    </row>
    <row r="982" spans="14:18" x14ac:dyDescent="0.2">
      <c r="N982" s="88" t="str">
        <f t="shared" si="21"/>
        <v>1w</v>
      </c>
      <c r="O982" s="82">
        <f>_xll.qlCalendarAdvance(Calendar,O981,N982,"f",FALSE)</f>
        <v>46162</v>
      </c>
      <c r="P982" s="92">
        <f>_xll.qlCalendarAdvance(Calendar,O982,NDays&amp;"D")</f>
        <v>46164</v>
      </c>
      <c r="Q982" s="81">
        <v>2.5248107083047529E-2</v>
      </c>
      <c r="R982" s="85">
        <v>2.5203822998083325E-2</v>
      </c>
    </row>
    <row r="983" spans="14:18" x14ac:dyDescent="0.2">
      <c r="N983" s="88" t="str">
        <f t="shared" si="21"/>
        <v>1w</v>
      </c>
      <c r="O983" s="82">
        <f>_xll.qlCalendarAdvance(Calendar,O982,N983,"f",FALSE)</f>
        <v>46169</v>
      </c>
      <c r="P983" s="92">
        <f>_xll.qlCalendarAdvance(Calendar,O983,NDays&amp;"D")</f>
        <v>46171</v>
      </c>
      <c r="Q983" s="81">
        <v>2.5262401971607729E-2</v>
      </c>
      <c r="R983" s="85">
        <v>2.5214422569703743E-2</v>
      </c>
    </row>
    <row r="984" spans="14:18" x14ac:dyDescent="0.2">
      <c r="N984" s="88" t="str">
        <f t="shared" si="21"/>
        <v>1w</v>
      </c>
      <c r="O984" s="82">
        <f>_xll.qlCalendarAdvance(Calendar,O983,N984,"f",FALSE)</f>
        <v>46176</v>
      </c>
      <c r="P984" s="92">
        <f>_xll.qlCalendarAdvance(Calendar,O984,NDays&amp;"D")</f>
        <v>46178</v>
      </c>
      <c r="Q984" s="81">
        <v>2.5273201900915119E-2</v>
      </c>
      <c r="R984" s="85">
        <v>2.5226860647631355E-2</v>
      </c>
    </row>
    <row r="985" spans="14:18" x14ac:dyDescent="0.2">
      <c r="N985" s="88" t="str">
        <f t="shared" si="21"/>
        <v>1w</v>
      </c>
      <c r="O985" s="82">
        <f>_xll.qlCalendarAdvance(Calendar,O984,N985,"f",FALSE)</f>
        <v>46183</v>
      </c>
      <c r="P985" s="92">
        <f>_xll.qlCalendarAdvance(Calendar,O985,NDays&amp;"D")</f>
        <v>46185</v>
      </c>
      <c r="Q985" s="81">
        <v>2.5285865738393143E-2</v>
      </c>
      <c r="R985" s="85">
        <v>2.5239376168331162E-2</v>
      </c>
    </row>
    <row r="986" spans="14:18" x14ac:dyDescent="0.2">
      <c r="N986" s="88" t="str">
        <f t="shared" si="21"/>
        <v>1w</v>
      </c>
      <c r="O986" s="82">
        <f>_xll.qlCalendarAdvance(Calendar,O985,N986,"f",FALSE)</f>
        <v>46190</v>
      </c>
      <c r="P986" s="92">
        <f>_xll.qlCalendarAdvance(Calendar,O986,NDays&amp;"D")</f>
        <v>46195</v>
      </c>
      <c r="Q986" s="81">
        <v>2.5302283930026981E-2</v>
      </c>
      <c r="R986" s="85">
        <v>2.5253774448579236E-2</v>
      </c>
    </row>
    <row r="987" spans="14:18" x14ac:dyDescent="0.2">
      <c r="N987" s="88" t="str">
        <f t="shared" si="21"/>
        <v>1w</v>
      </c>
      <c r="O987" s="82">
        <f>_xll.qlCalendarAdvance(Calendar,O986,N987,"f",FALSE)</f>
        <v>46197</v>
      </c>
      <c r="P987" s="92">
        <f>_xll.qlCalendarAdvance(Calendar,O987,NDays&amp;"D")</f>
        <v>46199</v>
      </c>
      <c r="Q987" s="81">
        <v>2.5311426271701139E-2</v>
      </c>
      <c r="R987" s="85">
        <v>2.5264639538127298E-2</v>
      </c>
    </row>
    <row r="988" spans="14:18" x14ac:dyDescent="0.2">
      <c r="N988" s="88" t="str">
        <f t="shared" si="21"/>
        <v>1w</v>
      </c>
      <c r="O988" s="82">
        <f>_xll.qlCalendarAdvance(Calendar,O987,N988,"f",FALSE)</f>
        <v>46204</v>
      </c>
      <c r="P988" s="92">
        <f>_xll.qlCalendarAdvance(Calendar,O988,NDays&amp;"D")</f>
        <v>46206</v>
      </c>
      <c r="Q988" s="81">
        <v>2.5324322968044252E-2</v>
      </c>
      <c r="R988" s="85">
        <v>2.527738738714369E-2</v>
      </c>
    </row>
    <row r="989" spans="14:18" x14ac:dyDescent="0.2">
      <c r="N989" s="88" t="str">
        <f t="shared" si="21"/>
        <v>1w</v>
      </c>
      <c r="O989" s="82">
        <f>_xll.qlCalendarAdvance(Calendar,O988,N989,"f",FALSE)</f>
        <v>46211</v>
      </c>
      <c r="P989" s="92">
        <f>_xll.qlCalendarAdvance(Calendar,O989,NDays&amp;"D")</f>
        <v>46213</v>
      </c>
      <c r="Q989" s="81">
        <v>2.5337297284524784E-2</v>
      </c>
      <c r="R989" s="85">
        <v>2.5290212679012214E-2</v>
      </c>
    </row>
    <row r="990" spans="14:18" x14ac:dyDescent="0.2">
      <c r="N990" s="88" t="str">
        <f t="shared" si="21"/>
        <v>1w</v>
      </c>
      <c r="O990" s="82">
        <f>_xll.qlCalendarAdvance(Calendar,O989,N990,"f",FALSE)</f>
        <v>46218</v>
      </c>
      <c r="P990" s="92">
        <f>_xll.qlCalendarAdvance(Calendar,O990,NDays&amp;"D")</f>
        <v>46220</v>
      </c>
      <c r="Q990" s="81">
        <v>2.5350349221398005E-2</v>
      </c>
      <c r="R990" s="85">
        <v>2.5303115413572996E-2</v>
      </c>
    </row>
    <row r="991" spans="14:18" x14ac:dyDescent="0.2">
      <c r="N991" s="88" t="str">
        <f t="shared" si="21"/>
        <v>1w</v>
      </c>
      <c r="O991" s="82">
        <f>_xll.qlCalendarAdvance(Calendar,O990,N991,"f",FALSE)</f>
        <v>46225</v>
      </c>
      <c r="P991" s="92">
        <f>_xll.qlCalendarAdvance(Calendar,O991,NDays&amp;"D")</f>
        <v>46227</v>
      </c>
      <c r="Q991" s="81">
        <v>2.5363478778929516E-2</v>
      </c>
      <c r="R991" s="85">
        <v>2.531609559098591E-2</v>
      </c>
    </row>
    <row r="992" spans="14:18" x14ac:dyDescent="0.2">
      <c r="N992" s="88" t="str">
        <f t="shared" si="21"/>
        <v>1w</v>
      </c>
      <c r="O992" s="82">
        <f>_xll.qlCalendarAdvance(Calendar,O991,N992,"f",FALSE)</f>
        <v>46232</v>
      </c>
      <c r="P992" s="92">
        <f>_xll.qlCalendarAdvance(Calendar,O992,NDays&amp;"D")</f>
        <v>46234</v>
      </c>
      <c r="Q992" s="81">
        <v>2.5376685957379751E-2</v>
      </c>
      <c r="R992" s="85">
        <v>2.5329153211171018E-2</v>
      </c>
    </row>
    <row r="993" spans="14:18" x14ac:dyDescent="0.2">
      <c r="N993" s="88" t="str">
        <f t="shared" si="21"/>
        <v>1w</v>
      </c>
      <c r="O993" s="82">
        <f>_xll.qlCalendarAdvance(Calendar,O992,N993,"f",FALSE)</f>
        <v>46239</v>
      </c>
      <c r="P993" s="92">
        <f>_xll.qlCalendarAdvance(Calendar,O993,NDays&amp;"D")</f>
        <v>46241</v>
      </c>
      <c r="Q993" s="81">
        <v>2.5389970757011729E-2</v>
      </c>
      <c r="R993" s="85">
        <v>2.5342288274208258E-2</v>
      </c>
    </row>
    <row r="994" spans="14:18" x14ac:dyDescent="0.2">
      <c r="N994" s="88" t="str">
        <f t="shared" si="21"/>
        <v>1w</v>
      </c>
      <c r="O994" s="82">
        <f>_xll.qlCalendarAdvance(Calendar,O993,N994,"f",FALSE)</f>
        <v>46246</v>
      </c>
      <c r="P994" s="92">
        <f>_xll.qlCalendarAdvance(Calendar,O994,NDays&amp;"D")</f>
        <v>46248</v>
      </c>
      <c r="Q994" s="81">
        <v>2.5403333178096194E-2</v>
      </c>
      <c r="R994" s="85">
        <v>2.5355500780097628E-2</v>
      </c>
    </row>
    <row r="995" spans="14:18" x14ac:dyDescent="0.2">
      <c r="N995" s="88" t="str">
        <f t="shared" si="21"/>
        <v>1w</v>
      </c>
      <c r="O995" s="82">
        <f>_xll.qlCalendarAdvance(Calendar,O994,N995,"f",FALSE)</f>
        <v>46253</v>
      </c>
      <c r="P995" s="92">
        <f>_xll.qlCalendarAdvance(Calendar,O995,NDays&amp;"D")</f>
        <v>46255</v>
      </c>
      <c r="Q995" s="81">
        <v>2.541677322089617E-2</v>
      </c>
      <c r="R995" s="85">
        <v>2.5368790728759194E-2</v>
      </c>
    </row>
    <row r="996" spans="14:18" x14ac:dyDescent="0.2">
      <c r="N996" s="88" t="str">
        <f t="shared" si="21"/>
        <v>1w</v>
      </c>
      <c r="O996" s="82">
        <f>_xll.qlCalendarAdvance(Calendar,O995,N996,"f",FALSE)</f>
        <v>46260</v>
      </c>
      <c r="P996" s="92">
        <f>_xll.qlCalendarAdvance(Calendar,O996,NDays&amp;"D")</f>
        <v>46262</v>
      </c>
      <c r="Q996" s="81">
        <v>2.5430290885679822E-2</v>
      </c>
      <c r="R996" s="85">
        <v>2.5382158120272891E-2</v>
      </c>
    </row>
    <row r="997" spans="14:18" x14ac:dyDescent="0.2">
      <c r="N997" s="88" t="str">
        <f t="shared" si="21"/>
        <v>1w</v>
      </c>
      <c r="O997" s="82">
        <f>_xll.qlCalendarAdvance(Calendar,O996,N997,"f",FALSE)</f>
        <v>46267</v>
      </c>
      <c r="P997" s="92">
        <f>_xll.qlCalendarAdvance(Calendar,O997,NDays&amp;"D")</f>
        <v>46269</v>
      </c>
      <c r="Q997" s="81">
        <v>2.5443886172720486E-2</v>
      </c>
      <c r="R997" s="85">
        <v>2.5395602954638719E-2</v>
      </c>
    </row>
    <row r="998" spans="14:18" x14ac:dyDescent="0.2">
      <c r="N998" s="88" t="str">
        <f t="shared" si="21"/>
        <v>1w</v>
      </c>
      <c r="O998" s="82">
        <f>_xll.qlCalendarAdvance(Calendar,O997,N998,"f",FALSE)</f>
        <v>46274</v>
      </c>
      <c r="P998" s="92">
        <f>_xll.qlCalendarAdvance(Calendar,O998,NDays&amp;"D")</f>
        <v>46276</v>
      </c>
      <c r="Q998" s="81">
        <v>2.5457559082288906E-2</v>
      </c>
      <c r="R998" s="85">
        <v>2.5409125231936613E-2</v>
      </c>
    </row>
    <row r="999" spans="14:18" x14ac:dyDescent="0.2">
      <c r="N999" s="88" t="str">
        <f t="shared" si="21"/>
        <v>1w</v>
      </c>
      <c r="O999" s="82">
        <f>_xll.qlCalendarAdvance(Calendar,O998,N999,"f",FALSE)</f>
        <v>46281</v>
      </c>
      <c r="P999" s="92">
        <f>_xll.qlCalendarAdvance(Calendar,O999,NDays&amp;"D")</f>
        <v>46283</v>
      </c>
      <c r="Q999" s="81">
        <v>2.5471309614658419E-2</v>
      </c>
      <c r="R999" s="85">
        <v>2.5422724952006703E-2</v>
      </c>
    </row>
    <row r="1000" spans="14:18" x14ac:dyDescent="0.2">
      <c r="N1000" s="88" t="str">
        <f t="shared" si="21"/>
        <v>1w</v>
      </c>
      <c r="O1000" s="82">
        <f>_xll.qlCalendarAdvance(Calendar,O999,N1000,"f",FALSE)</f>
        <v>46288</v>
      </c>
      <c r="P1000" s="92">
        <f>_xll.qlCalendarAdvance(Calendar,O1000,NDays&amp;"D")</f>
        <v>46290</v>
      </c>
      <c r="Q1000" s="81">
        <v>2.5485137770104933E-2</v>
      </c>
      <c r="R1000" s="85">
        <v>2.543640211500886E-2</v>
      </c>
    </row>
    <row r="1001" spans="14:18" x14ac:dyDescent="0.2">
      <c r="N1001" s="88" t="str">
        <f t="shared" si="21"/>
        <v>1w</v>
      </c>
      <c r="O1001" s="82">
        <f>_xll.qlCalendarAdvance(Calendar,O1000,N1001,"f",FALSE)</f>
        <v>46295</v>
      </c>
      <c r="P1001" s="92">
        <f>_xll.qlCalendarAdvance(Calendar,O1001,NDays&amp;"D")</f>
        <v>46297</v>
      </c>
      <c r="Q1001" s="81">
        <v>2.549904354890177E-2</v>
      </c>
      <c r="R1001" s="85">
        <v>2.5450156720863149E-2</v>
      </c>
    </row>
    <row r="1002" spans="14:18" x14ac:dyDescent="0.2">
      <c r="N1002" s="88" t="str">
        <f t="shared" si="21"/>
        <v>1w</v>
      </c>
      <c r="O1002" s="82">
        <f>_xll.qlCalendarAdvance(Calendar,O1001,N1002,"f",FALSE)</f>
        <v>46302</v>
      </c>
      <c r="P1002" s="92">
        <f>_xll.qlCalendarAdvance(Calendar,O1002,NDays&amp;"D")</f>
        <v>46304</v>
      </c>
      <c r="Q1002" s="81">
        <v>2.5513026951335161E-2</v>
      </c>
      <c r="R1002" s="85">
        <v>2.5463988769569568E-2</v>
      </c>
    </row>
    <row r="1003" spans="14:18" x14ac:dyDescent="0.2">
      <c r="N1003" s="88" t="str">
        <f t="shared" si="21"/>
        <v>1w</v>
      </c>
      <c r="O1003" s="82">
        <f>_xll.qlCalendarAdvance(Calendar,O1002,N1003,"f",FALSE)</f>
        <v>46309</v>
      </c>
      <c r="P1003" s="92">
        <f>_xll.qlCalendarAdvance(Calendar,O1003,NDays&amp;"D")</f>
        <v>46311</v>
      </c>
      <c r="Q1003" s="81">
        <v>2.5527087977675854E-2</v>
      </c>
      <c r="R1003" s="85">
        <v>2.5477898261208054E-2</v>
      </c>
    </row>
    <row r="1004" spans="14:18" x14ac:dyDescent="0.2">
      <c r="N1004" s="88" t="str">
        <f t="shared" si="21"/>
        <v>1w</v>
      </c>
      <c r="O1004" s="82">
        <f>_xll.qlCalendarAdvance(Calendar,O1003,N1004,"f",FALSE)</f>
        <v>46316</v>
      </c>
      <c r="P1004" s="92">
        <f>_xll.qlCalendarAdvance(Calendar,O1004,NDays&amp;"D")</f>
        <v>46318</v>
      </c>
      <c r="Q1004" s="81">
        <v>2.5541226628210071E-2</v>
      </c>
      <c r="R1004" s="85">
        <v>2.5491885195858544E-2</v>
      </c>
    </row>
    <row r="1005" spans="14:18" x14ac:dyDescent="0.2">
      <c r="N1005" s="88" t="str">
        <f t="shared" si="21"/>
        <v>1w</v>
      </c>
      <c r="O1005" s="82">
        <f>_xll.qlCalendarAdvance(Calendar,O1004,N1005,"f",FALSE)</f>
        <v>46323</v>
      </c>
      <c r="P1005" s="92">
        <f>_xll.qlCalendarAdvance(Calendar,O1005,NDays&amp;"D")</f>
        <v>46325</v>
      </c>
      <c r="Q1005" s="81">
        <v>2.5555442903218876E-2</v>
      </c>
      <c r="R1005" s="85">
        <v>2.5505949573361164E-2</v>
      </c>
    </row>
    <row r="1006" spans="14:18" x14ac:dyDescent="0.2">
      <c r="N1006" s="88" t="str">
        <f t="shared" si="21"/>
        <v>1w</v>
      </c>
      <c r="O1006" s="82">
        <f>_xll.qlCalendarAdvance(Calendar,O1005,N1006,"f",FALSE)</f>
        <v>46330</v>
      </c>
      <c r="P1006" s="92">
        <f>_xll.qlCalendarAdvance(Calendar,O1006,NDays&amp;"D")</f>
        <v>46332</v>
      </c>
      <c r="Q1006" s="81">
        <v>2.5569736802988494E-2</v>
      </c>
      <c r="R1006" s="85">
        <v>2.5520091393715916E-2</v>
      </c>
    </row>
    <row r="1007" spans="14:18" x14ac:dyDescent="0.2">
      <c r="N1007" s="88" t="str">
        <f t="shared" si="21"/>
        <v>1w</v>
      </c>
      <c r="O1007" s="82">
        <f>_xll.qlCalendarAdvance(Calendar,O1006,N1007,"f",FALSE)</f>
        <v>46337</v>
      </c>
      <c r="P1007" s="92">
        <f>_xll.qlCalendarAdvance(Calendar,O1007,NDays&amp;"D")</f>
        <v>46339</v>
      </c>
      <c r="Q1007" s="81">
        <v>2.5584108327802571E-2</v>
      </c>
      <c r="R1007" s="85">
        <v>2.5534310657082671E-2</v>
      </c>
    </row>
    <row r="1008" spans="14:18" x14ac:dyDescent="0.2">
      <c r="N1008" s="88" t="str">
        <f t="shared" si="21"/>
        <v>1w</v>
      </c>
      <c r="O1008" s="82">
        <f>_xll.qlCalendarAdvance(Calendar,O1007,N1008,"f",FALSE)</f>
        <v>46344</v>
      </c>
      <c r="P1008" s="92">
        <f>_xll.qlCalendarAdvance(Calendar,O1008,NDays&amp;"D")</f>
        <v>46346</v>
      </c>
      <c r="Q1008" s="81">
        <v>2.5598557477949906E-2</v>
      </c>
      <c r="R1008" s="85">
        <v>2.5548607363461429E-2</v>
      </c>
    </row>
    <row r="1009" spans="14:18" x14ac:dyDescent="0.2">
      <c r="N1009" s="88" t="str">
        <f t="shared" si="21"/>
        <v>1w</v>
      </c>
      <c r="O1009" s="82">
        <f>_xll.qlCalendarAdvance(Calendar,O1008,N1009,"f",FALSE)</f>
        <v>46351</v>
      </c>
      <c r="P1009" s="92">
        <f>_xll.qlCalendarAdvance(Calendar,O1009,NDays&amp;"D")</f>
        <v>46353</v>
      </c>
      <c r="Q1009" s="81">
        <v>2.5613084253716722E-2</v>
      </c>
      <c r="R1009" s="85">
        <v>2.5562981512692318E-2</v>
      </c>
    </row>
    <row r="1010" spans="14:18" x14ac:dyDescent="0.2">
      <c r="N1010" s="88" t="str">
        <f t="shared" si="21"/>
        <v>1w</v>
      </c>
      <c r="O1010" s="82">
        <f>_xll.qlCalendarAdvance(Calendar,O1009,N1010,"f",FALSE)</f>
        <v>46358</v>
      </c>
      <c r="P1010" s="92">
        <f>_xll.qlCalendarAdvance(Calendar,O1010,NDays&amp;"D")</f>
        <v>46360</v>
      </c>
      <c r="Q1010" s="81">
        <v>2.5627688655399553E-2</v>
      </c>
      <c r="R1010" s="85">
        <v>2.557743310493521E-2</v>
      </c>
    </row>
    <row r="1011" spans="14:18" x14ac:dyDescent="0.2">
      <c r="N1011" s="88" t="str">
        <f t="shared" si="21"/>
        <v>1w</v>
      </c>
      <c r="O1011" s="82">
        <f>_xll.qlCalendarAdvance(Calendar,O1010,N1011,"f",FALSE)</f>
        <v>46365</v>
      </c>
      <c r="P1011" s="92">
        <f>_xll.qlCalendarAdvance(Calendar,O1011,NDays&amp;"D")</f>
        <v>46367</v>
      </c>
      <c r="Q1011" s="81">
        <v>2.5642370683287206E-2</v>
      </c>
      <c r="R1011" s="85">
        <v>2.5591962140110169E-2</v>
      </c>
    </row>
    <row r="1012" spans="14:18" x14ac:dyDescent="0.2">
      <c r="N1012" s="88" t="str">
        <f t="shared" si="21"/>
        <v>1w</v>
      </c>
      <c r="O1012" s="82">
        <f>_xll.qlCalendarAdvance(Calendar,O1011,N1012,"f",FALSE)</f>
        <v>46372</v>
      </c>
      <c r="P1012" s="92">
        <f>_xll.qlCalendarAdvance(Calendar,O1012,NDays&amp;"D")</f>
        <v>46374</v>
      </c>
      <c r="Q1012" s="81">
        <v>2.5657130337673636E-2</v>
      </c>
      <c r="R1012" s="85">
        <v>2.5606568618297132E-2</v>
      </c>
    </row>
    <row r="1013" spans="14:18" x14ac:dyDescent="0.2">
      <c r="N1013" s="88" t="str">
        <f t="shared" si="21"/>
        <v>1w</v>
      </c>
      <c r="O1013" s="82">
        <f>_xll.qlCalendarAdvance(Calendar,O1012,N1013,"f",FALSE)</f>
        <v>46379</v>
      </c>
      <c r="P1013" s="92">
        <f>_xll.qlCalendarAdvance(Calendar,O1013,NDays&amp;"D")</f>
        <v>46385</v>
      </c>
      <c r="Q1013" s="81">
        <v>2.5680480918203435E-2</v>
      </c>
      <c r="R1013" s="85">
        <v>2.5633900396018205E-2</v>
      </c>
    </row>
    <row r="1014" spans="14:18" x14ac:dyDescent="0.2">
      <c r="N1014" s="88" t="str">
        <f t="shared" si="21"/>
        <v>1w</v>
      </c>
      <c r="O1014" s="82">
        <f>_xll.qlCalendarAdvance(Calendar,O1013,N1014,"f",FALSE)</f>
        <v>46386</v>
      </c>
      <c r="P1014" s="92">
        <f>_xll.qlCalendarAdvance(Calendar,O1014,NDays&amp;"D")</f>
        <v>46392</v>
      </c>
      <c r="Q1014" s="81">
        <v>2.5695440184947477E-2</v>
      </c>
      <c r="R1014" s="85">
        <v>2.5646311086120477E-2</v>
      </c>
    </row>
    <row r="1015" spans="14:18" x14ac:dyDescent="0.2">
      <c r="N1015" s="88" t="str">
        <f t="shared" si="21"/>
        <v>1w</v>
      </c>
      <c r="O1015" s="82">
        <f>_xll.qlCalendarAdvance(Calendar,O1014,N1015,"f",FALSE)</f>
        <v>46394</v>
      </c>
      <c r="P1015" s="92">
        <f>_xll.qlCalendarAdvance(Calendar,O1015,NDays&amp;"D")</f>
        <v>46398</v>
      </c>
      <c r="Q1015" s="81">
        <v>2.570832419877233E-2</v>
      </c>
      <c r="R1015" s="85">
        <v>2.5652978862424902E-2</v>
      </c>
    </row>
    <row r="1016" spans="14:18" x14ac:dyDescent="0.2">
      <c r="N1016" s="88" t="str">
        <f t="shared" si="21"/>
        <v>1w</v>
      </c>
      <c r="O1016" s="82">
        <f>_xll.qlCalendarAdvance(Calendar,O1015,N1016,"f",FALSE)</f>
        <v>46401</v>
      </c>
      <c r="P1016" s="92">
        <f>_xll.qlCalendarAdvance(Calendar,O1016,NDays&amp;"D")</f>
        <v>46405</v>
      </c>
      <c r="Q1016" s="81">
        <v>2.5723427631222838E-2</v>
      </c>
      <c r="R1016" s="85">
        <v>2.5667906175970145E-2</v>
      </c>
    </row>
    <row r="1017" spans="14:18" x14ac:dyDescent="0.2">
      <c r="N1017" s="88" t="str">
        <f t="shared" si="21"/>
        <v>1w</v>
      </c>
      <c r="O1017" s="82">
        <f>_xll.qlCalendarAdvance(Calendar,O1016,N1017,"f",FALSE)</f>
        <v>46408</v>
      </c>
      <c r="P1017" s="92">
        <f>_xll.qlCalendarAdvance(Calendar,O1017,NDays&amp;"D")</f>
        <v>46412</v>
      </c>
      <c r="Q1017" s="81">
        <v>2.5738608691794052E-2</v>
      </c>
      <c r="R1017" s="85">
        <v>2.5682910932527392E-2</v>
      </c>
    </row>
    <row r="1018" spans="14:18" x14ac:dyDescent="0.2">
      <c r="N1018" s="88" t="str">
        <f t="shared" si="21"/>
        <v>1w</v>
      </c>
      <c r="O1018" s="82">
        <f>_xll.qlCalendarAdvance(Calendar,O1017,N1018,"f",FALSE)</f>
        <v>46415</v>
      </c>
      <c r="P1018" s="92">
        <f>_xll.qlCalendarAdvance(Calendar,O1018,NDays&amp;"D")</f>
        <v>46419</v>
      </c>
      <c r="Q1018" s="81">
        <v>2.5747818798189659E-2</v>
      </c>
      <c r="R1018" s="85">
        <v>2.5697993132096641E-2</v>
      </c>
    </row>
    <row r="1019" spans="14:18" x14ac:dyDescent="0.2">
      <c r="N1019" s="88" t="str">
        <f t="shared" si="21"/>
        <v>1w</v>
      </c>
      <c r="O1019" s="82">
        <f>_xll.qlCalendarAdvance(Calendar,O1018,N1019,"f",FALSE)</f>
        <v>46422</v>
      </c>
      <c r="P1019" s="92">
        <f>_xll.qlCalendarAdvance(Calendar,O1019,NDays&amp;"D")</f>
        <v>46426</v>
      </c>
      <c r="Q1019" s="81">
        <v>2.5763135196741973E-2</v>
      </c>
      <c r="R1019" s="85">
        <v>2.571315277475783E-2</v>
      </c>
    </row>
    <row r="1020" spans="14:18" x14ac:dyDescent="0.2">
      <c r="N1020" s="88" t="str">
        <f t="shared" si="21"/>
        <v>1w</v>
      </c>
      <c r="O1020" s="82">
        <f>_xll.qlCalendarAdvance(Calendar,O1019,N1020,"f",FALSE)</f>
        <v>46429</v>
      </c>
      <c r="P1020" s="92">
        <f>_xll.qlCalendarAdvance(Calendar,O1020,NDays&amp;"D")</f>
        <v>46433</v>
      </c>
      <c r="Q1020" s="81">
        <v>2.5778529205652427E-2</v>
      </c>
      <c r="R1020" s="85">
        <v>2.5728389860510958E-2</v>
      </c>
    </row>
    <row r="1021" spans="14:18" x14ac:dyDescent="0.2">
      <c r="N1021" s="88" t="str">
        <f t="shared" si="21"/>
        <v>1w</v>
      </c>
      <c r="O1021" s="82">
        <f>_xll.qlCalendarAdvance(Calendar,O1020,N1021,"f",FALSE)</f>
        <v>46436</v>
      </c>
      <c r="P1021" s="92">
        <f>_xll.qlCalendarAdvance(Calendar,O1021,NDays&amp;"D")</f>
        <v>46440</v>
      </c>
      <c r="Q1021" s="81">
        <v>2.5794000825200794E-2</v>
      </c>
      <c r="R1021" s="85">
        <v>2.574370438927609E-2</v>
      </c>
    </row>
    <row r="1022" spans="14:18" x14ac:dyDescent="0.2">
      <c r="N1022" s="88" t="str">
        <f t="shared" si="21"/>
        <v>1w</v>
      </c>
      <c r="O1022" s="82">
        <f>_xll.qlCalendarAdvance(Calendar,O1021,N1022,"f",FALSE)</f>
        <v>46443</v>
      </c>
      <c r="P1022" s="92">
        <f>_xll.qlCalendarAdvance(Calendar,O1022,NDays&amp;"D")</f>
        <v>46447</v>
      </c>
      <c r="Q1022" s="81">
        <v>2.5815678427143784E-2</v>
      </c>
      <c r="R1022" s="85">
        <v>2.575909636113316E-2</v>
      </c>
    </row>
    <row r="1023" spans="14:18" x14ac:dyDescent="0.2">
      <c r="N1023" s="88" t="str">
        <f t="shared" si="21"/>
        <v>1w</v>
      </c>
      <c r="O1023" s="82">
        <f>_xll.qlCalendarAdvance(Calendar,O1022,N1023,"f",FALSE)</f>
        <v>46450</v>
      </c>
      <c r="P1023" s="92">
        <f>_xll.qlCalendarAdvance(Calendar,O1023,NDays&amp;"D")</f>
        <v>46454</v>
      </c>
      <c r="Q1023" s="81">
        <v>2.583132526286764E-2</v>
      </c>
      <c r="R1023" s="85">
        <v>2.5774565776162106E-2</v>
      </c>
    </row>
    <row r="1024" spans="14:18" x14ac:dyDescent="0.2">
      <c r="N1024" s="88" t="str">
        <f t="shared" si="21"/>
        <v>1w</v>
      </c>
      <c r="O1024" s="82">
        <f>_xll.qlCalendarAdvance(Calendar,O1023,N1024,"f",FALSE)</f>
        <v>46457</v>
      </c>
      <c r="P1024" s="92">
        <f>_xll.qlCalendarAdvance(Calendar,O1024,NDays&amp;"D")</f>
        <v>46461</v>
      </c>
      <c r="Q1024" s="81">
        <v>2.5847049728873053E-2</v>
      </c>
      <c r="R1024" s="85">
        <v>2.5790112634282991E-2</v>
      </c>
    </row>
    <row r="1025" spans="14:18" x14ac:dyDescent="0.2">
      <c r="N1025" s="88" t="str">
        <f t="shared" si="21"/>
        <v>1w</v>
      </c>
      <c r="O1025" s="82">
        <f>_xll.qlCalendarAdvance(Calendar,O1024,N1025,"f",FALSE)</f>
        <v>46464</v>
      </c>
      <c r="P1025" s="92">
        <f>_xll.qlCalendarAdvance(Calendar,O1025,NDays&amp;"D")</f>
        <v>46468</v>
      </c>
      <c r="Q1025" s="81">
        <v>2.5862851825469452E-2</v>
      </c>
      <c r="R1025" s="85">
        <v>2.5805736935415879E-2</v>
      </c>
    </row>
    <row r="1026" spans="14:18" x14ac:dyDescent="0.2">
      <c r="N1026" s="88" t="str">
        <f t="shared" si="21"/>
        <v>1w</v>
      </c>
      <c r="O1026" s="82">
        <f>_xll.qlCalendarAdvance(Calendar,O1025,N1026,"f",FALSE)</f>
        <v>46471</v>
      </c>
      <c r="P1026" s="92">
        <f>_xll.qlCalendarAdvance(Calendar,O1026,NDays&amp;"D")</f>
        <v>46477</v>
      </c>
      <c r="Q1026" s="81">
        <v>2.58812107426305E-2</v>
      </c>
      <c r="R1026" s="85">
        <v>2.583004532002775E-2</v>
      </c>
    </row>
    <row r="1027" spans="14:18" x14ac:dyDescent="0.2">
      <c r="N1027" s="88" t="str">
        <f t="shared" si="21"/>
        <v>1w</v>
      </c>
      <c r="O1027" s="82">
        <f>_xll.qlCalendarAdvance(Calendar,O1026,N1027,"f",FALSE)</f>
        <v>46478</v>
      </c>
      <c r="P1027" s="92">
        <f>_xll.qlCalendarAdvance(Calendar,O1027,NDays&amp;"D")</f>
        <v>46482</v>
      </c>
      <c r="Q1027" s="81">
        <v>2.5892611997799797E-2</v>
      </c>
      <c r="R1027" s="85">
        <v>2.5837217867197282E-2</v>
      </c>
    </row>
    <row r="1028" spans="14:18" x14ac:dyDescent="0.2">
      <c r="N1028" s="88" t="str">
        <f t="shared" si="21"/>
        <v>1w</v>
      </c>
      <c r="O1028" s="82">
        <f>_xll.qlCalendarAdvance(Calendar,O1027,N1028,"f",FALSE)</f>
        <v>46485</v>
      </c>
      <c r="P1028" s="92">
        <f>_xll.qlCalendarAdvance(Calendar,O1028,NDays&amp;"D")</f>
        <v>46489</v>
      </c>
      <c r="Q1028" s="81">
        <v>2.5908640290983165E-2</v>
      </c>
      <c r="R1028" s="85">
        <v>2.585307449776586E-2</v>
      </c>
    </row>
    <row r="1029" spans="14:18" x14ac:dyDescent="0.2">
      <c r="N1029" s="88" t="str">
        <f t="shared" si="21"/>
        <v>1w</v>
      </c>
      <c r="O1029" s="82">
        <f>_xll.qlCalendarAdvance(Calendar,O1028,N1029,"f",FALSE)</f>
        <v>46492</v>
      </c>
      <c r="P1029" s="92">
        <f>_xll.qlCalendarAdvance(Calendar,O1029,NDays&amp;"D")</f>
        <v>46496</v>
      </c>
      <c r="Q1029" s="81">
        <v>2.5924746209715188E-2</v>
      </c>
      <c r="R1029" s="85">
        <v>2.5869008571506313E-2</v>
      </c>
    </row>
    <row r="1030" spans="14:18" x14ac:dyDescent="0.2">
      <c r="N1030" s="88" t="str">
        <f t="shared" si="21"/>
        <v>1w</v>
      </c>
      <c r="O1030" s="82">
        <f>_xll.qlCalendarAdvance(Calendar,O1029,N1030,"f",FALSE)</f>
        <v>46499</v>
      </c>
      <c r="P1030" s="92">
        <f>_xll.qlCalendarAdvance(Calendar,O1030,NDays&amp;"D")</f>
        <v>46503</v>
      </c>
      <c r="Q1030" s="81">
        <v>2.5940929754304953E-2</v>
      </c>
      <c r="R1030" s="85">
        <v>2.5885020088418642E-2</v>
      </c>
    </row>
    <row r="1031" spans="14:18" x14ac:dyDescent="0.2">
      <c r="N1031" s="88" t="str">
        <f t="shared" si="21"/>
        <v>1w</v>
      </c>
      <c r="O1031" s="82">
        <f>_xll.qlCalendarAdvance(Calendar,O1030,N1031,"f",FALSE)</f>
        <v>46506</v>
      </c>
      <c r="P1031" s="92">
        <f>_xll.qlCalendarAdvance(Calendar,O1031,NDays&amp;"D")</f>
        <v>46510</v>
      </c>
      <c r="Q1031" s="81">
        <v>2.5959294665338497E-2</v>
      </c>
      <c r="R1031" s="85">
        <v>2.5903193264142921E-2</v>
      </c>
    </row>
    <row r="1032" spans="14:18" x14ac:dyDescent="0.2">
      <c r="N1032" s="88" t="str">
        <f t="shared" si="21"/>
        <v>1w</v>
      </c>
      <c r="O1032" s="82">
        <f>_xll.qlCalendarAdvance(Calendar,O1031,N1032,"f",FALSE)</f>
        <v>46514</v>
      </c>
      <c r="P1032" s="92">
        <f>_xll.qlCalendarAdvance(Calendar,O1032,NDays&amp;"D")</f>
        <v>46518</v>
      </c>
      <c r="Q1032" s="81">
        <v>2.5977981596664708E-2</v>
      </c>
      <c r="R1032" s="85">
        <v>2.5919591259864205E-2</v>
      </c>
    </row>
    <row r="1033" spans="14:18" x14ac:dyDescent="0.2">
      <c r="N1033" s="88" t="str">
        <f t="shared" si="21"/>
        <v>1w</v>
      </c>
      <c r="O1033" s="82">
        <f>_xll.qlCalendarAdvance(Calendar,O1032,N1033,"f",FALSE)</f>
        <v>46521</v>
      </c>
      <c r="P1033" s="92">
        <f>_xll.qlCalendarAdvance(Calendar,O1033,NDays&amp;"D")</f>
        <v>46526</v>
      </c>
      <c r="Q1033" s="81">
        <v>2.6001010387960738E-2</v>
      </c>
      <c r="R1033" s="85">
        <v>2.5942374419463121E-2</v>
      </c>
    </row>
    <row r="1034" spans="14:18" x14ac:dyDescent="0.2">
      <c r="N1034" s="88" t="str">
        <f t="shared" si="21"/>
        <v>1w</v>
      </c>
      <c r="O1034" s="82">
        <f>_xll.qlCalendarAdvance(Calendar,O1033,N1034,"f",FALSE)</f>
        <v>46528</v>
      </c>
      <c r="P1034" s="92">
        <f>_xll.qlCalendarAdvance(Calendar,O1034,NDays&amp;"D")</f>
        <v>46532</v>
      </c>
      <c r="Q1034" s="81">
        <v>2.6017306852613262E-2</v>
      </c>
      <c r="R1034" s="85">
        <v>2.5952178522592462E-2</v>
      </c>
    </row>
    <row r="1035" spans="14:18" x14ac:dyDescent="0.2">
      <c r="N1035" s="88" t="str">
        <f t="shared" si="21"/>
        <v>1w</v>
      </c>
      <c r="O1035" s="82">
        <f>_xll.qlCalendarAdvance(Calendar,O1034,N1035,"f",FALSE)</f>
        <v>46535</v>
      </c>
      <c r="P1035" s="92">
        <f>_xll.qlCalendarAdvance(Calendar,O1035,NDays&amp;"D")</f>
        <v>46539</v>
      </c>
      <c r="Q1035" s="81">
        <v>2.6025385595787931E-2</v>
      </c>
      <c r="R1035" s="85">
        <v>2.5968588318834307E-2</v>
      </c>
    </row>
    <row r="1036" spans="14:18" x14ac:dyDescent="0.2">
      <c r="N1036" s="88" t="str">
        <f t="shared" si="21"/>
        <v>1w</v>
      </c>
      <c r="O1036" s="82">
        <f>_xll.qlCalendarAdvance(Calendar,O1035,N1036,"f",FALSE)</f>
        <v>46542</v>
      </c>
      <c r="P1036" s="92">
        <f>_xll.qlCalendarAdvance(Calendar,O1036,NDays&amp;"D")</f>
        <v>46546</v>
      </c>
      <c r="Q1036" s="81">
        <v>2.6042045991877316E-2</v>
      </c>
      <c r="R1036" s="85">
        <v>2.5985075558248028E-2</v>
      </c>
    </row>
    <row r="1037" spans="14:18" x14ac:dyDescent="0.2">
      <c r="N1037" s="88" t="str">
        <f t="shared" si="21"/>
        <v>1w</v>
      </c>
      <c r="O1037" s="82">
        <f>_xll.qlCalendarAdvance(Calendar,O1036,N1037,"f",FALSE)</f>
        <v>46549</v>
      </c>
      <c r="P1037" s="92">
        <f>_xll.qlCalendarAdvance(Calendar,O1037,NDays&amp;"D")</f>
        <v>46553</v>
      </c>
      <c r="Q1037" s="81">
        <v>2.6058784016094627E-2</v>
      </c>
      <c r="R1037" s="85">
        <v>2.6001640240913559E-2</v>
      </c>
    </row>
    <row r="1038" spans="14:18" x14ac:dyDescent="0.2">
      <c r="N1038" s="88" t="str">
        <f t="shared" si="21"/>
        <v>1w</v>
      </c>
      <c r="O1038" s="82">
        <f>_xll.qlCalendarAdvance(Calendar,O1037,N1038,"f",FALSE)</f>
        <v>46556</v>
      </c>
      <c r="P1038" s="92">
        <f>_xll.qlCalendarAdvance(Calendar,O1038,NDays&amp;"D")</f>
        <v>46560</v>
      </c>
      <c r="Q1038" s="81">
        <v>2.6075599668770266E-2</v>
      </c>
      <c r="R1038" s="85">
        <v>2.6024681140881523E-2</v>
      </c>
    </row>
    <row r="1039" spans="14:18" x14ac:dyDescent="0.2">
      <c r="N1039" s="88" t="str">
        <f t="shared" si="21"/>
        <v>1w</v>
      </c>
      <c r="O1039" s="82">
        <f>_xll.qlCalendarAdvance(Calendar,O1038,N1039,"f",FALSE)</f>
        <v>46566</v>
      </c>
      <c r="P1039" s="92">
        <f>_xll.qlCalendarAdvance(Calendar,O1039,NDays&amp;"D")</f>
        <v>46568</v>
      </c>
      <c r="Q1039" s="81">
        <v>2.6094912613208621E-2</v>
      </c>
      <c r="R1039" s="85">
        <v>2.6041677282462317E-2</v>
      </c>
    </row>
    <row r="1040" spans="14:18" x14ac:dyDescent="0.2">
      <c r="N1040" s="88" t="str">
        <f t="shared" si="21"/>
        <v>1w</v>
      </c>
      <c r="O1040" s="82">
        <f>_xll.qlCalendarAdvance(Calendar,O1039,N1040,"f",FALSE)</f>
        <v>46573</v>
      </c>
      <c r="P1040" s="92">
        <f>_xll.qlCalendarAdvance(Calendar,O1040,NDays&amp;"D")</f>
        <v>46575</v>
      </c>
      <c r="Q1040" s="81">
        <v>2.6118396091857319E-2</v>
      </c>
      <c r="R1040" s="85">
        <v>2.6058498855583423E-2</v>
      </c>
    </row>
    <row r="1041" spans="14:18" x14ac:dyDescent="0.2">
      <c r="N1041" s="88" t="str">
        <f t="shared" si="21"/>
        <v>1w</v>
      </c>
      <c r="O1041" s="82">
        <f>_xll.qlCalendarAdvance(Calendar,O1040,N1041,"f",FALSE)</f>
        <v>46580</v>
      </c>
      <c r="P1041" s="92">
        <f>_xll.qlCalendarAdvance(Calendar,O1041,NDays&amp;"D")</f>
        <v>46582</v>
      </c>
      <c r="Q1041" s="81">
        <v>2.6135476070631665E-2</v>
      </c>
      <c r="R1041" s="85">
        <v>2.6075397884799401E-2</v>
      </c>
    </row>
    <row r="1042" spans="14:18" x14ac:dyDescent="0.2">
      <c r="N1042" s="88" t="str">
        <f t="shared" si="21"/>
        <v>1w</v>
      </c>
      <c r="O1042" s="82">
        <f>_xll.qlCalendarAdvance(Calendar,O1041,N1042,"f",FALSE)</f>
        <v>46587</v>
      </c>
      <c r="P1042" s="92">
        <f>_xll.qlCalendarAdvance(Calendar,O1042,NDays&amp;"D")</f>
        <v>46589</v>
      </c>
      <c r="Q1042" s="81">
        <v>2.6152633698616708E-2</v>
      </c>
      <c r="R1042" s="85">
        <v>2.609237437011025E-2</v>
      </c>
    </row>
    <row r="1043" spans="14:18" x14ac:dyDescent="0.2">
      <c r="N1043" s="88" t="str">
        <f t="shared" si="21"/>
        <v>1w</v>
      </c>
      <c r="O1043" s="82">
        <f>_xll.qlCalendarAdvance(Calendar,O1042,N1043,"f",FALSE)</f>
        <v>46594</v>
      </c>
      <c r="P1043" s="92">
        <f>_xll.qlCalendarAdvance(Calendar,O1043,NDays&amp;"D")</f>
        <v>46596</v>
      </c>
      <c r="Q1043" s="81">
        <v>2.6169868976178217E-2</v>
      </c>
      <c r="R1043" s="85">
        <v>2.610942831156926E-2</v>
      </c>
    </row>
    <row r="1044" spans="14:18" x14ac:dyDescent="0.2">
      <c r="N1044" s="88" t="str">
        <f t="shared" si="21"/>
        <v>1w</v>
      </c>
      <c r="O1044" s="82">
        <f>_xll.qlCalendarAdvance(Calendar,O1043,N1044,"f",FALSE)</f>
        <v>46601</v>
      </c>
      <c r="P1044" s="92">
        <f>_xll.qlCalendarAdvance(Calendar,O1044,NDays&amp;"D")</f>
        <v>46603</v>
      </c>
      <c r="Q1044" s="81">
        <v>2.6187181903679534E-2</v>
      </c>
      <c r="R1044" s="85">
        <v>2.6126559709203079E-2</v>
      </c>
    </row>
    <row r="1045" spans="14:18" x14ac:dyDescent="0.2">
      <c r="N1045" s="88" t="str">
        <f t="shared" ref="N1045:N1108" si="22">N1044</f>
        <v>1w</v>
      </c>
      <c r="O1045" s="82">
        <f>_xll.qlCalendarAdvance(Calendar,O1044,N1045,"f",FALSE)</f>
        <v>46608</v>
      </c>
      <c r="P1045" s="92">
        <f>_xll.qlCalendarAdvance(Calendar,O1045,NDays&amp;"D")</f>
        <v>46610</v>
      </c>
      <c r="Q1045" s="81">
        <v>2.6204572481493701E-2</v>
      </c>
      <c r="R1045" s="85">
        <v>2.614376856303835E-2</v>
      </c>
    </row>
    <row r="1046" spans="14:18" x14ac:dyDescent="0.2">
      <c r="N1046" s="88" t="str">
        <f t="shared" si="22"/>
        <v>1w</v>
      </c>
      <c r="O1046" s="82">
        <f>_xll.qlCalendarAdvance(Calendar,O1045,N1046,"f",FALSE)</f>
        <v>46615</v>
      </c>
      <c r="P1046" s="92">
        <f>_xll.qlCalendarAdvance(Calendar,O1046,NDays&amp;"D")</f>
        <v>46617</v>
      </c>
      <c r="Q1046" s="81">
        <v>2.6222040709991328E-2</v>
      </c>
      <c r="R1046" s="85">
        <v>2.6161054873128364E-2</v>
      </c>
    </row>
    <row r="1047" spans="14:18" x14ac:dyDescent="0.2">
      <c r="N1047" s="88" t="str">
        <f t="shared" si="22"/>
        <v>1w</v>
      </c>
      <c r="O1047" s="82">
        <f>_xll.qlCalendarAdvance(Calendar,O1046,N1047,"f",FALSE)</f>
        <v>46622</v>
      </c>
      <c r="P1047" s="92">
        <f>_xll.qlCalendarAdvance(Calendar,O1047,NDays&amp;"D")</f>
        <v>46624</v>
      </c>
      <c r="Q1047" s="81">
        <v>2.6239586589540603E-2</v>
      </c>
      <c r="R1047" s="85">
        <v>2.6178418639473122E-2</v>
      </c>
    </row>
    <row r="1048" spans="14:18" x14ac:dyDescent="0.2">
      <c r="N1048" s="88" t="str">
        <f t="shared" si="22"/>
        <v>1w</v>
      </c>
      <c r="O1048" s="82">
        <f>_xll.qlCalendarAdvance(Calendar,O1047,N1048,"f",FALSE)</f>
        <v>46629</v>
      </c>
      <c r="P1048" s="92">
        <f>_xll.qlCalendarAdvance(Calendar,O1048,NDays&amp;"D")</f>
        <v>46631</v>
      </c>
      <c r="Q1048" s="81">
        <v>2.625054511471081E-2</v>
      </c>
      <c r="R1048" s="85">
        <v>2.6195859862125914E-2</v>
      </c>
    </row>
    <row r="1049" spans="14:18" x14ac:dyDescent="0.2">
      <c r="N1049" s="88" t="str">
        <f t="shared" si="22"/>
        <v>1w</v>
      </c>
      <c r="O1049" s="82">
        <f>_xll.qlCalendarAdvance(Calendar,O1048,N1049,"f",FALSE)</f>
        <v>46636</v>
      </c>
      <c r="P1049" s="92">
        <f>_xll.qlCalendarAdvance(Calendar,O1049,NDays&amp;"D")</f>
        <v>46638</v>
      </c>
      <c r="Q1049" s="81">
        <v>2.6268208488692935E-2</v>
      </c>
      <c r="R1049" s="85">
        <v>2.6213378541113386E-2</v>
      </c>
    </row>
    <row r="1050" spans="14:18" x14ac:dyDescent="0.2">
      <c r="N1050" s="88" t="str">
        <f t="shared" si="22"/>
        <v>1w</v>
      </c>
      <c r="O1050" s="82">
        <f>_xll.qlCalendarAdvance(Calendar,O1049,N1050,"f",FALSE)</f>
        <v>46643</v>
      </c>
      <c r="P1050" s="92">
        <f>_xll.qlCalendarAdvance(Calendar,O1050,NDays&amp;"D")</f>
        <v>46645</v>
      </c>
      <c r="Q1050" s="81">
        <v>2.6285885991605085E-2</v>
      </c>
      <c r="R1050" s="85">
        <v>2.6230974676488827E-2</v>
      </c>
    </row>
    <row r="1051" spans="14:18" x14ac:dyDescent="0.2">
      <c r="N1051" s="88" t="str">
        <f t="shared" si="22"/>
        <v>1w</v>
      </c>
      <c r="O1051" s="82">
        <f>_xll.qlCalendarAdvance(Calendar,O1050,N1051,"f",FALSE)</f>
        <v>46650</v>
      </c>
      <c r="P1051" s="92">
        <f>_xll.qlCalendarAdvance(Calendar,O1051,NDays&amp;"D")</f>
        <v>46652</v>
      </c>
      <c r="Q1051" s="81">
        <v>2.6303528231799156E-2</v>
      </c>
      <c r="R1051" s="85">
        <v>2.6248648268278885E-2</v>
      </c>
    </row>
    <row r="1052" spans="14:18" x14ac:dyDescent="0.2">
      <c r="N1052" s="88" t="str">
        <f t="shared" si="22"/>
        <v>1w</v>
      </c>
      <c r="O1052" s="82">
        <f>_xll.qlCalendarAdvance(Calendar,O1051,N1052,"f",FALSE)</f>
        <v>46657</v>
      </c>
      <c r="P1052" s="92">
        <f>_xll.qlCalendarAdvance(Calendar,O1052,NDays&amp;"D")</f>
        <v>46659</v>
      </c>
      <c r="Q1052" s="81">
        <v>2.6321085817344603E-2</v>
      </c>
      <c r="R1052" s="85">
        <v>2.6266371291940871E-2</v>
      </c>
    </row>
    <row r="1053" spans="14:18" x14ac:dyDescent="0.2">
      <c r="N1053" s="88" t="str">
        <f t="shared" si="22"/>
        <v>1w</v>
      </c>
      <c r="O1053" s="82">
        <f>_xll.qlCalendarAdvance(Calendar,O1052,N1053,"f",FALSE)</f>
        <v>46664</v>
      </c>
      <c r="P1053" s="92">
        <f>_xll.qlCalendarAdvance(Calendar,O1053,NDays&amp;"D")</f>
        <v>46666</v>
      </c>
      <c r="Q1053" s="81">
        <v>2.6345103379110672E-2</v>
      </c>
      <c r="R1053" s="85">
        <v>2.6283988534618885E-2</v>
      </c>
    </row>
    <row r="1054" spans="14:18" x14ac:dyDescent="0.2">
      <c r="N1054" s="88" t="str">
        <f t="shared" si="22"/>
        <v>1w</v>
      </c>
      <c r="O1054" s="82">
        <f>_xll.qlCalendarAdvance(Calendar,O1053,N1054,"f",FALSE)</f>
        <v>46671</v>
      </c>
      <c r="P1054" s="92">
        <f>_xll.qlCalendarAdvance(Calendar,O1054,NDays&amp;"D")</f>
        <v>46673</v>
      </c>
      <c r="Q1054" s="81">
        <v>2.6362376166136802E-2</v>
      </c>
      <c r="R1054" s="85">
        <v>2.6301471971690304E-2</v>
      </c>
    </row>
    <row r="1055" spans="14:18" x14ac:dyDescent="0.2">
      <c r="N1055" s="88" t="str">
        <f t="shared" si="22"/>
        <v>1w</v>
      </c>
      <c r="O1055" s="82">
        <f>_xll.qlCalendarAdvance(Calendar,O1054,N1055,"f",FALSE)</f>
        <v>46678</v>
      </c>
      <c r="P1055" s="92">
        <f>_xll.qlCalendarAdvance(Calendar,O1055,NDays&amp;"D")</f>
        <v>46680</v>
      </c>
      <c r="Q1055" s="81">
        <v>2.6379514878072514E-2</v>
      </c>
      <c r="R1055" s="85">
        <v>2.6318821603075193E-2</v>
      </c>
    </row>
    <row r="1056" spans="14:18" x14ac:dyDescent="0.2">
      <c r="N1056" s="88" t="str">
        <f t="shared" si="22"/>
        <v>1w</v>
      </c>
      <c r="O1056" s="82">
        <f>_xll.qlCalendarAdvance(Calendar,O1055,N1056,"f",FALSE)</f>
        <v>46685</v>
      </c>
      <c r="P1056" s="92">
        <f>_xll.qlCalendarAdvance(Calendar,O1056,NDays&amp;"D")</f>
        <v>46687</v>
      </c>
      <c r="Q1056" s="81">
        <v>2.6396519514292845E-2</v>
      </c>
      <c r="R1056" s="85">
        <v>2.633603742872026E-2</v>
      </c>
    </row>
    <row r="1057" spans="14:18" x14ac:dyDescent="0.2">
      <c r="N1057" s="88" t="str">
        <f t="shared" si="22"/>
        <v>1w</v>
      </c>
      <c r="O1057" s="82">
        <f>_xll.qlCalendarAdvance(Calendar,O1056,N1057,"f",FALSE)</f>
        <v>46692</v>
      </c>
      <c r="P1057" s="92">
        <f>_xll.qlCalendarAdvance(Calendar,O1057,NDays&amp;"D")</f>
        <v>46694</v>
      </c>
      <c r="Q1057" s="81">
        <v>2.6406904190515057E-2</v>
      </c>
      <c r="R1057" s="85">
        <v>2.6353119448598861E-2</v>
      </c>
    </row>
    <row r="1058" spans="14:18" x14ac:dyDescent="0.2">
      <c r="N1058" s="88" t="str">
        <f t="shared" si="22"/>
        <v>1w</v>
      </c>
      <c r="O1058" s="82">
        <f>_xll.qlCalendarAdvance(Calendar,O1057,N1058,"f",FALSE)</f>
        <v>46699</v>
      </c>
      <c r="P1058" s="92">
        <f>_xll.qlCalendarAdvance(Calendar,O1058,NDays&amp;"D")</f>
        <v>46701</v>
      </c>
      <c r="Q1058" s="81">
        <v>2.6423665718267486E-2</v>
      </c>
      <c r="R1058" s="85">
        <v>2.6370067662631058E-2</v>
      </c>
    </row>
    <row r="1059" spans="14:18" x14ac:dyDescent="0.2">
      <c r="N1059" s="88" t="str">
        <f t="shared" si="22"/>
        <v>1w</v>
      </c>
      <c r="O1059" s="82">
        <f>_xll.qlCalendarAdvance(Calendar,O1058,N1059,"f",FALSE)</f>
        <v>46706</v>
      </c>
      <c r="P1059" s="92">
        <f>_xll.qlCalendarAdvance(Calendar,O1059,NDays&amp;"D")</f>
        <v>46708</v>
      </c>
      <c r="Q1059" s="81">
        <v>2.6440293195745035E-2</v>
      </c>
      <c r="R1059" s="85">
        <v>2.6386882070763562E-2</v>
      </c>
    </row>
    <row r="1060" spans="14:18" x14ac:dyDescent="0.2">
      <c r="N1060" s="88" t="str">
        <f t="shared" si="22"/>
        <v>1w</v>
      </c>
      <c r="O1060" s="82">
        <f>_xll.qlCalendarAdvance(Calendar,O1059,N1060,"f",FALSE)</f>
        <v>46713</v>
      </c>
      <c r="P1060" s="92">
        <f>_xll.qlCalendarAdvance(Calendar,O1060,NDays&amp;"D")</f>
        <v>46715</v>
      </c>
      <c r="Q1060" s="81">
        <v>2.6463197289555204E-2</v>
      </c>
      <c r="R1060" s="85">
        <v>2.6403562672943082E-2</v>
      </c>
    </row>
    <row r="1061" spans="14:18" x14ac:dyDescent="0.2">
      <c r="N1061" s="88" t="str">
        <f t="shared" si="22"/>
        <v>1w</v>
      </c>
      <c r="O1061" s="82">
        <f>_xll.qlCalendarAdvance(Calendar,O1060,N1061,"f",FALSE)</f>
        <v>46720</v>
      </c>
      <c r="P1061" s="92">
        <f>_xll.qlCalendarAdvance(Calendar,O1061,NDays&amp;"D")</f>
        <v>46722</v>
      </c>
      <c r="Q1061" s="81">
        <v>2.6479531537899413E-2</v>
      </c>
      <c r="R1061" s="85">
        <v>2.6420109469089681E-2</v>
      </c>
    </row>
    <row r="1062" spans="14:18" x14ac:dyDescent="0.2">
      <c r="N1062" s="88" t="str">
        <f t="shared" si="22"/>
        <v>1w</v>
      </c>
      <c r="O1062" s="82">
        <f>_xll.qlCalendarAdvance(Calendar,O1061,N1062,"f",FALSE)</f>
        <v>46727</v>
      </c>
      <c r="P1062" s="92">
        <f>_xll.qlCalendarAdvance(Calendar,O1062,NDays&amp;"D")</f>
        <v>46729</v>
      </c>
      <c r="Q1062" s="81">
        <v>2.6495731706846343E-2</v>
      </c>
      <c r="R1062" s="85">
        <v>2.643652245920336E-2</v>
      </c>
    </row>
    <row r="1063" spans="14:18" x14ac:dyDescent="0.2">
      <c r="N1063" s="88" t="str">
        <f t="shared" si="22"/>
        <v>1w</v>
      </c>
      <c r="O1063" s="82">
        <f>_xll.qlCalendarAdvance(Calendar,O1062,N1063,"f",FALSE)</f>
        <v>46734</v>
      </c>
      <c r="P1063" s="92">
        <f>_xll.qlCalendarAdvance(Calendar,O1063,NDays&amp;"D")</f>
        <v>46736</v>
      </c>
      <c r="Q1063" s="81">
        <v>2.6511797795800103E-2</v>
      </c>
      <c r="R1063" s="85">
        <v>2.6452801643177537E-2</v>
      </c>
    </row>
    <row r="1064" spans="14:18" x14ac:dyDescent="0.2">
      <c r="N1064" s="88" t="str">
        <f t="shared" si="22"/>
        <v>1w</v>
      </c>
      <c r="O1064" s="82">
        <f>_xll.qlCalendarAdvance(Calendar,O1063,N1064,"f",FALSE)</f>
        <v>46741</v>
      </c>
      <c r="P1064" s="92">
        <f>_xll.qlCalendarAdvance(Calendar,O1064,NDays&amp;"D")</f>
        <v>46743</v>
      </c>
      <c r="Q1064" s="81">
        <v>2.6527729804169651E-2</v>
      </c>
      <c r="R1064" s="85">
        <v>2.6471589757894876E-2</v>
      </c>
    </row>
    <row r="1065" spans="14:18" x14ac:dyDescent="0.2">
      <c r="N1065" s="88" t="str">
        <f t="shared" si="22"/>
        <v>1w</v>
      </c>
      <c r="O1065" s="82">
        <f>_xll.qlCalendarAdvance(Calendar,O1064,N1065,"f",FALSE)</f>
        <v>46748</v>
      </c>
      <c r="P1065" s="92">
        <f>_xll.qlCalendarAdvance(Calendar,O1065,NDays&amp;"D")</f>
        <v>46750</v>
      </c>
      <c r="Q1065" s="81">
        <v>2.6543527731366371E-2</v>
      </c>
      <c r="R1065" s="85">
        <v>2.6487560749544059E-2</v>
      </c>
    </row>
    <row r="1066" spans="14:18" x14ac:dyDescent="0.2">
      <c r="N1066" s="88" t="str">
        <f t="shared" si="22"/>
        <v>1w</v>
      </c>
      <c r="O1066" s="82">
        <f>_xll.qlCalendarAdvance(Calendar,O1065,N1066,"f",FALSE)</f>
        <v>46755</v>
      </c>
      <c r="P1066" s="92">
        <f>_xll.qlCalendarAdvance(Calendar,O1066,NDays&amp;"D")</f>
        <v>46757</v>
      </c>
      <c r="Q1066" s="81">
        <v>2.6559191576813749E-2</v>
      </c>
      <c r="R1066" s="85">
        <v>2.6503397953172581E-2</v>
      </c>
    </row>
    <row r="1067" spans="14:18" x14ac:dyDescent="0.2">
      <c r="N1067" s="88" t="str">
        <f t="shared" si="22"/>
        <v>1w</v>
      </c>
      <c r="O1067" s="82">
        <f>_xll.qlCalendarAdvance(Calendar,O1066,N1067,"f",FALSE)</f>
        <v>46762</v>
      </c>
      <c r="P1067" s="92">
        <f>_xll.qlCalendarAdvance(Calendar,O1067,NDays&amp;"D")</f>
        <v>46764</v>
      </c>
      <c r="Q1067" s="81">
        <v>2.6574721339932855E-2</v>
      </c>
      <c r="R1067" s="85">
        <v>2.6516580316773286E-2</v>
      </c>
    </row>
    <row r="1068" spans="14:18" x14ac:dyDescent="0.2">
      <c r="N1068" s="88" t="str">
        <f t="shared" si="22"/>
        <v>1w</v>
      </c>
      <c r="O1068" s="82">
        <f>_xll.qlCalendarAdvance(Calendar,O1067,N1068,"f",FALSE)</f>
        <v>46769</v>
      </c>
      <c r="P1068" s="92">
        <f>_xll.qlCalendarAdvance(Calendar,O1068,NDays&amp;"D")</f>
        <v>46771</v>
      </c>
      <c r="Q1068" s="81">
        <v>2.6590117020152026E-2</v>
      </c>
      <c r="R1068" s="85">
        <v>2.6532190469357175E-2</v>
      </c>
    </row>
    <row r="1069" spans="14:18" x14ac:dyDescent="0.2">
      <c r="N1069" s="88" t="str">
        <f t="shared" si="22"/>
        <v>1w</v>
      </c>
      <c r="O1069" s="82">
        <f>_xll.qlCalendarAdvance(Calendar,O1068,N1069,"f",FALSE)</f>
        <v>46776</v>
      </c>
      <c r="P1069" s="92">
        <f>_xll.qlCalendarAdvance(Calendar,O1069,NDays&amp;"D")</f>
        <v>46778</v>
      </c>
      <c r="Q1069" s="81">
        <v>2.6605378616906868E-2</v>
      </c>
      <c r="R1069" s="85">
        <v>2.6547666815455173E-2</v>
      </c>
    </row>
    <row r="1070" spans="14:18" x14ac:dyDescent="0.2">
      <c r="N1070" s="88" t="str">
        <f t="shared" si="22"/>
        <v>1w</v>
      </c>
      <c r="O1070" s="82">
        <f>_xll.qlCalendarAdvance(Calendar,O1069,N1070,"f",FALSE)</f>
        <v>46783</v>
      </c>
      <c r="P1070" s="92">
        <f>_xll.qlCalendarAdvance(Calendar,O1070,NDays&amp;"D")</f>
        <v>46785</v>
      </c>
      <c r="Q1070" s="81">
        <v>2.6612293844028911E-2</v>
      </c>
      <c r="R1070" s="85">
        <v>2.6563009355093925E-2</v>
      </c>
    </row>
    <row r="1071" spans="14:18" x14ac:dyDescent="0.2">
      <c r="N1071" s="88" t="str">
        <f t="shared" si="22"/>
        <v>1w</v>
      </c>
      <c r="O1071" s="82">
        <f>_xll.qlCalendarAdvance(Calendar,O1070,N1071,"f",FALSE)</f>
        <v>46790</v>
      </c>
      <c r="P1071" s="92">
        <f>_xll.qlCalendarAdvance(Calendar,O1071,NDays&amp;"D")</f>
        <v>46792</v>
      </c>
      <c r="Q1071" s="81">
        <v>2.6627321141540088E-2</v>
      </c>
      <c r="R1071" s="85">
        <v>2.6578218088166849E-2</v>
      </c>
    </row>
    <row r="1072" spans="14:18" x14ac:dyDescent="0.2">
      <c r="N1072" s="88" t="str">
        <f t="shared" si="22"/>
        <v>1w</v>
      </c>
      <c r="O1072" s="82">
        <f>_xll.qlCalendarAdvance(Calendar,O1071,N1072,"f",FALSE)</f>
        <v>46797</v>
      </c>
      <c r="P1072" s="92">
        <f>_xll.qlCalendarAdvance(Calendar,O1072,NDays&amp;"D")</f>
        <v>46799</v>
      </c>
      <c r="Q1072" s="81">
        <v>2.6642214391216366E-2</v>
      </c>
      <c r="R1072" s="85">
        <v>2.6593293014620656E-2</v>
      </c>
    </row>
    <row r="1073" spans="14:18" x14ac:dyDescent="0.2">
      <c r="N1073" s="88" t="str">
        <f t="shared" si="22"/>
        <v>1w</v>
      </c>
      <c r="O1073" s="82">
        <f>_xll.qlCalendarAdvance(Calendar,O1072,N1073,"f",FALSE)</f>
        <v>46804</v>
      </c>
      <c r="P1073" s="92">
        <f>_xll.qlCalendarAdvance(Calendar,O1073,NDays&amp;"D")</f>
        <v>46806</v>
      </c>
      <c r="Q1073" s="81">
        <v>2.6656973592572613E-2</v>
      </c>
      <c r="R1073" s="85">
        <v>2.6608234134455344E-2</v>
      </c>
    </row>
    <row r="1074" spans="14:18" x14ac:dyDescent="0.2">
      <c r="N1074" s="88" t="str">
        <f t="shared" si="22"/>
        <v>1w</v>
      </c>
      <c r="O1074" s="82">
        <f>_xll.qlCalendarAdvance(Calendar,O1073,N1074,"f",FALSE)</f>
        <v>46811</v>
      </c>
      <c r="P1074" s="92">
        <f>_xll.qlCalendarAdvance(Calendar,O1074,NDays&amp;"D")</f>
        <v>46813</v>
      </c>
      <c r="Q1074" s="81">
        <v>2.6679675329214125E-2</v>
      </c>
      <c r="R1074" s="85">
        <v>2.6623041447590978E-2</v>
      </c>
    </row>
    <row r="1075" spans="14:18" x14ac:dyDescent="0.2">
      <c r="N1075" s="88" t="str">
        <f t="shared" si="22"/>
        <v>1w</v>
      </c>
      <c r="O1075" s="82">
        <f>_xll.qlCalendarAdvance(Calendar,O1074,N1075,"f",FALSE)</f>
        <v>46818</v>
      </c>
      <c r="P1075" s="92">
        <f>_xll.qlCalendarAdvance(Calendar,O1075,NDays&amp;"D")</f>
        <v>46820</v>
      </c>
      <c r="Q1075" s="81">
        <v>2.6694132413555914E-2</v>
      </c>
      <c r="R1075" s="85">
        <v>2.6637714954000913E-2</v>
      </c>
    </row>
    <row r="1076" spans="14:18" x14ac:dyDescent="0.2">
      <c r="N1076" s="88" t="str">
        <f t="shared" si="22"/>
        <v>1w</v>
      </c>
      <c r="O1076" s="82">
        <f>_xll.qlCalendarAdvance(Calendar,O1075,N1076,"f",FALSE)</f>
        <v>46825</v>
      </c>
      <c r="P1076" s="92">
        <f>_xll.qlCalendarAdvance(Calendar,O1076,NDays&amp;"D")</f>
        <v>46827</v>
      </c>
      <c r="Q1076" s="81">
        <v>2.671045575447728E-2</v>
      </c>
      <c r="R1076" s="85">
        <v>2.6652254653605212E-2</v>
      </c>
    </row>
    <row r="1077" spans="14:18" x14ac:dyDescent="0.2">
      <c r="N1077" s="88" t="str">
        <f t="shared" si="22"/>
        <v>1w</v>
      </c>
      <c r="O1077" s="82">
        <f>_xll.qlCalendarAdvance(Calendar,O1076,N1077,"f",FALSE)</f>
        <v>46832</v>
      </c>
      <c r="P1077" s="92">
        <f>_xll.qlCalendarAdvance(Calendar,O1077,NDays&amp;"D")</f>
        <v>46834</v>
      </c>
      <c r="Q1077" s="81">
        <v>2.6722644319839135E-2</v>
      </c>
      <c r="R1077" s="85">
        <v>2.6666660546350585E-2</v>
      </c>
    </row>
    <row r="1078" spans="14:18" x14ac:dyDescent="0.2">
      <c r="N1078" s="88" t="str">
        <f t="shared" si="22"/>
        <v>1w</v>
      </c>
      <c r="O1078" s="82">
        <f>_xll.qlCalendarAdvance(Calendar,O1077,N1078,"f",FALSE)</f>
        <v>46839</v>
      </c>
      <c r="P1078" s="92">
        <f>_xll.qlCalendarAdvance(Calendar,O1078,NDays&amp;"D")</f>
        <v>46841</v>
      </c>
      <c r="Q1078" s="81">
        <v>2.673074500211392E-2</v>
      </c>
      <c r="R1078" s="85">
        <v>2.6680932632210386E-2</v>
      </c>
    </row>
    <row r="1079" spans="14:18" x14ac:dyDescent="0.2">
      <c r="N1079" s="88" t="str">
        <f t="shared" si="22"/>
        <v>1w</v>
      </c>
      <c r="O1079" s="82">
        <f>_xll.qlCalendarAdvance(Calendar,O1078,N1079,"f",FALSE)</f>
        <v>46846</v>
      </c>
      <c r="P1079" s="92">
        <f>_xll.qlCalendarAdvance(Calendar,O1079,NDays&amp;"D")</f>
        <v>46848</v>
      </c>
      <c r="Q1079" s="81">
        <v>2.6744691363206563E-2</v>
      </c>
      <c r="R1079" s="85">
        <v>2.6695070911131324E-2</v>
      </c>
    </row>
    <row r="1080" spans="14:18" x14ac:dyDescent="0.2">
      <c r="N1080" s="88" t="str">
        <f t="shared" si="22"/>
        <v>1w</v>
      </c>
      <c r="O1080" s="82">
        <f>_xll.qlCalendarAdvance(Calendar,O1079,N1080,"f",FALSE)</f>
        <v>46853</v>
      </c>
      <c r="P1080" s="92">
        <f>_xll.qlCalendarAdvance(Calendar,O1080,NDays&amp;"D")</f>
        <v>46855</v>
      </c>
      <c r="Q1080" s="81">
        <v>2.6758503663283584E-2</v>
      </c>
      <c r="R1080" s="85">
        <v>2.6713055012566045E-2</v>
      </c>
    </row>
    <row r="1081" spans="14:18" x14ac:dyDescent="0.2">
      <c r="N1081" s="88" t="str">
        <f t="shared" si="22"/>
        <v>1w</v>
      </c>
      <c r="O1081" s="82">
        <f>_xll.qlCalendarAdvance(Calendar,O1080,N1081,"f",FALSE)</f>
        <v>46861</v>
      </c>
      <c r="P1081" s="92">
        <f>_xll.qlCalendarAdvance(Calendar,O1081,NDays&amp;"D")</f>
        <v>46863</v>
      </c>
      <c r="Q1081" s="81">
        <v>2.6778041375009887E-2</v>
      </c>
      <c r="R1081" s="85">
        <v>2.6724901434009851E-2</v>
      </c>
    </row>
    <row r="1082" spans="14:18" x14ac:dyDescent="0.2">
      <c r="N1082" s="88" t="str">
        <f t="shared" si="22"/>
        <v>1w</v>
      </c>
      <c r="O1082" s="82">
        <f>_xll.qlCalendarAdvance(Calendar,O1081,N1082,"f",FALSE)</f>
        <v>46868</v>
      </c>
      <c r="P1082" s="92">
        <f>_xll.qlCalendarAdvance(Calendar,O1082,NDays&amp;"D")</f>
        <v>46870</v>
      </c>
      <c r="Q1082" s="81">
        <v>2.6791549255663905E-2</v>
      </c>
      <c r="R1082" s="85">
        <v>2.6740543761762936E-2</v>
      </c>
    </row>
    <row r="1083" spans="14:18" x14ac:dyDescent="0.2">
      <c r="N1083" s="88" t="str">
        <f t="shared" si="22"/>
        <v>1w</v>
      </c>
      <c r="O1083" s="82">
        <f>_xll.qlCalendarAdvance(Calendar,O1082,N1083,"f",FALSE)</f>
        <v>46875</v>
      </c>
      <c r="P1083" s="92">
        <f>_xll.qlCalendarAdvance(Calendar,O1083,NDays&amp;"D")</f>
        <v>46877</v>
      </c>
      <c r="Q1083" s="81">
        <v>2.6806863008996214E-2</v>
      </c>
      <c r="R1083" s="85">
        <v>2.6752160831868821E-2</v>
      </c>
    </row>
    <row r="1084" spans="14:18" x14ac:dyDescent="0.2">
      <c r="N1084" s="88" t="str">
        <f t="shared" si="22"/>
        <v>1w</v>
      </c>
      <c r="O1084" s="82">
        <f>_xll.qlCalendarAdvance(Calendar,O1083,N1084,"f",FALSE)</f>
        <v>46882</v>
      </c>
      <c r="P1084" s="92">
        <f>_xll.qlCalendarAdvance(Calendar,O1084,NDays&amp;"D")</f>
        <v>46884</v>
      </c>
      <c r="Q1084" s="81">
        <v>2.6818162772154486E-2</v>
      </c>
      <c r="R1084" s="85">
        <v>2.6765589848327664E-2</v>
      </c>
    </row>
    <row r="1085" spans="14:18" x14ac:dyDescent="0.2">
      <c r="N1085" s="88" t="str">
        <f t="shared" si="22"/>
        <v>1w</v>
      </c>
      <c r="O1085" s="82">
        <f>_xll.qlCalendarAdvance(Calendar,O1084,N1085,"f",FALSE)</f>
        <v>46889</v>
      </c>
      <c r="P1085" s="92">
        <f>_xll.qlCalendarAdvance(Calendar,O1085,NDays&amp;"D")</f>
        <v>46891</v>
      </c>
      <c r="Q1085" s="81">
        <v>2.6831268407041808E-2</v>
      </c>
      <c r="R1085" s="85">
        <v>2.6778885076446102E-2</v>
      </c>
    </row>
    <row r="1086" spans="14:18" x14ac:dyDescent="0.2">
      <c r="N1086" s="88" t="str">
        <f t="shared" si="22"/>
        <v>1w</v>
      </c>
      <c r="O1086" s="82">
        <f>_xll.qlCalendarAdvance(Calendar,O1085,N1086,"f",FALSE)</f>
        <v>46896</v>
      </c>
      <c r="P1086" s="92">
        <f>_xll.qlCalendarAdvance(Calendar,O1086,NDays&amp;"D")</f>
        <v>46899</v>
      </c>
      <c r="Q1086" s="81">
        <v>2.6844168450685504E-2</v>
      </c>
      <c r="R1086" s="85">
        <v>2.6793915800471524E-2</v>
      </c>
    </row>
    <row r="1087" spans="14:18" x14ac:dyDescent="0.2">
      <c r="N1087" s="88" t="str">
        <f t="shared" si="22"/>
        <v>1w</v>
      </c>
      <c r="O1087" s="82">
        <f>_xll.qlCalendarAdvance(Calendar,O1086,N1087,"f",FALSE)</f>
        <v>46903</v>
      </c>
      <c r="P1087" s="92">
        <f>_xll.qlCalendarAdvance(Calendar,O1087,NDays&amp;"D")</f>
        <v>46905</v>
      </c>
      <c r="Q1087" s="81">
        <v>2.6857077427767384E-2</v>
      </c>
      <c r="R1087" s="85">
        <v>2.6806924339277671E-2</v>
      </c>
    </row>
    <row r="1088" spans="14:18" x14ac:dyDescent="0.2">
      <c r="N1088" s="88" t="str">
        <f t="shared" si="22"/>
        <v>1w</v>
      </c>
      <c r="O1088" s="82">
        <f>_xll.qlCalendarAdvance(Calendar,O1087,N1088,"f",FALSE)</f>
        <v>46910</v>
      </c>
      <c r="P1088" s="92">
        <f>_xll.qlCalendarAdvance(Calendar,O1088,NDays&amp;"D")</f>
        <v>46912</v>
      </c>
      <c r="Q1088" s="81">
        <v>2.6869780812683874E-2</v>
      </c>
      <c r="R1088" s="85">
        <v>2.6817968030758976E-2</v>
      </c>
    </row>
    <row r="1089" spans="14:18" x14ac:dyDescent="0.2">
      <c r="N1089" s="88" t="str">
        <f t="shared" si="22"/>
        <v>1w</v>
      </c>
      <c r="O1089" s="82">
        <f>_xll.qlCalendarAdvance(Calendar,O1088,N1089,"f",FALSE)</f>
        <v>46917</v>
      </c>
      <c r="P1089" s="92">
        <f>_xll.qlCalendarAdvance(Calendar,O1089,NDays&amp;"D")</f>
        <v>46919</v>
      </c>
      <c r="Q1089" s="81">
        <v>2.6882350113361653E-2</v>
      </c>
      <c r="R1089" s="85">
        <v>2.6830728105435853E-2</v>
      </c>
    </row>
    <row r="1090" spans="14:18" x14ac:dyDescent="0.2">
      <c r="N1090" s="88" t="str">
        <f t="shared" si="22"/>
        <v>1w</v>
      </c>
      <c r="O1090" s="82">
        <f>_xll.qlCalendarAdvance(Calendar,O1089,N1090,"f",FALSE)</f>
        <v>46924</v>
      </c>
      <c r="P1090" s="92">
        <f>_xll.qlCalendarAdvance(Calendar,O1090,NDays&amp;"D")</f>
        <v>46926</v>
      </c>
      <c r="Q1090" s="81">
        <v>2.6894785329356075E-2</v>
      </c>
      <c r="R1090" s="85">
        <v>2.6845147225413868E-2</v>
      </c>
    </row>
    <row r="1091" spans="14:18" x14ac:dyDescent="0.2">
      <c r="N1091" s="88" t="str">
        <f t="shared" si="22"/>
        <v>1w</v>
      </c>
      <c r="O1091" s="82">
        <f>_xll.qlCalendarAdvance(Calendar,O1090,N1091,"f",FALSE)</f>
        <v>46931</v>
      </c>
      <c r="P1091" s="92">
        <f>_xll.qlCalendarAdvance(Calendar,O1091,NDays&amp;"D")</f>
        <v>46933</v>
      </c>
      <c r="Q1091" s="81">
        <v>2.6907086460222496E-2</v>
      </c>
      <c r="R1091" s="85">
        <v>2.6855846889608515E-2</v>
      </c>
    </row>
    <row r="1092" spans="14:18" x14ac:dyDescent="0.2">
      <c r="N1092" s="88" t="str">
        <f t="shared" si="22"/>
        <v>1w</v>
      </c>
      <c r="O1092" s="82">
        <f>_xll.qlCalendarAdvance(Calendar,O1091,N1092,"f",FALSE)</f>
        <v>46938</v>
      </c>
      <c r="P1092" s="92">
        <f>_xll.qlCalendarAdvance(Calendar,O1092,NDays&amp;"D")</f>
        <v>46940</v>
      </c>
      <c r="Q1092" s="81">
        <v>2.6919253505521268E-2</v>
      </c>
      <c r="R1092" s="85">
        <v>2.6868205599024364E-2</v>
      </c>
    </row>
    <row r="1093" spans="14:18" x14ac:dyDescent="0.2">
      <c r="N1093" s="88" t="str">
        <f t="shared" si="22"/>
        <v>1w</v>
      </c>
      <c r="O1093" s="82">
        <f>_xll.qlCalendarAdvance(Calendar,O1092,N1093,"f",FALSE)</f>
        <v>46945</v>
      </c>
      <c r="P1093" s="92">
        <f>_xll.qlCalendarAdvance(Calendar,O1093,NDays&amp;"D")</f>
        <v>46947</v>
      </c>
      <c r="Q1093" s="81">
        <v>2.6931286464817739E-2</v>
      </c>
      <c r="R1093" s="85">
        <v>2.6880430520019871E-2</v>
      </c>
    </row>
    <row r="1094" spans="14:18" x14ac:dyDescent="0.2">
      <c r="N1094" s="88" t="str">
        <f t="shared" si="22"/>
        <v>1w</v>
      </c>
      <c r="O1094" s="82">
        <f>_xll.qlCalendarAdvance(Calendar,O1093,N1094,"f",FALSE)</f>
        <v>46952</v>
      </c>
      <c r="P1094" s="92">
        <f>_xll.qlCalendarAdvance(Calendar,O1094,NDays&amp;"D")</f>
        <v>46954</v>
      </c>
      <c r="Q1094" s="81">
        <v>2.6943185337682252E-2</v>
      </c>
      <c r="R1094" s="85">
        <v>2.6892521652595036E-2</v>
      </c>
    </row>
    <row r="1095" spans="14:18" x14ac:dyDescent="0.2">
      <c r="N1095" s="88" t="str">
        <f t="shared" si="22"/>
        <v>1w</v>
      </c>
      <c r="O1095" s="82">
        <f>_xll.qlCalendarAdvance(Calendar,O1094,N1095,"f",FALSE)</f>
        <v>46959</v>
      </c>
      <c r="P1095" s="92">
        <f>_xll.qlCalendarAdvance(Calendar,O1095,NDays&amp;"D")</f>
        <v>46961</v>
      </c>
      <c r="Q1095" s="81">
        <v>2.6954950123695143E-2</v>
      </c>
      <c r="R1095" s="85">
        <v>2.6904478996669923E-2</v>
      </c>
    </row>
    <row r="1096" spans="14:18" x14ac:dyDescent="0.2">
      <c r="N1096" s="88" t="str">
        <f t="shared" si="22"/>
        <v>1w</v>
      </c>
      <c r="O1096" s="82">
        <f>_xll.qlCalendarAdvance(Calendar,O1095,N1096,"f",FALSE)</f>
        <v>46966</v>
      </c>
      <c r="P1096" s="92">
        <f>_xll.qlCalendarAdvance(Calendar,O1096,NDays&amp;"D")</f>
        <v>46968</v>
      </c>
      <c r="Q1096" s="81">
        <v>2.6966580822429254E-2</v>
      </c>
      <c r="R1096" s="85">
        <v>2.6916302552244531E-2</v>
      </c>
    </row>
    <row r="1097" spans="14:18" x14ac:dyDescent="0.2">
      <c r="N1097" s="88" t="str">
        <f t="shared" si="22"/>
        <v>1w</v>
      </c>
      <c r="O1097" s="82">
        <f>_xll.qlCalendarAdvance(Calendar,O1096,N1097,"f",FALSE)</f>
        <v>46973</v>
      </c>
      <c r="P1097" s="92">
        <f>_xll.qlCalendarAdvance(Calendar,O1097,NDays&amp;"D")</f>
        <v>46975</v>
      </c>
      <c r="Q1097" s="81">
        <v>2.6978077433474912E-2</v>
      </c>
      <c r="R1097" s="85">
        <v>2.6927992319398797E-2</v>
      </c>
    </row>
    <row r="1098" spans="14:18" x14ac:dyDescent="0.2">
      <c r="N1098" s="88" t="str">
        <f t="shared" si="22"/>
        <v>1w</v>
      </c>
      <c r="O1098" s="82">
        <f>_xll.qlCalendarAdvance(Calendar,O1097,N1098,"f",FALSE)</f>
        <v>46980</v>
      </c>
      <c r="P1098" s="92">
        <f>_xll.qlCalendarAdvance(Calendar,O1098,NDays&amp;"D")</f>
        <v>46982</v>
      </c>
      <c r="Q1098" s="81">
        <v>2.6989439956419947E-2</v>
      </c>
      <c r="R1098" s="85">
        <v>2.6939548297972848E-2</v>
      </c>
    </row>
    <row r="1099" spans="14:18" x14ac:dyDescent="0.2">
      <c r="N1099" s="88" t="str">
        <f t="shared" si="22"/>
        <v>1w</v>
      </c>
      <c r="O1099" s="82">
        <f>_xll.qlCalendarAdvance(Calendar,O1098,N1099,"f",FALSE)</f>
        <v>46987</v>
      </c>
      <c r="P1099" s="92">
        <f>_xll.qlCalendarAdvance(Calendar,O1099,NDays&amp;"D")</f>
        <v>46989</v>
      </c>
      <c r="Q1099" s="81">
        <v>2.7000668390859683E-2</v>
      </c>
      <c r="R1099" s="85">
        <v>2.6950970488046622E-2</v>
      </c>
    </row>
    <row r="1100" spans="14:18" x14ac:dyDescent="0.2">
      <c r="N1100" s="88" t="str">
        <f t="shared" si="22"/>
        <v>1w</v>
      </c>
      <c r="O1100" s="82">
        <f>_xll.qlCalendarAdvance(Calendar,O1099,N1100,"f",FALSE)</f>
        <v>46994</v>
      </c>
      <c r="P1100" s="92">
        <f>_xll.qlCalendarAdvance(Calendar,O1100,NDays&amp;"D")</f>
        <v>46996</v>
      </c>
      <c r="Q1100" s="81">
        <v>2.7006380570307062E-2</v>
      </c>
      <c r="R1100" s="85">
        <v>2.696225888954018E-2</v>
      </c>
    </row>
    <row r="1101" spans="14:18" x14ac:dyDescent="0.2">
      <c r="N1101" s="88" t="str">
        <f t="shared" si="22"/>
        <v>1w</v>
      </c>
      <c r="O1101" s="82">
        <f>_xll.qlCalendarAdvance(Calendar,O1100,N1101,"f",FALSE)</f>
        <v>47001</v>
      </c>
      <c r="P1101" s="92">
        <f>_xll.qlCalendarAdvance(Calendar,O1101,NDays&amp;"D")</f>
        <v>47003</v>
      </c>
      <c r="Q1101" s="81">
        <v>2.7022722992627035E-2</v>
      </c>
      <c r="R1101" s="85">
        <v>2.6973413502613397E-2</v>
      </c>
    </row>
    <row r="1102" spans="14:18" x14ac:dyDescent="0.2">
      <c r="N1102" s="88" t="str">
        <f t="shared" si="22"/>
        <v>1w</v>
      </c>
      <c r="O1102" s="82">
        <f>_xll.qlCalendarAdvance(Calendar,O1101,N1102,"f",FALSE)</f>
        <v>47008</v>
      </c>
      <c r="P1102" s="92">
        <f>_xll.qlCalendarAdvance(Calendar,O1102,NDays&amp;"D")</f>
        <v>47010</v>
      </c>
      <c r="Q1102" s="81">
        <v>2.703354915916778E-2</v>
      </c>
      <c r="R1102" s="85">
        <v>2.6984434327026463E-2</v>
      </c>
    </row>
    <row r="1103" spans="14:18" x14ac:dyDescent="0.2">
      <c r="N1103" s="88" t="str">
        <f t="shared" si="22"/>
        <v>1w</v>
      </c>
      <c r="O1103" s="82">
        <f>_xll.qlCalendarAdvance(Calendar,O1102,N1103,"f",FALSE)</f>
        <v>47015</v>
      </c>
      <c r="P1103" s="92">
        <f>_xll.qlCalendarAdvance(Calendar,O1103,NDays&amp;"D")</f>
        <v>47017</v>
      </c>
      <c r="Q1103" s="81">
        <v>2.7044241235626987E-2</v>
      </c>
      <c r="R1103" s="85">
        <v>2.6995321362939251E-2</v>
      </c>
    </row>
    <row r="1104" spans="14:18" x14ac:dyDescent="0.2">
      <c r="N1104" s="88" t="str">
        <f t="shared" si="22"/>
        <v>1w</v>
      </c>
      <c r="O1104" s="82">
        <f>_xll.qlCalendarAdvance(Calendar,O1103,N1104,"f",FALSE)</f>
        <v>47022</v>
      </c>
      <c r="P1104" s="92">
        <f>_xll.qlCalendarAdvance(Calendar,O1104,NDays&amp;"D")</f>
        <v>47024</v>
      </c>
      <c r="Q1104" s="81">
        <v>2.7054799221629955E-2</v>
      </c>
      <c r="R1104" s="85">
        <v>2.7006074610191888E-2</v>
      </c>
    </row>
    <row r="1105" spans="14:18" x14ac:dyDescent="0.2">
      <c r="N1105" s="88" t="str">
        <f t="shared" si="22"/>
        <v>1w</v>
      </c>
      <c r="O1105" s="82">
        <f>_xll.qlCalendarAdvance(Calendar,O1104,N1105,"f",FALSE)</f>
        <v>47029</v>
      </c>
      <c r="P1105" s="92">
        <f>_xll.qlCalendarAdvance(Calendar,O1105,NDays&amp;"D")</f>
        <v>47031</v>
      </c>
      <c r="Q1105" s="81">
        <v>2.7065223116791992E-2</v>
      </c>
      <c r="R1105" s="85">
        <v>2.7016694068864311E-2</v>
      </c>
    </row>
    <row r="1106" spans="14:18" x14ac:dyDescent="0.2">
      <c r="N1106" s="88" t="str">
        <f t="shared" si="22"/>
        <v>1w</v>
      </c>
      <c r="O1106" s="82">
        <f>_xll.qlCalendarAdvance(Calendar,O1105,N1106,"f",FALSE)</f>
        <v>47036</v>
      </c>
      <c r="P1106" s="92">
        <f>_xll.qlCalendarAdvance(Calendar,O1106,NDays&amp;"D")</f>
        <v>47038</v>
      </c>
      <c r="Q1106" s="81">
        <v>2.707551292074839E-2</v>
      </c>
      <c r="R1106" s="85">
        <v>2.7027179738956519E-2</v>
      </c>
    </row>
    <row r="1107" spans="14:18" x14ac:dyDescent="0.2">
      <c r="N1107" s="88" t="str">
        <f t="shared" si="22"/>
        <v>1w</v>
      </c>
      <c r="O1107" s="82">
        <f>_xll.qlCalendarAdvance(Calendar,O1106,N1107,"f",FALSE)</f>
        <v>47043</v>
      </c>
      <c r="P1107" s="92">
        <f>_xll.qlCalendarAdvance(Calendar,O1107,NDays&amp;"D")</f>
        <v>47045</v>
      </c>
      <c r="Q1107" s="81">
        <v>2.7085668633126947E-2</v>
      </c>
      <c r="R1107" s="85">
        <v>2.7037531620388577E-2</v>
      </c>
    </row>
    <row r="1108" spans="14:18" x14ac:dyDescent="0.2">
      <c r="N1108" s="88" t="str">
        <f t="shared" si="22"/>
        <v>1w</v>
      </c>
      <c r="O1108" s="82">
        <f>_xll.qlCalendarAdvance(Calendar,O1107,N1108,"f",FALSE)</f>
        <v>47050</v>
      </c>
      <c r="P1108" s="92">
        <f>_xll.qlCalendarAdvance(Calendar,O1108,NDays&amp;"D")</f>
        <v>47052</v>
      </c>
      <c r="Q1108" s="81">
        <v>2.709569025356795E-2</v>
      </c>
      <c r="R1108" s="85">
        <v>2.7047749713240421E-2</v>
      </c>
    </row>
    <row r="1109" spans="14:18" x14ac:dyDescent="0.2">
      <c r="N1109" s="88" t="str">
        <f t="shared" ref="N1109:N1172" si="23">N1108</f>
        <v>1w</v>
      </c>
      <c r="O1109" s="82">
        <f>_xll.qlCalendarAdvance(Calendar,O1108,N1109,"f",FALSE)</f>
        <v>47057</v>
      </c>
      <c r="P1109" s="92">
        <f>_xll.qlCalendarAdvance(Calendar,O1109,NDays&amp;"D")</f>
        <v>47059</v>
      </c>
      <c r="Q1109" s="81">
        <v>2.7105577781714185E-2</v>
      </c>
      <c r="R1109" s="85">
        <v>2.7057834017432114E-2</v>
      </c>
    </row>
    <row r="1110" spans="14:18" x14ac:dyDescent="0.2">
      <c r="N1110" s="88" t="str">
        <f t="shared" si="23"/>
        <v>1w</v>
      </c>
      <c r="O1110" s="82">
        <f>_xll.qlCalendarAdvance(Calendar,O1109,N1110,"f",FALSE)</f>
        <v>47064</v>
      </c>
      <c r="P1110" s="92">
        <f>_xll.qlCalendarAdvance(Calendar,O1110,NDays&amp;"D")</f>
        <v>47066</v>
      </c>
      <c r="Q1110" s="81">
        <v>2.7115331217210936E-2</v>
      </c>
      <c r="R1110" s="85">
        <v>2.7067784532963657E-2</v>
      </c>
    </row>
    <row r="1111" spans="14:18" x14ac:dyDescent="0.2">
      <c r="N1111" s="88" t="str">
        <f t="shared" si="23"/>
        <v>1w</v>
      </c>
      <c r="O1111" s="82">
        <f>_xll.qlCalendarAdvance(Calendar,O1110,N1111,"f",FALSE)</f>
        <v>47071</v>
      </c>
      <c r="P1111" s="92">
        <f>_xll.qlCalendarAdvance(Calendar,O1111,NDays&amp;"D")</f>
        <v>47073</v>
      </c>
      <c r="Q1111" s="81">
        <v>2.7124950559708483E-2</v>
      </c>
      <c r="R1111" s="85">
        <v>2.7077601259835049E-2</v>
      </c>
    </row>
    <row r="1112" spans="14:18" x14ac:dyDescent="0.2">
      <c r="N1112" s="88" t="str">
        <f t="shared" si="23"/>
        <v>1w</v>
      </c>
      <c r="O1112" s="82">
        <f>_xll.qlCalendarAdvance(Calendar,O1111,N1112,"f",FALSE)</f>
        <v>47078</v>
      </c>
      <c r="P1112" s="92">
        <f>_xll.qlCalendarAdvance(Calendar,O1112,NDays&amp;"D")</f>
        <v>47080</v>
      </c>
      <c r="Q1112" s="81">
        <v>2.713780872178518E-2</v>
      </c>
      <c r="R1112" s="85">
        <v>2.7087284198046291E-2</v>
      </c>
    </row>
    <row r="1113" spans="14:18" x14ac:dyDescent="0.2">
      <c r="N1113" s="88" t="str">
        <f t="shared" si="23"/>
        <v>1w</v>
      </c>
      <c r="O1113" s="82">
        <f>_xll.qlCalendarAdvance(Calendar,O1112,N1113,"f",FALSE)</f>
        <v>47085</v>
      </c>
      <c r="P1113" s="92">
        <f>_xll.qlCalendarAdvance(Calendar,O1113,NDays&amp;"D")</f>
        <v>47087</v>
      </c>
      <c r="Q1113" s="81">
        <v>2.7138748505962228E-2</v>
      </c>
      <c r="R1113" s="85">
        <v>2.7096833347597382E-2</v>
      </c>
    </row>
    <row r="1114" spans="14:18" x14ac:dyDescent="0.2">
      <c r="N1114" s="88" t="str">
        <f t="shared" si="23"/>
        <v>1w</v>
      </c>
      <c r="O1114" s="82">
        <f>_xll.qlCalendarAdvance(Calendar,O1113,N1114,"f",FALSE)</f>
        <v>47092</v>
      </c>
      <c r="P1114" s="92">
        <f>_xll.qlCalendarAdvance(Calendar,O1114,NDays&amp;"D")</f>
        <v>47094</v>
      </c>
      <c r="Q1114" s="81">
        <v>2.7153004025828598E-2</v>
      </c>
      <c r="R1114" s="85">
        <v>2.7106248708408387E-2</v>
      </c>
    </row>
    <row r="1115" spans="14:18" x14ac:dyDescent="0.2">
      <c r="N1115" s="88" t="str">
        <f t="shared" si="23"/>
        <v>1w</v>
      </c>
      <c r="O1115" s="82">
        <f>_xll.qlCalendarAdvance(Calendar,O1114,N1115,"f",FALSE)</f>
        <v>47099</v>
      </c>
      <c r="P1115" s="92">
        <f>_xll.qlCalendarAdvance(Calendar,O1115,NDays&amp;"D")</f>
        <v>47101</v>
      </c>
      <c r="Q1115" s="81">
        <v>2.7162086992959522E-2</v>
      </c>
      <c r="R1115" s="85">
        <v>2.7115530280559241E-2</v>
      </c>
    </row>
    <row r="1116" spans="14:18" x14ac:dyDescent="0.2">
      <c r="N1116" s="88" t="str">
        <f t="shared" si="23"/>
        <v>1w</v>
      </c>
      <c r="O1116" s="82">
        <f>_xll.qlCalendarAdvance(Calendar,O1115,N1116,"f",FALSE)</f>
        <v>47106</v>
      </c>
      <c r="P1116" s="92">
        <f>_xll.qlCalendarAdvance(Calendar,O1116,NDays&amp;"D")</f>
        <v>47108</v>
      </c>
      <c r="Q1116" s="81">
        <v>2.7171035865425075E-2</v>
      </c>
      <c r="R1116" s="85">
        <v>2.7127267143001177E-2</v>
      </c>
    </row>
    <row r="1117" spans="14:18" x14ac:dyDescent="0.2">
      <c r="N1117" s="88" t="str">
        <f t="shared" si="23"/>
        <v>1w</v>
      </c>
      <c r="O1117" s="82">
        <f>_xll.qlCalendarAdvance(Calendar,O1116,N1117,"f",FALSE)</f>
        <v>47114</v>
      </c>
      <c r="P1117" s="92">
        <f>_xll.qlCalendarAdvance(Calendar,O1117,NDays&amp;"D")</f>
        <v>47116</v>
      </c>
      <c r="Q1117" s="81">
        <v>2.7182740040404049E-2</v>
      </c>
      <c r="R1117" s="85">
        <v>2.7136242912249031E-2</v>
      </c>
    </row>
    <row r="1118" spans="14:18" x14ac:dyDescent="0.2">
      <c r="N1118" s="88" t="str">
        <f t="shared" si="23"/>
        <v>1w</v>
      </c>
      <c r="O1118" s="82">
        <f>_xll.qlCalendarAdvance(Calendar,O1117,N1118,"f",FALSE)</f>
        <v>47121</v>
      </c>
      <c r="P1118" s="92">
        <f>_xll.qlCalendarAdvance(Calendar,O1118,NDays&amp;"D")</f>
        <v>47123</v>
      </c>
      <c r="Q1118" s="81">
        <v>2.7188127542410321E-2</v>
      </c>
      <c r="R1118" s="85">
        <v>2.7143829943891973E-2</v>
      </c>
    </row>
    <row r="1119" spans="14:18" x14ac:dyDescent="0.2">
      <c r="N1119" s="88" t="str">
        <f t="shared" si="23"/>
        <v>1w</v>
      </c>
      <c r="O1119" s="82">
        <f>_xll.qlCalendarAdvance(Calendar,O1118,N1119,"f",FALSE)</f>
        <v>47128</v>
      </c>
      <c r="P1119" s="92">
        <f>_xll.qlCalendarAdvance(Calendar,O1119,NDays&amp;"D")</f>
        <v>47130</v>
      </c>
      <c r="Q1119" s="81">
        <v>2.7196663906663206E-2</v>
      </c>
      <c r="R1119" s="85">
        <v>2.7152557248451004E-2</v>
      </c>
    </row>
    <row r="1120" spans="14:18" x14ac:dyDescent="0.2">
      <c r="N1120" s="88" t="str">
        <f t="shared" si="23"/>
        <v>1w</v>
      </c>
      <c r="O1120" s="82">
        <f>_xll.qlCalendarAdvance(Calendar,O1119,N1120,"f",FALSE)</f>
        <v>47135</v>
      </c>
      <c r="P1120" s="92">
        <f>_xll.qlCalendarAdvance(Calendar,O1120,NDays&amp;"D")</f>
        <v>47137</v>
      </c>
      <c r="Q1120" s="81">
        <v>2.720506618490412E-2</v>
      </c>
      <c r="R1120" s="85">
        <v>2.7161150764190012E-2</v>
      </c>
    </row>
    <row r="1121" spans="14:18" x14ac:dyDescent="0.2">
      <c r="N1121" s="88" t="str">
        <f t="shared" si="23"/>
        <v>1w</v>
      </c>
      <c r="O1121" s="82">
        <f>_xll.qlCalendarAdvance(Calendar,O1120,N1121,"f",FALSE)</f>
        <v>47142</v>
      </c>
      <c r="P1121" s="92">
        <f>_xll.qlCalendarAdvance(Calendar,O1121,NDays&amp;"D")</f>
        <v>47144</v>
      </c>
      <c r="Q1121" s="81">
        <v>2.7213334376836523E-2</v>
      </c>
      <c r="R1121" s="85">
        <v>2.7169610491188934E-2</v>
      </c>
    </row>
    <row r="1122" spans="14:18" x14ac:dyDescent="0.2">
      <c r="N1122" s="88" t="str">
        <f t="shared" si="23"/>
        <v>1w</v>
      </c>
      <c r="O1122" s="82">
        <f>_xll.qlCalendarAdvance(Calendar,O1121,N1122,"f",FALSE)</f>
        <v>47149</v>
      </c>
      <c r="P1122" s="92">
        <f>_xll.qlCalendarAdvance(Calendar,O1122,NDays&amp;"D")</f>
        <v>47151</v>
      </c>
      <c r="Q1122" s="81">
        <v>2.7216672425458555E-2</v>
      </c>
      <c r="R1122" s="85">
        <v>2.7177936429367833E-2</v>
      </c>
    </row>
    <row r="1123" spans="14:18" x14ac:dyDescent="0.2">
      <c r="N1123" s="88" t="str">
        <f t="shared" si="23"/>
        <v>1w</v>
      </c>
      <c r="O1123" s="82">
        <f>_xll.qlCalendarAdvance(Calendar,O1122,N1123,"f",FALSE)</f>
        <v>47156</v>
      </c>
      <c r="P1123" s="92">
        <f>_xll.qlCalendarAdvance(Calendar,O1123,NDays&amp;"D")</f>
        <v>47158</v>
      </c>
      <c r="Q1123" s="81">
        <v>2.7224699357765961E-2</v>
      </c>
      <c r="R1123" s="85">
        <v>2.7186128578806645E-2</v>
      </c>
    </row>
    <row r="1124" spans="14:18" x14ac:dyDescent="0.2">
      <c r="N1124" s="88" t="str">
        <f t="shared" si="23"/>
        <v>1w</v>
      </c>
      <c r="O1124" s="82">
        <f>_xll.qlCalendarAdvance(Calendar,O1123,N1124,"f",FALSE)</f>
        <v>47163</v>
      </c>
      <c r="P1124" s="92">
        <f>_xll.qlCalendarAdvance(Calendar,O1124,NDays&amp;"D")</f>
        <v>47165</v>
      </c>
      <c r="Q1124" s="81">
        <v>2.7232592232839484E-2</v>
      </c>
      <c r="R1124" s="85">
        <v>2.7194186939425435E-2</v>
      </c>
    </row>
    <row r="1125" spans="14:18" x14ac:dyDescent="0.2">
      <c r="N1125" s="88" t="str">
        <f t="shared" si="23"/>
        <v>1w</v>
      </c>
      <c r="O1125" s="82">
        <f>_xll.qlCalendarAdvance(Calendar,O1124,N1125,"f",FALSE)</f>
        <v>47170</v>
      </c>
      <c r="P1125" s="92">
        <f>_xll.qlCalendarAdvance(Calendar,O1125,NDays&amp;"D")</f>
        <v>47172</v>
      </c>
      <c r="Q1125" s="81">
        <v>2.7240351050439315E-2</v>
      </c>
      <c r="R1125" s="85">
        <v>2.7202111511304139E-2</v>
      </c>
    </row>
    <row r="1126" spans="14:18" x14ac:dyDescent="0.2">
      <c r="N1126" s="88" t="str">
        <f t="shared" si="23"/>
        <v>1w</v>
      </c>
      <c r="O1126" s="82">
        <f>_xll.qlCalendarAdvance(Calendar,O1125,N1126,"f",FALSE)</f>
        <v>47177</v>
      </c>
      <c r="P1126" s="92">
        <f>_xll.qlCalendarAdvance(Calendar,O1126,NDays&amp;"D")</f>
        <v>47179</v>
      </c>
      <c r="Q1126" s="81">
        <v>2.7254225213088068E-2</v>
      </c>
      <c r="R1126" s="85">
        <v>2.720990229436282E-2</v>
      </c>
    </row>
    <row r="1127" spans="14:18" x14ac:dyDescent="0.2">
      <c r="N1127" s="88" t="str">
        <f t="shared" si="23"/>
        <v>1w</v>
      </c>
      <c r="O1127" s="82">
        <f>_xll.qlCalendarAdvance(Calendar,O1126,N1127,"f",FALSE)</f>
        <v>47184</v>
      </c>
      <c r="P1127" s="92">
        <f>_xll.qlCalendarAdvance(Calendar,O1127,NDays&amp;"D")</f>
        <v>47186</v>
      </c>
      <c r="Q1127" s="81">
        <v>2.726012770035444E-2</v>
      </c>
      <c r="R1127" s="85">
        <v>2.7217559288441606E-2</v>
      </c>
    </row>
    <row r="1128" spans="14:18" x14ac:dyDescent="0.2">
      <c r="N1128" s="88" t="str">
        <f t="shared" si="23"/>
        <v>1w</v>
      </c>
      <c r="O1128" s="82">
        <f>_xll.qlCalendarAdvance(Calendar,O1127,N1128,"f",FALSE)</f>
        <v>47191</v>
      </c>
      <c r="P1128" s="92">
        <f>_xll.qlCalendarAdvance(Calendar,O1128,NDays&amp;"D")</f>
        <v>47193</v>
      </c>
      <c r="Q1128" s="81">
        <v>2.7267457280412168E-2</v>
      </c>
      <c r="R1128" s="85">
        <v>2.7225082493860242E-2</v>
      </c>
    </row>
    <row r="1129" spans="14:18" x14ac:dyDescent="0.2">
      <c r="N1129" s="88" t="str">
        <f t="shared" si="23"/>
        <v>1w</v>
      </c>
      <c r="O1129" s="82">
        <f>_xll.qlCalendarAdvance(Calendar,O1128,N1129,"f",FALSE)</f>
        <v>47198</v>
      </c>
      <c r="P1129" s="92">
        <f>_xll.qlCalendarAdvance(Calendar,O1129,NDays&amp;"D")</f>
        <v>47200</v>
      </c>
      <c r="Q1129" s="81">
        <v>2.7274652772008273E-2</v>
      </c>
      <c r="R1129" s="85">
        <v>2.7232471910378919E-2</v>
      </c>
    </row>
    <row r="1130" spans="14:18" x14ac:dyDescent="0.2">
      <c r="N1130" s="88" t="str">
        <f t="shared" si="23"/>
        <v>1w</v>
      </c>
      <c r="O1130" s="82">
        <f>_xll.qlCalendarAdvance(Calendar,O1129,N1130,"f",FALSE)</f>
        <v>47205</v>
      </c>
      <c r="P1130" s="92">
        <f>_xll.qlCalendarAdvance(Calendar,O1130,NDays&amp;"D")</f>
        <v>47211</v>
      </c>
      <c r="Q1130" s="81">
        <v>2.7284168380363738E-2</v>
      </c>
      <c r="R1130" s="85">
        <v>2.7241776001076801E-2</v>
      </c>
    </row>
    <row r="1131" spans="14:18" x14ac:dyDescent="0.2">
      <c r="N1131" s="88" t="str">
        <f t="shared" si="23"/>
        <v>1w</v>
      </c>
      <c r="O1131" s="82">
        <f>_xll.qlCalendarAdvance(Calendar,O1130,N1131,"f",FALSE)</f>
        <v>47212</v>
      </c>
      <c r="P1131" s="92">
        <f>_xll.qlCalendarAdvance(Calendar,O1131,NDays&amp;"D")</f>
        <v>47214</v>
      </c>
      <c r="Q1131" s="81">
        <v>2.7288641488825437E-2</v>
      </c>
      <c r="R1131" s="85">
        <v>2.724684937687627E-2</v>
      </c>
    </row>
    <row r="1132" spans="14:18" x14ac:dyDescent="0.2">
      <c r="N1132" s="88" t="str">
        <f t="shared" si="23"/>
        <v>1w</v>
      </c>
      <c r="O1132" s="82">
        <f>_xll.qlCalendarAdvance(Calendar,O1131,N1132,"f",FALSE)</f>
        <v>47219</v>
      </c>
      <c r="P1132" s="92">
        <f>_xll.qlCalendarAdvance(Calendar,O1132,NDays&amp;"D")</f>
        <v>47221</v>
      </c>
      <c r="Q1132" s="81">
        <v>2.729543471356172E-2</v>
      </c>
      <c r="R1132" s="85">
        <v>2.7253837426854943E-2</v>
      </c>
    </row>
    <row r="1133" spans="14:18" x14ac:dyDescent="0.2">
      <c r="N1133" s="88" t="str">
        <f t="shared" si="23"/>
        <v>1w</v>
      </c>
      <c r="O1133" s="82">
        <f>_xll.qlCalendarAdvance(Calendar,O1132,N1133,"f",FALSE)</f>
        <v>47226</v>
      </c>
      <c r="P1133" s="92">
        <f>_xll.qlCalendarAdvance(Calendar,O1133,NDays&amp;"D")</f>
        <v>47228</v>
      </c>
      <c r="Q1133" s="81">
        <v>2.730359172148672E-2</v>
      </c>
      <c r="R1133" s="85">
        <v>2.7260691687933658E-2</v>
      </c>
    </row>
    <row r="1134" spans="14:18" x14ac:dyDescent="0.2">
      <c r="N1134" s="88" t="str">
        <f t="shared" si="23"/>
        <v>1w</v>
      </c>
      <c r="O1134" s="82">
        <f>_xll.qlCalendarAdvance(Calendar,O1133,N1134,"f",FALSE)</f>
        <v>47233</v>
      </c>
      <c r="P1134" s="92">
        <f>_xll.qlCalendarAdvance(Calendar,O1134,NDays&amp;"D")</f>
        <v>47235</v>
      </c>
      <c r="Q1134" s="81">
        <v>2.7308618894521592E-2</v>
      </c>
      <c r="R1134" s="85">
        <v>2.726836130607424E-2</v>
      </c>
    </row>
    <row r="1135" spans="14:18" x14ac:dyDescent="0.2">
      <c r="N1135" s="88" t="str">
        <f t="shared" si="23"/>
        <v>1w</v>
      </c>
      <c r="O1135" s="82">
        <f>_xll.qlCalendarAdvance(Calendar,O1134,N1135,"f",FALSE)</f>
        <v>47240</v>
      </c>
      <c r="P1135" s="92">
        <f>_xll.qlCalendarAdvance(Calendar,O1135,NDays&amp;"D")</f>
        <v>47242</v>
      </c>
      <c r="Q1135" s="81">
        <v>2.7315009850291349E-2</v>
      </c>
      <c r="R1135" s="85">
        <v>2.7273998843471148E-2</v>
      </c>
    </row>
    <row r="1136" spans="14:18" x14ac:dyDescent="0.2">
      <c r="N1136" s="88" t="str">
        <f t="shared" si="23"/>
        <v>1w</v>
      </c>
      <c r="O1136" s="82">
        <f>_xll.qlCalendarAdvance(Calendar,O1135,N1136,"f",FALSE)</f>
        <v>47247</v>
      </c>
      <c r="P1136" s="92">
        <f>_xll.qlCalendarAdvance(Calendar,O1136,NDays&amp;"D")</f>
        <v>47252</v>
      </c>
      <c r="Q1136" s="81">
        <v>2.732390718176422E-2</v>
      </c>
      <c r="R1136" s="85">
        <v>2.7281362658468922E-2</v>
      </c>
    </row>
    <row r="1137" spans="14:18" x14ac:dyDescent="0.2">
      <c r="N1137" s="88" t="str">
        <f t="shared" si="23"/>
        <v>1w</v>
      </c>
      <c r="O1137" s="82">
        <f>_xll.qlCalendarAdvance(Calendar,O1136,N1137,"f",FALSE)</f>
        <v>47254</v>
      </c>
      <c r="P1137" s="92">
        <f>_xll.qlCalendarAdvance(Calendar,O1137,NDays&amp;"D")</f>
        <v>47256</v>
      </c>
      <c r="Q1137" s="81">
        <v>2.7327389491293985E-2</v>
      </c>
      <c r="R1137" s="85">
        <v>2.7287662651236388E-2</v>
      </c>
    </row>
    <row r="1138" spans="14:18" x14ac:dyDescent="0.2">
      <c r="N1138" s="88" t="str">
        <f t="shared" si="23"/>
        <v>1w</v>
      </c>
      <c r="O1138" s="82">
        <f>_xll.qlCalendarAdvance(Calendar,O1137,N1138,"f",FALSE)</f>
        <v>47261</v>
      </c>
      <c r="P1138" s="92">
        <f>_xll.qlCalendarAdvance(Calendar,O1138,NDays&amp;"D")</f>
        <v>47263</v>
      </c>
      <c r="Q1138" s="81">
        <v>2.7333378176103974E-2</v>
      </c>
      <c r="R1138" s="85">
        <v>2.7292956160067661E-2</v>
      </c>
    </row>
    <row r="1139" spans="14:18" x14ac:dyDescent="0.2">
      <c r="N1139" s="88" t="str">
        <f t="shared" si="23"/>
        <v>1w</v>
      </c>
      <c r="O1139" s="82">
        <f>_xll.qlCalendarAdvance(Calendar,O1138,N1139,"f",FALSE)</f>
        <v>47268</v>
      </c>
      <c r="P1139" s="92">
        <f>_xll.qlCalendarAdvance(Calendar,O1139,NDays&amp;"D")</f>
        <v>47270</v>
      </c>
      <c r="Q1139" s="81">
        <v>2.7339232770172875E-2</v>
      </c>
      <c r="R1139" s="85">
        <v>2.7299007687746624E-2</v>
      </c>
    </row>
    <row r="1140" spans="14:18" x14ac:dyDescent="0.2">
      <c r="N1140" s="88" t="str">
        <f t="shared" si="23"/>
        <v>1w</v>
      </c>
      <c r="O1140" s="82">
        <f>_xll.qlCalendarAdvance(Calendar,O1139,N1140,"f",FALSE)</f>
        <v>47275</v>
      </c>
      <c r="P1140" s="92">
        <f>_xll.qlCalendarAdvance(Calendar,O1140,NDays&amp;"D")</f>
        <v>47277</v>
      </c>
      <c r="Q1140" s="81">
        <v>2.7344953273299551E-2</v>
      </c>
      <c r="R1140" s="85">
        <v>2.7304925426525628E-2</v>
      </c>
    </row>
    <row r="1141" spans="14:18" x14ac:dyDescent="0.2">
      <c r="N1141" s="88" t="str">
        <f t="shared" si="23"/>
        <v>1w</v>
      </c>
      <c r="O1141" s="82">
        <f>_xll.qlCalendarAdvance(Calendar,O1140,N1141,"f",FALSE)</f>
        <v>47282</v>
      </c>
      <c r="P1141" s="92">
        <f>_xll.qlCalendarAdvance(Calendar,O1141,NDays&amp;"D")</f>
        <v>47284</v>
      </c>
      <c r="Q1141" s="81">
        <v>2.7350539685288035E-2</v>
      </c>
      <c r="R1141" s="85">
        <v>2.7310709376404674E-2</v>
      </c>
    </row>
    <row r="1142" spans="14:18" x14ac:dyDescent="0.2">
      <c r="N1142" s="88" t="str">
        <f t="shared" si="23"/>
        <v>1w</v>
      </c>
      <c r="O1142" s="82">
        <f>_xll.qlCalendarAdvance(Calendar,O1141,N1142,"f",FALSE)</f>
        <v>47289</v>
      </c>
      <c r="P1142" s="92">
        <f>_xll.qlCalendarAdvance(Calendar,O1142,NDays&amp;"D")</f>
        <v>47294</v>
      </c>
      <c r="Q1142" s="81">
        <v>2.7356875042404027E-2</v>
      </c>
      <c r="R1142" s="85">
        <v>2.7317155781654279E-2</v>
      </c>
    </row>
    <row r="1143" spans="14:18" x14ac:dyDescent="0.2">
      <c r="N1143" s="88" t="str">
        <f t="shared" si="23"/>
        <v>1w</v>
      </c>
      <c r="O1143" s="82">
        <f>_xll.qlCalendarAdvance(Calendar,O1142,N1143,"f",FALSE)</f>
        <v>47296</v>
      </c>
      <c r="P1143" s="92">
        <f>_xll.qlCalendarAdvance(Calendar,O1143,NDays&amp;"D")</f>
        <v>47298</v>
      </c>
      <c r="Q1143" s="81">
        <v>2.7362716812047716E-2</v>
      </c>
      <c r="R1143" s="85">
        <v>2.7321875909303017E-2</v>
      </c>
    </row>
    <row r="1144" spans="14:18" x14ac:dyDescent="0.2">
      <c r="N1144" s="88" t="str">
        <f t="shared" si="23"/>
        <v>1w</v>
      </c>
      <c r="O1144" s="82">
        <f>_xll.qlCalendarAdvance(Calendar,O1143,N1144,"f",FALSE)</f>
        <v>47303</v>
      </c>
      <c r="P1144" s="92">
        <f>_xll.qlCalendarAdvance(Calendar,O1144,NDays&amp;"D")</f>
        <v>47305</v>
      </c>
      <c r="Q1144" s="81">
        <v>2.7366494372508446E-2</v>
      </c>
      <c r="R1144" s="85">
        <v>2.7327258492402251E-2</v>
      </c>
    </row>
    <row r="1145" spans="14:18" x14ac:dyDescent="0.2">
      <c r="N1145" s="88" t="str">
        <f t="shared" si="23"/>
        <v>1w</v>
      </c>
      <c r="O1145" s="82">
        <f>_xll.qlCalendarAdvance(Calendar,O1144,N1145,"f",FALSE)</f>
        <v>47310</v>
      </c>
      <c r="P1145" s="92">
        <f>_xll.qlCalendarAdvance(Calendar,O1145,NDays&amp;"D")</f>
        <v>47312</v>
      </c>
      <c r="Q1145" s="81">
        <v>2.7371544418054058E-2</v>
      </c>
      <c r="R1145" s="85">
        <v>2.7332507286441654E-2</v>
      </c>
    </row>
    <row r="1146" spans="14:18" x14ac:dyDescent="0.2">
      <c r="N1146" s="88" t="str">
        <f t="shared" si="23"/>
        <v>1w</v>
      </c>
      <c r="O1146" s="82">
        <f>_xll.qlCalendarAdvance(Calendar,O1145,N1146,"f",FALSE)</f>
        <v>47317</v>
      </c>
      <c r="P1146" s="92">
        <f>_xll.qlCalendarAdvance(Calendar,O1146,NDays&amp;"D")</f>
        <v>47319</v>
      </c>
      <c r="Q1146" s="81">
        <v>2.7376460371540921E-2</v>
      </c>
      <c r="R1146" s="85">
        <v>2.7337622291581098E-2</v>
      </c>
    </row>
    <row r="1147" spans="14:18" x14ac:dyDescent="0.2">
      <c r="N1147" s="88" t="str">
        <f t="shared" si="23"/>
        <v>1w</v>
      </c>
      <c r="O1147" s="82">
        <f>_xll.qlCalendarAdvance(Calendar,O1146,N1147,"f",FALSE)</f>
        <v>47324</v>
      </c>
      <c r="P1147" s="92">
        <f>_xll.qlCalendarAdvance(Calendar,O1147,NDays&amp;"D")</f>
        <v>47326</v>
      </c>
      <c r="Q1147" s="81">
        <v>2.7381242232801431E-2</v>
      </c>
      <c r="R1147" s="85">
        <v>2.7342603507740648E-2</v>
      </c>
    </row>
    <row r="1148" spans="14:18" x14ac:dyDescent="0.2">
      <c r="N1148" s="88" t="str">
        <f t="shared" si="23"/>
        <v>1w</v>
      </c>
      <c r="O1148" s="82">
        <f>_xll.qlCalendarAdvance(Calendar,O1147,N1148,"f",FALSE)</f>
        <v>47331</v>
      </c>
      <c r="P1148" s="92">
        <f>_xll.qlCalendarAdvance(Calendar,O1148,NDays&amp;"D")</f>
        <v>47333</v>
      </c>
      <c r="Q1148" s="81">
        <v>2.7385890001665397E-2</v>
      </c>
      <c r="R1148" s="85">
        <v>2.7347450934920303E-2</v>
      </c>
    </row>
    <row r="1149" spans="14:18" x14ac:dyDescent="0.2">
      <c r="N1149" s="88" t="str">
        <f t="shared" si="23"/>
        <v>1w</v>
      </c>
      <c r="O1149" s="82">
        <f>_xll.qlCalendarAdvance(Calendar,O1148,N1149,"f",FALSE)</f>
        <v>47338</v>
      </c>
      <c r="P1149" s="92">
        <f>_xll.qlCalendarAdvance(Calendar,O1149,NDays&amp;"D")</f>
        <v>47340</v>
      </c>
      <c r="Q1149" s="81">
        <v>2.7390403677978108E-2</v>
      </c>
      <c r="R1149" s="85">
        <v>2.73521645732E-2</v>
      </c>
    </row>
    <row r="1150" spans="14:18" x14ac:dyDescent="0.2">
      <c r="N1150" s="88" t="str">
        <f t="shared" si="23"/>
        <v>1w</v>
      </c>
      <c r="O1150" s="82">
        <f>_xll.qlCalendarAdvance(Calendar,O1149,N1150,"f",FALSE)</f>
        <v>47345</v>
      </c>
      <c r="P1150" s="92">
        <f>_xll.qlCalendarAdvance(Calendar,O1150,NDays&amp;"D")</f>
        <v>47347</v>
      </c>
      <c r="Q1150" s="81">
        <v>2.7394783261577113E-2</v>
      </c>
      <c r="R1150" s="85">
        <v>2.7356744422419865E-2</v>
      </c>
    </row>
    <row r="1151" spans="14:18" x14ac:dyDescent="0.2">
      <c r="N1151" s="88" t="str">
        <f t="shared" si="23"/>
        <v>1w</v>
      </c>
      <c r="O1151" s="82">
        <f>_xll.qlCalendarAdvance(Calendar,O1150,N1151,"f",FALSE)</f>
        <v>47352</v>
      </c>
      <c r="P1151" s="92">
        <f>_xll.qlCalendarAdvance(Calendar,O1151,NDays&amp;"D")</f>
        <v>47354</v>
      </c>
      <c r="Q1151" s="81">
        <v>2.7399028752315435E-2</v>
      </c>
      <c r="R1151" s="85">
        <v>2.7361190482659836E-2</v>
      </c>
    </row>
    <row r="1152" spans="14:18" x14ac:dyDescent="0.2">
      <c r="N1152" s="88" t="str">
        <f t="shared" si="23"/>
        <v>1w</v>
      </c>
      <c r="O1152" s="82">
        <f>_xll.qlCalendarAdvance(Calendar,O1151,N1152,"f",FALSE)</f>
        <v>47359</v>
      </c>
      <c r="P1152" s="92">
        <f>_xll.qlCalendarAdvance(Calendar,O1152,NDays&amp;"D")</f>
        <v>47361</v>
      </c>
      <c r="Q1152" s="81">
        <v>2.7399164613259863E-2</v>
      </c>
      <c r="R1152" s="85">
        <v>2.7365502753839976E-2</v>
      </c>
    </row>
    <row r="1153" spans="14:18" x14ac:dyDescent="0.2">
      <c r="N1153" s="88" t="str">
        <f t="shared" si="23"/>
        <v>1w</v>
      </c>
      <c r="O1153" s="82">
        <f>_xll.qlCalendarAdvance(Calendar,O1152,N1153,"f",FALSE)</f>
        <v>47366</v>
      </c>
      <c r="P1153" s="92">
        <f>_xll.qlCalendarAdvance(Calendar,O1153,NDays&amp;"D")</f>
        <v>47368</v>
      </c>
      <c r="Q1153" s="81">
        <v>2.7407117454627251E-2</v>
      </c>
      <c r="R1153" s="85">
        <v>2.7369681236120158E-2</v>
      </c>
    </row>
    <row r="1154" spans="14:18" x14ac:dyDescent="0.2">
      <c r="N1154" s="88" t="str">
        <f t="shared" si="23"/>
        <v>1w</v>
      </c>
      <c r="O1154" s="82">
        <f>_xll.qlCalendarAdvance(Calendar,O1153,N1154,"f",FALSE)</f>
        <v>47373</v>
      </c>
      <c r="P1154" s="92">
        <f>_xll.qlCalendarAdvance(Calendar,O1154,NDays&amp;"D")</f>
        <v>47375</v>
      </c>
      <c r="Q1154" s="81">
        <v>2.7410960665919689E-2</v>
      </c>
      <c r="R1154" s="85">
        <v>2.7373725929420445E-2</v>
      </c>
    </row>
    <row r="1155" spans="14:18" x14ac:dyDescent="0.2">
      <c r="N1155" s="88" t="str">
        <f t="shared" si="23"/>
        <v>1w</v>
      </c>
      <c r="O1155" s="82">
        <f>_xll.qlCalendarAdvance(Calendar,O1154,N1155,"f",FALSE)</f>
        <v>47380</v>
      </c>
      <c r="P1155" s="92">
        <f>_xll.qlCalendarAdvance(Calendar,O1155,NDays&amp;"D")</f>
        <v>47382</v>
      </c>
      <c r="Q1155" s="81">
        <v>2.7414669783791885E-2</v>
      </c>
      <c r="R1155" s="85">
        <v>2.7377636833740837E-2</v>
      </c>
    </row>
    <row r="1156" spans="14:18" x14ac:dyDescent="0.2">
      <c r="N1156" s="88" t="str">
        <f t="shared" si="23"/>
        <v>1w</v>
      </c>
      <c r="O1156" s="82">
        <f>_xll.qlCalendarAdvance(Calendar,O1155,N1156,"f",FALSE)</f>
        <v>47387</v>
      </c>
      <c r="P1156" s="92">
        <f>_xll.qlCalendarAdvance(Calendar,O1156,NDays&amp;"D")</f>
        <v>47389</v>
      </c>
      <c r="Q1156" s="81">
        <v>2.7420816744907487E-2</v>
      </c>
      <c r="R1156" s="85">
        <v>2.7381413949001399E-2</v>
      </c>
    </row>
    <row r="1157" spans="14:18" x14ac:dyDescent="0.2">
      <c r="N1157" s="88" t="str">
        <f t="shared" si="23"/>
        <v>1w</v>
      </c>
      <c r="O1157" s="82">
        <f>_xll.qlCalendarAdvance(Calendar,O1156,N1157,"f",FALSE)</f>
        <v>47394</v>
      </c>
      <c r="P1157" s="92">
        <f>_xll.qlCalendarAdvance(Calendar,O1157,NDays&amp;"D")</f>
        <v>47396</v>
      </c>
      <c r="Q1157" s="81">
        <v>2.7421685738765002E-2</v>
      </c>
      <c r="R1157" s="85">
        <v>2.7385057275282065E-2</v>
      </c>
    </row>
    <row r="1158" spans="14:18" x14ac:dyDescent="0.2">
      <c r="N1158" s="88" t="str">
        <f t="shared" si="23"/>
        <v>1w</v>
      </c>
      <c r="O1158" s="82">
        <f>_xll.qlCalendarAdvance(Calendar,O1157,N1158,"f",FALSE)</f>
        <v>47401</v>
      </c>
      <c r="P1158" s="92">
        <f>_xll.qlCalendarAdvance(Calendar,O1158,NDays&amp;"D")</f>
        <v>47403</v>
      </c>
      <c r="Q1158" s="81">
        <v>2.7424992575620956E-2</v>
      </c>
      <c r="R1158" s="85">
        <v>2.7388566812422965E-2</v>
      </c>
    </row>
    <row r="1159" spans="14:18" x14ac:dyDescent="0.2">
      <c r="N1159" s="88" t="str">
        <f t="shared" si="23"/>
        <v>1w</v>
      </c>
      <c r="O1159" s="82">
        <f>_xll.qlCalendarAdvance(Calendar,O1158,N1159,"f",FALSE)</f>
        <v>47408</v>
      </c>
      <c r="P1159" s="92">
        <f>_xll.qlCalendarAdvance(Calendar,O1159,NDays&amp;"D")</f>
        <v>47410</v>
      </c>
      <c r="Q1159" s="81">
        <v>2.742816531857448E-2</v>
      </c>
      <c r="R1159" s="85">
        <v>2.7391942560663907E-2</v>
      </c>
    </row>
    <row r="1160" spans="14:18" x14ac:dyDescent="0.2">
      <c r="N1160" s="88" t="str">
        <f t="shared" si="23"/>
        <v>1w</v>
      </c>
      <c r="O1160" s="82">
        <f>_xll.qlCalendarAdvance(Calendar,O1159,N1160,"f",FALSE)</f>
        <v>47415</v>
      </c>
      <c r="P1160" s="92">
        <f>_xll.qlCalendarAdvance(Calendar,O1160,NDays&amp;"D")</f>
        <v>47417</v>
      </c>
      <c r="Q1160" s="81">
        <v>2.743120396751211E-2</v>
      </c>
      <c r="R1160" s="85">
        <v>2.7395184519845017E-2</v>
      </c>
    </row>
    <row r="1161" spans="14:18" x14ac:dyDescent="0.2">
      <c r="N1161" s="88" t="str">
        <f t="shared" si="23"/>
        <v>1w</v>
      </c>
      <c r="O1161" s="82">
        <f>_xll.qlCalendarAdvance(Calendar,O1160,N1161,"f",FALSE)</f>
        <v>47422</v>
      </c>
      <c r="P1161" s="92">
        <f>_xll.qlCalendarAdvance(Calendar,O1161,NDays&amp;"D")</f>
        <v>47424</v>
      </c>
      <c r="Q1161" s="81">
        <v>2.7434108522330709E-2</v>
      </c>
      <c r="R1161" s="85">
        <v>2.7398292689966297E-2</v>
      </c>
    </row>
    <row r="1162" spans="14:18" x14ac:dyDescent="0.2">
      <c r="N1162" s="88" t="str">
        <f t="shared" si="23"/>
        <v>1w</v>
      </c>
      <c r="O1162" s="82">
        <f>_xll.qlCalendarAdvance(Calendar,O1161,N1162,"f",FALSE)</f>
        <v>47429</v>
      </c>
      <c r="P1162" s="92">
        <f>_xll.qlCalendarAdvance(Calendar,O1162,NDays&amp;"D")</f>
        <v>47431</v>
      </c>
      <c r="Q1162" s="81">
        <v>2.7436878982927126E-2</v>
      </c>
      <c r="R1162" s="85">
        <v>2.7401267071027746E-2</v>
      </c>
    </row>
    <row r="1163" spans="14:18" x14ac:dyDescent="0.2">
      <c r="N1163" s="88" t="str">
        <f t="shared" si="23"/>
        <v>1w</v>
      </c>
      <c r="O1163" s="82">
        <f>_xll.qlCalendarAdvance(Calendar,O1162,N1163,"f",FALSE)</f>
        <v>47436</v>
      </c>
      <c r="P1163" s="92">
        <f>_xll.qlCalendarAdvance(Calendar,O1163,NDays&amp;"D")</f>
        <v>47438</v>
      </c>
      <c r="Q1163" s="81">
        <v>2.743951534920596E-2</v>
      </c>
      <c r="R1163" s="85">
        <v>2.7404107663189237E-2</v>
      </c>
    </row>
    <row r="1164" spans="14:18" x14ac:dyDescent="0.2">
      <c r="N1164" s="88" t="str">
        <f t="shared" si="23"/>
        <v>1w</v>
      </c>
      <c r="O1164" s="82">
        <f>_xll.qlCalendarAdvance(Calendar,O1163,N1164,"f",FALSE)</f>
        <v>47443</v>
      </c>
      <c r="P1164" s="92">
        <f>_xll.qlCalendarAdvance(Calendar,O1164,NDays&amp;"D")</f>
        <v>47445</v>
      </c>
      <c r="Q1164" s="81">
        <v>2.7445649792673846E-2</v>
      </c>
      <c r="R1164" s="85">
        <v>2.740681446621096E-2</v>
      </c>
    </row>
    <row r="1165" spans="14:18" x14ac:dyDescent="0.2">
      <c r="N1165" s="88" t="str">
        <f t="shared" si="23"/>
        <v>1w</v>
      </c>
      <c r="O1165" s="82">
        <f>_xll.qlCalendarAdvance(Calendar,O1164,N1165,"f",FALSE)</f>
        <v>47450</v>
      </c>
      <c r="P1165" s="92">
        <f>_xll.qlCalendarAdvance(Calendar,O1165,NDays&amp;"D")</f>
        <v>47452</v>
      </c>
      <c r="Q1165" s="81">
        <v>2.7440774310322054E-2</v>
      </c>
      <c r="R1165" s="85">
        <v>2.7409387480252789E-2</v>
      </c>
    </row>
    <row r="1166" spans="14:18" x14ac:dyDescent="0.2">
      <c r="N1166" s="88" t="str">
        <f t="shared" si="23"/>
        <v>1w</v>
      </c>
      <c r="O1166" s="82">
        <f>_xll.qlCalendarAdvance(Calendar,O1165,N1166,"f",FALSE)</f>
        <v>47457</v>
      </c>
      <c r="P1166" s="92">
        <f>_xll.qlCalendarAdvance(Calendar,O1166,NDays&amp;"D")</f>
        <v>47459</v>
      </c>
      <c r="Q1166" s="81">
        <v>2.7446619881262811E-2</v>
      </c>
      <c r="R1166" s="85">
        <v>2.7411826705154851E-2</v>
      </c>
    </row>
    <row r="1167" spans="14:18" x14ac:dyDescent="0.2">
      <c r="N1167" s="88" t="str">
        <f t="shared" si="23"/>
        <v>1w</v>
      </c>
      <c r="O1167" s="82">
        <f>_xll.qlCalendarAdvance(Calendar,O1166,N1167,"f",FALSE)</f>
        <v>47464</v>
      </c>
      <c r="P1167" s="92">
        <f>_xll.qlCalendarAdvance(Calendar,O1167,NDays&amp;"D")</f>
        <v>47466</v>
      </c>
      <c r="Q1167" s="81">
        <v>2.7448719869412636E-2</v>
      </c>
      <c r="R1167" s="85">
        <v>2.7414132141077019E-2</v>
      </c>
    </row>
    <row r="1168" spans="14:18" x14ac:dyDescent="0.2">
      <c r="N1168" s="88" t="str">
        <f t="shared" si="23"/>
        <v>1w</v>
      </c>
      <c r="O1168" s="82">
        <f>_xll.qlCalendarAdvance(Calendar,O1167,N1168,"f",FALSE)</f>
        <v>47471</v>
      </c>
      <c r="P1168" s="92">
        <f>_xll.qlCalendarAdvance(Calendar,O1168,NDays&amp;"D")</f>
        <v>47473</v>
      </c>
      <c r="Q1168" s="81">
        <v>2.7450685762834881E-2</v>
      </c>
      <c r="R1168" s="85">
        <v>2.7421946941052155E-2</v>
      </c>
    </row>
    <row r="1169" spans="14:18" x14ac:dyDescent="0.2">
      <c r="N1169" s="88" t="str">
        <f t="shared" si="23"/>
        <v>1w</v>
      </c>
      <c r="O1169" s="82">
        <f>_xll.qlCalendarAdvance(Calendar,O1168,N1169,"f",FALSE)</f>
        <v>47479</v>
      </c>
      <c r="P1169" s="92">
        <f>_xll.qlCalendarAdvance(Calendar,O1169,NDays&amp;"D")</f>
        <v>47485</v>
      </c>
      <c r="Q1169" s="81">
        <v>2.7456058476375104E-2</v>
      </c>
      <c r="R1169" s="85">
        <v>2.7421533615790139E-2</v>
      </c>
    </row>
    <row r="1170" spans="14:18" x14ac:dyDescent="0.2">
      <c r="N1170" s="88" t="str">
        <f t="shared" si="23"/>
        <v>1w</v>
      </c>
      <c r="O1170" s="82">
        <f>_xll.qlCalendarAdvance(Calendar,O1169,N1170,"f",FALSE)</f>
        <v>47486</v>
      </c>
      <c r="P1170" s="92">
        <f>_xll.qlCalendarAdvance(Calendar,O1170,NDays&amp;"D")</f>
        <v>47490</v>
      </c>
      <c r="Q1170" s="81">
        <v>2.7454901803110485E-2</v>
      </c>
      <c r="R1170" s="85">
        <v>2.742050680275554E-2</v>
      </c>
    </row>
    <row r="1171" spans="14:18" x14ac:dyDescent="0.2">
      <c r="N1171" s="88" t="str">
        <f t="shared" si="23"/>
        <v>1w</v>
      </c>
      <c r="O1171" s="82">
        <f>_xll.qlCalendarAdvance(Calendar,O1170,N1171,"f",FALSE)</f>
        <v>47493</v>
      </c>
      <c r="P1171" s="92">
        <f>_xll.qlCalendarAdvance(Calendar,O1171,NDays&amp;"D")</f>
        <v>47497</v>
      </c>
      <c r="Q1171" s="81">
        <v>2.7456407942702883E-2</v>
      </c>
      <c r="R1171" s="85">
        <v>2.7422257969806907E-2</v>
      </c>
    </row>
    <row r="1172" spans="14:18" x14ac:dyDescent="0.2">
      <c r="N1172" s="88" t="str">
        <f t="shared" si="23"/>
        <v>1w</v>
      </c>
      <c r="O1172" s="82">
        <f>_xll.qlCalendarAdvance(Calendar,O1171,N1172,"f",FALSE)</f>
        <v>47500</v>
      </c>
      <c r="P1172" s="92">
        <f>_xll.qlCalendarAdvance(Calendar,O1172,NDays&amp;"D")</f>
        <v>47504</v>
      </c>
      <c r="Q1172" s="81">
        <v>2.745777998730211E-2</v>
      </c>
      <c r="R1172" s="85">
        <v>2.7423875347718507E-2</v>
      </c>
    </row>
    <row r="1173" spans="14:18" x14ac:dyDescent="0.2">
      <c r="N1173" s="88" t="str">
        <f t="shared" ref="N1173:N1236" si="24">N1172</f>
        <v>1w</v>
      </c>
      <c r="O1173" s="82">
        <f>_xll.qlCalendarAdvance(Calendar,O1172,N1173,"f",FALSE)</f>
        <v>47507</v>
      </c>
      <c r="P1173" s="92">
        <f>_xll.qlCalendarAdvance(Calendar,O1173,NDays&amp;"D")</f>
        <v>47511</v>
      </c>
      <c r="Q1173" s="81">
        <v>2.7459017936861747E-2</v>
      </c>
      <c r="R1173" s="85">
        <v>2.7425358936570277E-2</v>
      </c>
    </row>
    <row r="1174" spans="14:18" x14ac:dyDescent="0.2">
      <c r="N1174" s="88" t="str">
        <f t="shared" si="24"/>
        <v>1w</v>
      </c>
      <c r="O1174" s="82">
        <f>_xll.qlCalendarAdvance(Calendar,O1173,N1174,"f",FALSE)</f>
        <v>47514</v>
      </c>
      <c r="P1174" s="92">
        <f>_xll.qlCalendarAdvance(Calendar,O1174,NDays&amp;"D")</f>
        <v>47518</v>
      </c>
      <c r="Q1174" s="81">
        <v>2.7456777572514617E-2</v>
      </c>
      <c r="R1174" s="85">
        <v>2.7426708736362215E-2</v>
      </c>
    </row>
    <row r="1175" spans="14:18" x14ac:dyDescent="0.2">
      <c r="N1175" s="88" t="str">
        <f t="shared" si="24"/>
        <v>1w</v>
      </c>
      <c r="O1175" s="82">
        <f>_xll.qlCalendarAdvance(Calendar,O1174,N1175,"f",FALSE)</f>
        <v>47521</v>
      </c>
      <c r="P1175" s="92">
        <f>_xll.qlCalendarAdvance(Calendar,O1175,NDays&amp;"D")</f>
        <v>47525</v>
      </c>
      <c r="Q1175" s="81">
        <v>2.7457775838353182E-2</v>
      </c>
      <c r="R1175" s="85">
        <v>2.7427924747174259E-2</v>
      </c>
    </row>
    <row r="1176" spans="14:18" x14ac:dyDescent="0.2">
      <c r="N1176" s="88" t="str">
        <f t="shared" si="24"/>
        <v>1w</v>
      </c>
      <c r="O1176" s="82">
        <f>_xll.qlCalendarAdvance(Calendar,O1175,N1176,"f",FALSE)</f>
        <v>47528</v>
      </c>
      <c r="P1176" s="92">
        <f>_xll.qlCalendarAdvance(Calendar,O1176,NDays&amp;"D")</f>
        <v>47532</v>
      </c>
      <c r="Q1176" s="81">
        <v>2.7458640039683679E-2</v>
      </c>
      <c r="R1176" s="85">
        <v>2.74290069687666E-2</v>
      </c>
    </row>
    <row r="1177" spans="14:18" x14ac:dyDescent="0.2">
      <c r="N1177" s="88" t="str">
        <f t="shared" si="24"/>
        <v>1w</v>
      </c>
      <c r="O1177" s="82">
        <f>_xll.qlCalendarAdvance(Calendar,O1176,N1177,"f",FALSE)</f>
        <v>47535</v>
      </c>
      <c r="P1177" s="92">
        <f>_xll.qlCalendarAdvance(Calendar,O1177,NDays&amp;"D")</f>
        <v>47539</v>
      </c>
      <c r="Q1177" s="81">
        <v>2.7459370176477562E-2</v>
      </c>
      <c r="R1177" s="85">
        <v>2.7429955401379047E-2</v>
      </c>
    </row>
    <row r="1178" spans="14:18" x14ac:dyDescent="0.2">
      <c r="N1178" s="88" t="str">
        <f t="shared" si="24"/>
        <v>1w</v>
      </c>
      <c r="O1178" s="82">
        <f>_xll.qlCalendarAdvance(Calendar,O1177,N1178,"f",FALSE)</f>
        <v>47542</v>
      </c>
      <c r="P1178" s="92">
        <f>_xll.qlCalendarAdvance(Calendar,O1178,NDays&amp;"D")</f>
        <v>47546</v>
      </c>
      <c r="Q1178" s="81">
        <v>2.7463196257753605E-2</v>
      </c>
      <c r="R1178" s="85">
        <v>2.7430770044931663E-2</v>
      </c>
    </row>
    <row r="1179" spans="14:18" x14ac:dyDescent="0.2">
      <c r="N1179" s="88" t="str">
        <f t="shared" si="24"/>
        <v>1w</v>
      </c>
      <c r="O1179" s="82">
        <f>_xll.qlCalendarAdvance(Calendar,O1178,N1179,"f",FALSE)</f>
        <v>47549</v>
      </c>
      <c r="P1179" s="92">
        <f>_xll.qlCalendarAdvance(Calendar,O1179,NDays&amp;"D")</f>
        <v>47553</v>
      </c>
      <c r="Q1179" s="81">
        <v>2.7463629636345972E-2</v>
      </c>
      <c r="R1179" s="85">
        <v>2.7431450899424448E-2</v>
      </c>
    </row>
    <row r="1180" spans="14:18" x14ac:dyDescent="0.2">
      <c r="N1180" s="88" t="str">
        <f t="shared" si="24"/>
        <v>1w</v>
      </c>
      <c r="O1180" s="82">
        <f>_xll.qlCalendarAdvance(Calendar,O1179,N1180,"f",FALSE)</f>
        <v>47556</v>
      </c>
      <c r="P1180" s="92">
        <f>_xll.qlCalendarAdvance(Calendar,O1180,NDays&amp;"D")</f>
        <v>47560</v>
      </c>
      <c r="Q1180" s="81">
        <v>2.7463928919697622E-2</v>
      </c>
      <c r="R1180" s="85">
        <v>2.7431997964857402E-2</v>
      </c>
    </row>
    <row r="1181" spans="14:18" x14ac:dyDescent="0.2">
      <c r="N1181" s="88" t="str">
        <f t="shared" si="24"/>
        <v>1w</v>
      </c>
      <c r="O1181" s="82">
        <f>_xll.qlCalendarAdvance(Calendar,O1180,N1181,"f",FALSE)</f>
        <v>47563</v>
      </c>
      <c r="P1181" s="92">
        <f>_xll.qlCalendarAdvance(Calendar,O1181,NDays&amp;"D")</f>
        <v>47567</v>
      </c>
      <c r="Q1181" s="81">
        <v>2.746409410779824E-2</v>
      </c>
      <c r="R1181" s="85">
        <v>2.7432411241150589E-2</v>
      </c>
    </row>
    <row r="1182" spans="14:18" x14ac:dyDescent="0.2">
      <c r="N1182" s="88" t="str">
        <f t="shared" si="24"/>
        <v>1w</v>
      </c>
      <c r="O1182" s="82">
        <f>_xll.qlCalendarAdvance(Calendar,O1181,N1182,"f",FALSE)</f>
        <v>47570</v>
      </c>
      <c r="P1182" s="92">
        <f>_xll.qlCalendarAdvance(Calendar,O1182,NDays&amp;"D")</f>
        <v>47574</v>
      </c>
      <c r="Q1182" s="81">
        <v>2.7464125200642668E-2</v>
      </c>
      <c r="R1182" s="85">
        <v>2.7432690728383946E-2</v>
      </c>
    </row>
    <row r="1183" spans="14:18" x14ac:dyDescent="0.2">
      <c r="N1183" s="88" t="str">
        <f t="shared" si="24"/>
        <v>1w</v>
      </c>
      <c r="O1183" s="82">
        <f>_xll.qlCalendarAdvance(Calendar,O1182,N1183,"f",FALSE)</f>
        <v>47577</v>
      </c>
      <c r="P1183" s="92">
        <f>_xll.qlCalendarAdvance(Calendar,O1183,NDays&amp;"D")</f>
        <v>47581</v>
      </c>
      <c r="Q1183" s="81">
        <v>2.7462994207515301E-2</v>
      </c>
      <c r="R1183" s="85">
        <v>2.7432836426637408E-2</v>
      </c>
    </row>
    <row r="1184" spans="14:18" x14ac:dyDescent="0.2">
      <c r="N1184" s="88" t="str">
        <f t="shared" si="24"/>
        <v>1w</v>
      </c>
      <c r="O1184" s="82">
        <f>_xll.qlCalendarAdvance(Calendar,O1183,N1184,"f",FALSE)</f>
        <v>47584</v>
      </c>
      <c r="P1184" s="92">
        <f>_xll.qlCalendarAdvance(Calendar,O1184,NDays&amp;"D")</f>
        <v>47588</v>
      </c>
      <c r="Q1184" s="81">
        <v>2.7462766705415476E-2</v>
      </c>
      <c r="R1184" s="85">
        <v>2.7432848335751103E-2</v>
      </c>
    </row>
    <row r="1185" spans="14:18" x14ac:dyDescent="0.2">
      <c r="N1185" s="88" t="str">
        <f t="shared" si="24"/>
        <v>1w</v>
      </c>
      <c r="O1185" s="82">
        <f>_xll.qlCalendarAdvance(Calendar,O1184,N1185,"f",FALSE)</f>
        <v>47591</v>
      </c>
      <c r="P1185" s="92">
        <f>_xll.qlCalendarAdvance(Calendar,O1185,NDays&amp;"D")</f>
        <v>47597</v>
      </c>
      <c r="Q1185" s="81">
        <v>2.7462277179814087E-2</v>
      </c>
      <c r="R1185" s="85">
        <v>2.743472282340953E-2</v>
      </c>
    </row>
    <row r="1186" spans="14:18" x14ac:dyDescent="0.2">
      <c r="N1186" s="88" t="str">
        <f t="shared" si="24"/>
        <v>1w</v>
      </c>
      <c r="O1186" s="82">
        <f>_xll.qlCalendarAdvance(Calendar,O1185,N1186,"f",FALSE)</f>
        <v>47598</v>
      </c>
      <c r="P1186" s="92">
        <f>_xll.qlCalendarAdvance(Calendar,O1186,NDays&amp;"D")</f>
        <v>47602</v>
      </c>
      <c r="Q1186" s="81">
        <v>2.7461909446135913E-2</v>
      </c>
      <c r="R1186" s="85">
        <v>2.7432423341071654E-2</v>
      </c>
    </row>
    <row r="1187" spans="14:18" x14ac:dyDescent="0.2">
      <c r="N1187" s="88" t="str">
        <f t="shared" si="24"/>
        <v>1w</v>
      </c>
      <c r="O1187" s="82">
        <f>_xll.qlCalendarAdvance(Calendar,O1186,N1187,"f",FALSE)</f>
        <v>47605</v>
      </c>
      <c r="P1187" s="92">
        <f>_xll.qlCalendarAdvance(Calendar,O1187,NDays&amp;"D")</f>
        <v>47609</v>
      </c>
      <c r="Q1187" s="81">
        <v>2.7462269236130269E-2</v>
      </c>
      <c r="R1187" s="85">
        <v>2.7432081328653268E-2</v>
      </c>
    </row>
    <row r="1188" spans="14:18" x14ac:dyDescent="0.2">
      <c r="N1188" s="88" t="str">
        <f t="shared" si="24"/>
        <v>1w</v>
      </c>
      <c r="O1188" s="82">
        <f>_xll.qlCalendarAdvance(Calendar,O1187,N1188,"f",FALSE)</f>
        <v>47612</v>
      </c>
      <c r="P1188" s="92">
        <f>_xll.qlCalendarAdvance(Calendar,O1188,NDays&amp;"D")</f>
        <v>47616</v>
      </c>
      <c r="Q1188" s="81">
        <v>2.7461495757571647E-2</v>
      </c>
      <c r="R1188" s="85">
        <v>2.7431558081447704E-2</v>
      </c>
    </row>
    <row r="1189" spans="14:18" x14ac:dyDescent="0.2">
      <c r="N1189" s="88" t="str">
        <f t="shared" si="24"/>
        <v>1w</v>
      </c>
      <c r="O1189" s="82">
        <f>_xll.qlCalendarAdvance(Calendar,O1188,N1189,"f",FALSE)</f>
        <v>47619</v>
      </c>
      <c r="P1189" s="92">
        <f>_xll.qlCalendarAdvance(Calendar,O1189,NDays&amp;"D")</f>
        <v>47623</v>
      </c>
      <c r="Q1189" s="81">
        <v>2.746058818384451E-2</v>
      </c>
      <c r="R1189" s="85">
        <v>2.7430901045342182E-2</v>
      </c>
    </row>
    <row r="1190" spans="14:18" x14ac:dyDescent="0.2">
      <c r="N1190" s="88" t="str">
        <f t="shared" si="24"/>
        <v>1w</v>
      </c>
      <c r="O1190" s="82">
        <f>_xll.qlCalendarAdvance(Calendar,O1189,N1190,"f",FALSE)</f>
        <v>47626</v>
      </c>
      <c r="P1190" s="92">
        <f>_xll.qlCalendarAdvance(Calendar,O1190,NDays&amp;"D")</f>
        <v>47630</v>
      </c>
      <c r="Q1190" s="81">
        <v>2.7459546514982374E-2</v>
      </c>
      <c r="R1190" s="85">
        <v>2.7431093282168639E-2</v>
      </c>
    </row>
    <row r="1191" spans="14:18" x14ac:dyDescent="0.2">
      <c r="N1191" s="88" t="str">
        <f t="shared" si="24"/>
        <v>1w</v>
      </c>
      <c r="O1191" s="82">
        <f>_xll.qlCalendarAdvance(Calendar,O1190,N1191,"f",FALSE)</f>
        <v>47634</v>
      </c>
      <c r="P1191" s="92">
        <f>_xll.qlCalendarAdvance(Calendar,O1191,NDays&amp;"D")</f>
        <v>47638</v>
      </c>
      <c r="Q1191" s="81">
        <v>2.7457242279887772E-2</v>
      </c>
      <c r="R1191" s="85">
        <v>2.7429042596347486E-2</v>
      </c>
    </row>
    <row r="1192" spans="14:18" x14ac:dyDescent="0.2">
      <c r="N1192" s="88" t="str">
        <f t="shared" si="24"/>
        <v>1w</v>
      </c>
      <c r="O1192" s="82">
        <f>_xll.qlCalendarAdvance(Calendar,O1191,N1192,"f",FALSE)</f>
        <v>47641</v>
      </c>
      <c r="P1192" s="92">
        <f>_xll.qlCalendarAdvance(Calendar,O1192,NDays&amp;"D")</f>
        <v>47646</v>
      </c>
      <c r="Q1192" s="81">
        <v>2.7455723520785291E-2</v>
      </c>
      <c r="R1192" s="85">
        <v>2.7429721440581645E-2</v>
      </c>
    </row>
    <row r="1193" spans="14:18" x14ac:dyDescent="0.2">
      <c r="N1193" s="88" t="str">
        <f t="shared" si="24"/>
        <v>1w</v>
      </c>
      <c r="O1193" s="82">
        <f>_xll.qlCalendarAdvance(Calendar,O1192,N1193,"f",FALSE)</f>
        <v>47648</v>
      </c>
      <c r="P1193" s="92">
        <f>_xll.qlCalendarAdvance(Calendar,O1193,NDays&amp;"D")</f>
        <v>47652</v>
      </c>
      <c r="Q1193" s="81">
        <v>2.7454469521632774E-2</v>
      </c>
      <c r="R1193" s="85">
        <v>2.7429609470734917E-2</v>
      </c>
    </row>
    <row r="1194" spans="14:18" x14ac:dyDescent="0.2">
      <c r="N1194" s="88" t="str">
        <f t="shared" si="24"/>
        <v>1w</v>
      </c>
      <c r="O1194" s="82">
        <f>_xll.qlCalendarAdvance(Calendar,O1193,N1194,"f",FALSE)</f>
        <v>47658</v>
      </c>
      <c r="P1194" s="92">
        <f>_xll.qlCalendarAdvance(Calendar,O1194,NDays&amp;"D")</f>
        <v>47660</v>
      </c>
      <c r="Q1194" s="81">
        <v>2.7452644283051164E-2</v>
      </c>
      <c r="R1194" s="85">
        <v>2.7427088188991533E-2</v>
      </c>
    </row>
    <row r="1195" spans="14:18" x14ac:dyDescent="0.2">
      <c r="N1195" s="88" t="str">
        <f t="shared" si="24"/>
        <v>1w</v>
      </c>
      <c r="O1195" s="82">
        <f>_xll.qlCalendarAdvance(Calendar,O1194,N1195,"f",FALSE)</f>
        <v>47665</v>
      </c>
      <c r="P1195" s="92">
        <f>_xll.qlCalendarAdvance(Calendar,O1195,NDays&amp;"D")</f>
        <v>47667</v>
      </c>
      <c r="Q1195" s="81">
        <v>2.7453629079952888E-2</v>
      </c>
      <c r="R1195" s="85">
        <v>2.7425570849057834E-2</v>
      </c>
    </row>
    <row r="1196" spans="14:18" x14ac:dyDescent="0.2">
      <c r="N1196" s="88" t="str">
        <f t="shared" si="24"/>
        <v>1w</v>
      </c>
      <c r="O1196" s="82">
        <f>_xll.qlCalendarAdvance(Calendar,O1195,N1196,"f",FALSE)</f>
        <v>47672</v>
      </c>
      <c r="P1196" s="92">
        <f>_xll.qlCalendarAdvance(Calendar,O1196,NDays&amp;"D")</f>
        <v>47674</v>
      </c>
      <c r="Q1196" s="81">
        <v>2.7451725081992381E-2</v>
      </c>
      <c r="R1196" s="85">
        <v>2.7423919699707255E-2</v>
      </c>
    </row>
    <row r="1197" spans="14:18" x14ac:dyDescent="0.2">
      <c r="N1197" s="88" t="str">
        <f t="shared" si="24"/>
        <v>1w</v>
      </c>
      <c r="O1197" s="82">
        <f>_xll.qlCalendarAdvance(Calendar,O1196,N1197,"f",FALSE)</f>
        <v>47679</v>
      </c>
      <c r="P1197" s="92">
        <f>_xll.qlCalendarAdvance(Calendar,O1197,NDays&amp;"D")</f>
        <v>47681</v>
      </c>
      <c r="Q1197" s="81">
        <v>2.7449686968869264E-2</v>
      </c>
      <c r="R1197" s="85">
        <v>2.7422134740913151E-2</v>
      </c>
    </row>
    <row r="1198" spans="14:18" x14ac:dyDescent="0.2">
      <c r="N1198" s="88" t="str">
        <f t="shared" si="24"/>
        <v>1w</v>
      </c>
      <c r="O1198" s="82">
        <f>_xll.qlCalendarAdvance(Calendar,O1197,N1198,"f",FALSE)</f>
        <v>47686</v>
      </c>
      <c r="P1198" s="92">
        <f>_xll.qlCalendarAdvance(Calendar,O1198,NDays&amp;"D")</f>
        <v>47688</v>
      </c>
      <c r="Q1198" s="81">
        <v>2.7447514740661046E-2</v>
      </c>
      <c r="R1198" s="85">
        <v>2.7420215972702167E-2</v>
      </c>
    </row>
    <row r="1199" spans="14:18" x14ac:dyDescent="0.2">
      <c r="N1199" s="88" t="str">
        <f t="shared" si="24"/>
        <v>1w</v>
      </c>
      <c r="O1199" s="82">
        <f>_xll.qlCalendarAdvance(Calendar,O1198,N1199,"f",FALSE)</f>
        <v>47693</v>
      </c>
      <c r="P1199" s="92">
        <f>_xll.qlCalendarAdvance(Calendar,O1199,NDays&amp;"D")</f>
        <v>47695</v>
      </c>
      <c r="Q1199" s="81">
        <v>2.7442599707711679E-2</v>
      </c>
      <c r="R1199" s="85">
        <v>2.7418163395074302E-2</v>
      </c>
    </row>
    <row r="1200" spans="14:18" x14ac:dyDescent="0.2">
      <c r="N1200" s="88" t="str">
        <f t="shared" si="24"/>
        <v>1w</v>
      </c>
      <c r="O1200" s="82">
        <f>_xll.qlCalendarAdvance(Calendar,O1199,N1200,"f",FALSE)</f>
        <v>47700</v>
      </c>
      <c r="P1200" s="92">
        <f>_xll.qlCalendarAdvance(Calendar,O1200,NDays&amp;"D")</f>
        <v>47702</v>
      </c>
      <c r="Q1200" s="81">
        <v>2.7442767939301792E-2</v>
      </c>
      <c r="R1200" s="85">
        <v>2.7415977008056203E-2</v>
      </c>
    </row>
    <row r="1201" spans="14:18" x14ac:dyDescent="0.2">
      <c r="N1201" s="88" t="str">
        <f t="shared" si="24"/>
        <v>1w</v>
      </c>
      <c r="O1201" s="82">
        <f>_xll.qlCalendarAdvance(Calendar,O1200,N1201,"f",FALSE)</f>
        <v>47707</v>
      </c>
      <c r="P1201" s="92">
        <f>_xll.qlCalendarAdvance(Calendar,O1201,NDays&amp;"D")</f>
        <v>47709</v>
      </c>
      <c r="Q1201" s="81">
        <v>2.7440193366327588E-2</v>
      </c>
      <c r="R1201" s="85">
        <v>2.7413656811621223E-2</v>
      </c>
    </row>
    <row r="1202" spans="14:18" x14ac:dyDescent="0.2">
      <c r="N1202" s="88" t="str">
        <f t="shared" si="24"/>
        <v>1w</v>
      </c>
      <c r="O1202" s="82">
        <f>_xll.qlCalendarAdvance(Calendar,O1201,N1202,"f",FALSE)</f>
        <v>47714</v>
      </c>
      <c r="P1202" s="92">
        <f>_xll.qlCalendarAdvance(Calendar,O1202,NDays&amp;"D")</f>
        <v>47716</v>
      </c>
      <c r="Q1202" s="81">
        <v>2.7437484678617095E-2</v>
      </c>
      <c r="R1202" s="85">
        <v>2.7411202805796009E-2</v>
      </c>
    </row>
    <row r="1203" spans="14:18" x14ac:dyDescent="0.2">
      <c r="N1203" s="88" t="str">
        <f t="shared" si="24"/>
        <v>1w</v>
      </c>
      <c r="O1203" s="82">
        <f>_xll.qlCalendarAdvance(Calendar,O1202,N1203,"f",FALSE)</f>
        <v>47721</v>
      </c>
      <c r="P1203" s="92">
        <f>_xll.qlCalendarAdvance(Calendar,O1203,NDays&amp;"D")</f>
        <v>47723</v>
      </c>
      <c r="Q1203" s="81">
        <v>2.7434641876264786E-2</v>
      </c>
      <c r="R1203" s="85">
        <v>2.7408614990607205E-2</v>
      </c>
    </row>
    <row r="1204" spans="14:18" x14ac:dyDescent="0.2">
      <c r="N1204" s="88" t="str">
        <f t="shared" si="24"/>
        <v>1w</v>
      </c>
      <c r="O1204" s="82">
        <f>_xll.qlCalendarAdvance(Calendar,O1203,N1204,"f",FALSE)</f>
        <v>47728</v>
      </c>
      <c r="P1204" s="92">
        <f>_xll.qlCalendarAdvance(Calendar,O1204,NDays&amp;"D")</f>
        <v>47730</v>
      </c>
      <c r="Q1204" s="81">
        <v>2.7429203854977935E-2</v>
      </c>
      <c r="R1204" s="85">
        <v>2.7405893366028167E-2</v>
      </c>
    </row>
    <row r="1205" spans="14:18" x14ac:dyDescent="0.2">
      <c r="N1205" s="88" t="str">
        <f t="shared" si="24"/>
        <v>1w</v>
      </c>
      <c r="O1205" s="82">
        <f>_xll.qlCalendarAdvance(Calendar,O1204,N1205,"f",FALSE)</f>
        <v>47735</v>
      </c>
      <c r="P1205" s="92">
        <f>_xll.qlCalendarAdvance(Calendar,O1205,NDays&amp;"D")</f>
        <v>47737</v>
      </c>
      <c r="Q1205" s="81">
        <v>2.7426138722555393E-2</v>
      </c>
      <c r="R1205" s="85">
        <v>2.7403037932085539E-2</v>
      </c>
    </row>
    <row r="1206" spans="14:18" x14ac:dyDescent="0.2">
      <c r="N1206" s="88" t="str">
        <f t="shared" si="24"/>
        <v>1w</v>
      </c>
      <c r="O1206" s="82">
        <f>_xll.qlCalendarAdvance(Calendar,O1205,N1206,"f",FALSE)</f>
        <v>47742</v>
      </c>
      <c r="P1206" s="92">
        <f>_xll.qlCalendarAdvance(Calendar,O1206,NDays&amp;"D")</f>
        <v>47744</v>
      </c>
      <c r="Q1206" s="81">
        <v>2.742298151125766E-2</v>
      </c>
      <c r="R1206" s="85">
        <v>2.7400048688832612E-2</v>
      </c>
    </row>
    <row r="1207" spans="14:18" x14ac:dyDescent="0.2">
      <c r="N1207" s="88" t="str">
        <f t="shared" si="24"/>
        <v>1w</v>
      </c>
      <c r="O1207" s="82">
        <f>_xll.qlCalendarAdvance(Calendar,O1206,N1207,"f",FALSE)</f>
        <v>47749</v>
      </c>
      <c r="P1207" s="92">
        <f>_xll.qlCalendarAdvance(Calendar,O1207,NDays&amp;"D")</f>
        <v>47751</v>
      </c>
      <c r="Q1207" s="81">
        <v>2.7419758951561235E-2</v>
      </c>
      <c r="R1207" s="85">
        <v>2.7396925636189451E-2</v>
      </c>
    </row>
    <row r="1208" spans="14:18" x14ac:dyDescent="0.2">
      <c r="N1208" s="88" t="str">
        <f t="shared" si="24"/>
        <v>1w</v>
      </c>
      <c r="O1208" s="82">
        <f>_xll.qlCalendarAdvance(Calendar,O1207,N1208,"f",FALSE)</f>
        <v>47756</v>
      </c>
      <c r="P1208" s="92">
        <f>_xll.qlCalendarAdvance(Calendar,O1208,NDays&amp;"D")</f>
        <v>47758</v>
      </c>
      <c r="Q1208" s="81">
        <v>2.7418922427339225E-2</v>
      </c>
      <c r="R1208" s="85">
        <v>2.739370493786808E-2</v>
      </c>
    </row>
    <row r="1209" spans="14:18" x14ac:dyDescent="0.2">
      <c r="N1209" s="88" t="str">
        <f t="shared" si="24"/>
        <v>1w</v>
      </c>
      <c r="O1209" s="82">
        <f>_xll.qlCalendarAdvance(Calendar,O1208,N1209,"f",FALSE)</f>
        <v>47763</v>
      </c>
      <c r="P1209" s="92">
        <f>_xll.qlCalendarAdvance(Calendar,O1209,NDays&amp;"D")</f>
        <v>47765</v>
      </c>
      <c r="Q1209" s="81">
        <v>2.7415635063503533E-2</v>
      </c>
      <c r="R1209" s="85">
        <v>2.7390461254332976E-2</v>
      </c>
    </row>
    <row r="1210" spans="14:18" x14ac:dyDescent="0.2">
      <c r="N1210" s="88" t="str">
        <f t="shared" si="24"/>
        <v>1w</v>
      </c>
      <c r="O1210" s="82">
        <f>_xll.qlCalendarAdvance(Calendar,O1209,N1210,"f",FALSE)</f>
        <v>47770</v>
      </c>
      <c r="P1210" s="92">
        <f>_xll.qlCalendarAdvance(Calendar,O1210,NDays&amp;"D")</f>
        <v>47772</v>
      </c>
      <c r="Q1210" s="81">
        <v>2.7412328170545279E-2</v>
      </c>
      <c r="R1210" s="85">
        <v>2.7387198085291331E-2</v>
      </c>
    </row>
    <row r="1211" spans="14:18" x14ac:dyDescent="0.2">
      <c r="N1211" s="88" t="str">
        <f t="shared" si="24"/>
        <v>1w</v>
      </c>
      <c r="O1211" s="82">
        <f>_xll.qlCalendarAdvance(Calendar,O1210,N1211,"f",FALSE)</f>
        <v>47777</v>
      </c>
      <c r="P1211" s="92">
        <f>_xll.qlCalendarAdvance(Calendar,O1211,NDays&amp;"D")</f>
        <v>47779</v>
      </c>
      <c r="Q1211" s="81">
        <v>2.7409001748476575E-2</v>
      </c>
      <c r="R1211" s="85">
        <v>2.7383915430689854E-2</v>
      </c>
    </row>
    <row r="1212" spans="14:18" x14ac:dyDescent="0.2">
      <c r="N1212" s="88" t="str">
        <f t="shared" si="24"/>
        <v>1w</v>
      </c>
      <c r="O1212" s="82">
        <f>_xll.qlCalendarAdvance(Calendar,O1211,N1212,"f",FALSE)</f>
        <v>47784</v>
      </c>
      <c r="P1212" s="92">
        <f>_xll.qlCalendarAdvance(Calendar,O1212,NDays&amp;"D")</f>
        <v>47786</v>
      </c>
      <c r="Q1212" s="81">
        <v>2.7403250801905976E-2</v>
      </c>
      <c r="R1212" s="85">
        <v>2.738061329060848E-2</v>
      </c>
    </row>
    <row r="1213" spans="14:18" x14ac:dyDescent="0.2">
      <c r="N1213" s="88" t="str">
        <f t="shared" si="24"/>
        <v>1w</v>
      </c>
      <c r="O1213" s="82">
        <f>_xll.qlCalendarAdvance(Calendar,O1212,N1213,"f",FALSE)</f>
        <v>47791</v>
      </c>
      <c r="P1213" s="92">
        <f>_xll.qlCalendarAdvance(Calendar,O1213,NDays&amp;"D")</f>
        <v>47793</v>
      </c>
      <c r="Q1213" s="81">
        <v>2.7399890273056116E-2</v>
      </c>
      <c r="R1213" s="85">
        <v>2.7377291664993919E-2</v>
      </c>
    </row>
    <row r="1214" spans="14:18" x14ac:dyDescent="0.2">
      <c r="N1214" s="88" t="str">
        <f t="shared" si="24"/>
        <v>1w</v>
      </c>
      <c r="O1214" s="82">
        <f>_xll.qlCalendarAdvance(Calendar,O1213,N1214,"f",FALSE)</f>
        <v>47798</v>
      </c>
      <c r="P1214" s="92">
        <f>_xll.qlCalendarAdvance(Calendar,O1214,NDays&amp;"D")</f>
        <v>47800</v>
      </c>
      <c r="Q1214" s="81">
        <v>2.7396510219509729E-2</v>
      </c>
      <c r="R1214" s="85">
        <v>2.7373950553899462E-2</v>
      </c>
    </row>
    <row r="1215" spans="14:18" x14ac:dyDescent="0.2">
      <c r="N1215" s="88" t="str">
        <f t="shared" si="24"/>
        <v>1w</v>
      </c>
      <c r="O1215" s="82">
        <f>_xll.qlCalendarAdvance(Calendar,O1214,N1215,"f",FALSE)</f>
        <v>47805</v>
      </c>
      <c r="P1215" s="92">
        <f>_xll.qlCalendarAdvance(Calendar,O1215,NDays&amp;"D")</f>
        <v>47807</v>
      </c>
      <c r="Q1215" s="81">
        <v>2.7393110641280138E-2</v>
      </c>
      <c r="R1215" s="85">
        <v>2.7370589957245173E-2</v>
      </c>
    </row>
    <row r="1216" spans="14:18" x14ac:dyDescent="0.2">
      <c r="N1216" s="88" t="str">
        <f t="shared" si="24"/>
        <v>1w</v>
      </c>
      <c r="O1216" s="82">
        <f>_xll.qlCalendarAdvance(Calendar,O1215,N1216,"f",FALSE)</f>
        <v>47812</v>
      </c>
      <c r="P1216" s="92">
        <f>_xll.qlCalendarAdvance(Calendar,O1216,NDays&amp;"D")</f>
        <v>47814</v>
      </c>
      <c r="Q1216" s="81">
        <v>2.7389691538388661E-2</v>
      </c>
      <c r="R1216" s="85">
        <v>2.7367209875137632E-2</v>
      </c>
    </row>
    <row r="1217" spans="14:18" x14ac:dyDescent="0.2">
      <c r="N1217" s="88" t="str">
        <f t="shared" si="24"/>
        <v>1w</v>
      </c>
      <c r="O1217" s="82">
        <f>_xll.qlCalendarAdvance(Calendar,O1216,N1217,"f",FALSE)</f>
        <v>47819</v>
      </c>
      <c r="P1217" s="92">
        <f>_xll.qlCalendarAdvance(Calendar,O1217,NDays&amp;"D")</f>
        <v>47821</v>
      </c>
      <c r="Q1217" s="81">
        <v>2.7389426268700875E-2</v>
      </c>
      <c r="R1217" s="85">
        <v>2.7363810307496905E-2</v>
      </c>
    </row>
    <row r="1218" spans="14:18" x14ac:dyDescent="0.2">
      <c r="N1218" s="88" t="str">
        <f t="shared" si="24"/>
        <v>1w</v>
      </c>
      <c r="O1218" s="82">
        <f>_xll.qlCalendarAdvance(Calendar,O1217,N1218,"f",FALSE)</f>
        <v>47826</v>
      </c>
      <c r="P1218" s="92">
        <f>_xll.qlCalendarAdvance(Calendar,O1218,NDays&amp;"D")</f>
        <v>47828</v>
      </c>
      <c r="Q1218" s="81">
        <v>2.738516998054295E-2</v>
      </c>
      <c r="R1218" s="85">
        <v>2.7360391254322991E-2</v>
      </c>
    </row>
    <row r="1219" spans="14:18" x14ac:dyDescent="0.2">
      <c r="N1219" s="88" t="str">
        <f t="shared" si="24"/>
        <v>1w</v>
      </c>
      <c r="O1219" s="82">
        <f>_xll.qlCalendarAdvance(Calendar,O1218,N1219,"f",FALSE)</f>
        <v>47833</v>
      </c>
      <c r="P1219" s="92">
        <f>_xll.qlCalendarAdvance(Calendar,O1219,NDays&amp;"D")</f>
        <v>47835</v>
      </c>
      <c r="Q1219" s="81">
        <v>2.7381687326276157E-2</v>
      </c>
      <c r="R1219" s="85">
        <v>2.7356952715669181E-2</v>
      </c>
    </row>
    <row r="1220" spans="14:18" x14ac:dyDescent="0.2">
      <c r="N1220" s="88" t="str">
        <f t="shared" si="24"/>
        <v>1w</v>
      </c>
      <c r="O1220" s="82">
        <f>_xll.qlCalendarAdvance(Calendar,O1219,N1220,"f",FALSE)</f>
        <v>47840</v>
      </c>
      <c r="P1220" s="92">
        <f>_xll.qlCalendarAdvance(Calendar,O1220,NDays&amp;"D")</f>
        <v>47847</v>
      </c>
      <c r="Q1220" s="81">
        <v>2.7374884511892905E-2</v>
      </c>
      <c r="R1220" s="85">
        <v>2.7350806776624825E-2</v>
      </c>
    </row>
    <row r="1221" spans="14:18" x14ac:dyDescent="0.2">
      <c r="N1221" s="88" t="str">
        <f t="shared" si="24"/>
        <v>1w</v>
      </c>
      <c r="O1221" s="82">
        <f>_xll.qlCalendarAdvance(Calendar,O1220,N1221,"f",FALSE)</f>
        <v>47847</v>
      </c>
      <c r="P1221" s="92">
        <f>_xll.qlCalendarAdvance(Calendar,O1221,NDays&amp;"D")</f>
        <v>47851</v>
      </c>
      <c r="Q1221" s="81">
        <v>2.7372081191894916E-2</v>
      </c>
      <c r="R1221" s="85">
        <v>2.7345944140790834E-2</v>
      </c>
    </row>
    <row r="1222" spans="14:18" x14ac:dyDescent="0.2">
      <c r="N1222" s="88" t="str">
        <f t="shared" si="24"/>
        <v>1w</v>
      </c>
      <c r="O1222" s="82">
        <f>_xll.qlCalendarAdvance(Calendar,O1221,N1222,"f",FALSE)</f>
        <v>47855</v>
      </c>
      <c r="P1222" s="92">
        <f>_xll.qlCalendarAdvance(Calendar,O1222,NDays&amp;"D")</f>
        <v>47857</v>
      </c>
      <c r="Q1222" s="81">
        <v>2.7369829965483983E-2</v>
      </c>
      <c r="R1222" s="85">
        <v>2.7343440702454203E-2</v>
      </c>
    </row>
    <row r="1223" spans="14:18" x14ac:dyDescent="0.2">
      <c r="N1223" s="88" t="str">
        <f t="shared" si="24"/>
        <v>1w</v>
      </c>
      <c r="O1223" s="82">
        <f>_xll.qlCalendarAdvance(Calendar,O1222,N1223,"f",FALSE)</f>
        <v>47862</v>
      </c>
      <c r="P1223" s="92">
        <f>_xll.qlCalendarAdvance(Calendar,O1223,NDays&amp;"D")</f>
        <v>47864</v>
      </c>
      <c r="Q1223" s="81">
        <v>2.7366268071104538E-2</v>
      </c>
      <c r="R1223" s="85">
        <v>2.7339919189452999E-2</v>
      </c>
    </row>
    <row r="1224" spans="14:18" x14ac:dyDescent="0.2">
      <c r="N1224" s="88" t="str">
        <f t="shared" si="24"/>
        <v>1w</v>
      </c>
      <c r="O1224" s="82">
        <f>_xll.qlCalendarAdvance(Calendar,O1223,N1224,"f",FALSE)</f>
        <v>47869</v>
      </c>
      <c r="P1224" s="92">
        <f>_xll.qlCalendarAdvance(Calendar,O1224,NDays&amp;"D")</f>
        <v>47871</v>
      </c>
      <c r="Q1224" s="81">
        <v>2.7362686649312906E-2</v>
      </c>
      <c r="R1224" s="85">
        <v>2.7336378193876243E-2</v>
      </c>
    </row>
    <row r="1225" spans="14:18" x14ac:dyDescent="0.2">
      <c r="N1225" s="88" t="str">
        <f t="shared" si="24"/>
        <v>1w</v>
      </c>
      <c r="O1225" s="82">
        <f>_xll.qlCalendarAdvance(Calendar,O1224,N1225,"f",FALSE)</f>
        <v>47876</v>
      </c>
      <c r="P1225" s="92">
        <f>_xll.qlCalendarAdvance(Calendar,O1225,NDays&amp;"D")</f>
        <v>47878</v>
      </c>
      <c r="Q1225" s="81">
        <v>2.7356745768306025E-2</v>
      </c>
      <c r="R1225" s="85">
        <v>2.7332817715643998E-2</v>
      </c>
    </row>
    <row r="1226" spans="14:18" x14ac:dyDescent="0.2">
      <c r="N1226" s="88" t="str">
        <f t="shared" si="24"/>
        <v>1w</v>
      </c>
      <c r="O1226" s="82">
        <f>_xll.qlCalendarAdvance(Calendar,O1225,N1226,"f",FALSE)</f>
        <v>47883</v>
      </c>
      <c r="P1226" s="92">
        <f>_xll.qlCalendarAdvance(Calendar,O1226,NDays&amp;"D")</f>
        <v>47885</v>
      </c>
      <c r="Q1226" s="81">
        <v>2.7352351752055273E-2</v>
      </c>
      <c r="R1226" s="85">
        <v>2.73292377548362E-2</v>
      </c>
    </row>
    <row r="1227" spans="14:18" x14ac:dyDescent="0.2">
      <c r="N1227" s="88" t="str">
        <f t="shared" si="24"/>
        <v>1w</v>
      </c>
      <c r="O1227" s="82">
        <f>_xll.qlCalendarAdvance(Calendar,O1226,N1227,"f",FALSE)</f>
        <v>47890</v>
      </c>
      <c r="P1227" s="92">
        <f>_xll.qlCalendarAdvance(Calendar,O1227,NDays&amp;"D")</f>
        <v>47892</v>
      </c>
      <c r="Q1227" s="81">
        <v>2.7348718430505934E-2</v>
      </c>
      <c r="R1227" s="85">
        <v>2.7325638311532785E-2</v>
      </c>
    </row>
    <row r="1228" spans="14:18" x14ac:dyDescent="0.2">
      <c r="N1228" s="88" t="str">
        <f t="shared" si="24"/>
        <v>1w</v>
      </c>
      <c r="O1228" s="82">
        <f>_xll.qlCalendarAdvance(Calendar,O1227,N1228,"f",FALSE)</f>
        <v>47897</v>
      </c>
      <c r="P1228" s="92">
        <f>_xll.qlCalendarAdvance(Calendar,O1228,NDays&amp;"D")</f>
        <v>47899</v>
      </c>
      <c r="Q1228" s="81">
        <v>2.7345065587383668E-2</v>
      </c>
      <c r="R1228" s="85">
        <v>2.7322019385414009E-2</v>
      </c>
    </row>
    <row r="1229" spans="14:18" x14ac:dyDescent="0.2">
      <c r="N1229" s="88" t="str">
        <f t="shared" si="24"/>
        <v>1w</v>
      </c>
      <c r="O1229" s="82">
        <f>_xll.qlCalendarAdvance(Calendar,O1228,N1229,"f",FALSE)</f>
        <v>47904</v>
      </c>
      <c r="P1229" s="92">
        <f>_xll.qlCalendarAdvance(Calendar,O1229,NDays&amp;"D")</f>
        <v>47906</v>
      </c>
      <c r="Q1229" s="81">
        <v>2.734139322271131E-2</v>
      </c>
      <c r="R1229" s="85">
        <v>2.7318380976799617E-2</v>
      </c>
    </row>
    <row r="1230" spans="14:18" x14ac:dyDescent="0.2">
      <c r="N1230" s="88" t="str">
        <f t="shared" si="24"/>
        <v>1w</v>
      </c>
      <c r="O1230" s="82">
        <f>_xll.qlCalendarAdvance(Calendar,O1229,N1230,"f",FALSE)</f>
        <v>47911</v>
      </c>
      <c r="P1230" s="92">
        <f>_xll.qlCalendarAdvance(Calendar,O1230,NDays&amp;"D")</f>
        <v>47913</v>
      </c>
      <c r="Q1230" s="81">
        <v>2.7340788043816455E-2</v>
      </c>
      <c r="R1230" s="85">
        <v>2.7314723085529735E-2</v>
      </c>
    </row>
    <row r="1231" spans="14:18" x14ac:dyDescent="0.2">
      <c r="N1231" s="88" t="str">
        <f t="shared" si="24"/>
        <v>1w</v>
      </c>
      <c r="O1231" s="82">
        <f>_xll.qlCalendarAdvance(Calendar,O1230,N1231,"f",FALSE)</f>
        <v>47918</v>
      </c>
      <c r="P1231" s="92">
        <f>_xll.qlCalendarAdvance(Calendar,O1231,NDays&amp;"D")</f>
        <v>47920</v>
      </c>
      <c r="Q1231" s="81">
        <v>2.7337839628803259E-2</v>
      </c>
      <c r="R1231" s="85">
        <v>2.7311045711764237E-2</v>
      </c>
    </row>
    <row r="1232" spans="14:18" x14ac:dyDescent="0.2">
      <c r="N1232" s="88" t="str">
        <f t="shared" si="24"/>
        <v>1w</v>
      </c>
      <c r="O1232" s="82">
        <f>_xll.qlCalendarAdvance(Calendar,O1231,N1232,"f",FALSE)</f>
        <v>47925</v>
      </c>
      <c r="P1232" s="92">
        <f>_xll.qlCalendarAdvance(Calendar,O1232,NDays&amp;"D")</f>
        <v>47927</v>
      </c>
      <c r="Q1232" s="81">
        <v>2.7333332290164492E-2</v>
      </c>
      <c r="R1232" s="85">
        <v>2.730734885534325E-2</v>
      </c>
    </row>
    <row r="1233" spans="14:18" x14ac:dyDescent="0.2">
      <c r="N1233" s="88" t="str">
        <f t="shared" si="24"/>
        <v>1w</v>
      </c>
      <c r="O1233" s="82">
        <f>_xll.qlCalendarAdvance(Calendar,O1232,N1233,"f",FALSE)</f>
        <v>47932</v>
      </c>
      <c r="P1233" s="92">
        <f>_xll.qlCalendarAdvance(Calendar,O1233,NDays&amp;"D")</f>
        <v>47934</v>
      </c>
      <c r="Q1233" s="81">
        <v>2.7329575122457539E-2</v>
      </c>
      <c r="R1233" s="85">
        <v>2.7303632516266774E-2</v>
      </c>
    </row>
    <row r="1234" spans="14:18" x14ac:dyDescent="0.2">
      <c r="N1234" s="88" t="str">
        <f t="shared" si="24"/>
        <v>1w</v>
      </c>
      <c r="O1234" s="82">
        <f>_xll.qlCalendarAdvance(Calendar,O1233,N1234,"f",FALSE)</f>
        <v>47939</v>
      </c>
      <c r="P1234" s="92">
        <f>_xll.qlCalendarAdvance(Calendar,O1234,NDays&amp;"D")</f>
        <v>47941</v>
      </c>
      <c r="Q1234" s="81">
        <v>2.7325798427525749E-2</v>
      </c>
      <c r="R1234" s="85">
        <v>2.7299896694694681E-2</v>
      </c>
    </row>
    <row r="1235" spans="14:18" x14ac:dyDescent="0.2">
      <c r="N1235" s="88" t="str">
        <f t="shared" si="24"/>
        <v>1w</v>
      </c>
      <c r="O1235" s="82">
        <f>_xll.qlCalendarAdvance(Calendar,O1234,N1235,"f",FALSE)</f>
        <v>47946</v>
      </c>
      <c r="P1235" s="92">
        <f>_xll.qlCalendarAdvance(Calendar,O1235,NDays&amp;"D")</f>
        <v>47948</v>
      </c>
      <c r="Q1235" s="81">
        <v>2.7322002205386609E-2</v>
      </c>
      <c r="R1235" s="85">
        <v>2.7295064867915997E-2</v>
      </c>
    </row>
    <row r="1236" spans="14:18" x14ac:dyDescent="0.2">
      <c r="N1236" s="88" t="str">
        <f t="shared" si="24"/>
        <v>1w</v>
      </c>
      <c r="O1236" s="82">
        <f>_xll.qlCalendarAdvance(Calendar,O1235,N1236,"f",FALSE)</f>
        <v>47953</v>
      </c>
      <c r="P1236" s="92">
        <f>_xll.qlCalendarAdvance(Calendar,O1236,NDays&amp;"D")</f>
        <v>47955</v>
      </c>
      <c r="Q1236" s="81">
        <v>2.7318186456057603E-2</v>
      </c>
      <c r="R1236" s="85">
        <v>2.7292366603663964E-2</v>
      </c>
    </row>
    <row r="1237" spans="14:18" x14ac:dyDescent="0.2">
      <c r="N1237" s="88" t="str">
        <f t="shared" ref="N1237:N1300" si="25">N1236</f>
        <v>1w</v>
      </c>
      <c r="O1237" s="82">
        <f>_xll.qlCalendarAdvance(Calendar,O1236,N1237,"f",FALSE)</f>
        <v>47960</v>
      </c>
      <c r="P1237" s="92">
        <f>_xll.qlCalendarAdvance(Calendar,O1237,NDays&amp;"D")</f>
        <v>47962</v>
      </c>
      <c r="Q1237" s="81">
        <v>2.7314351179561214E-2</v>
      </c>
      <c r="R1237" s="85">
        <v>2.7288572334205341E-2</v>
      </c>
    </row>
    <row r="1238" spans="14:18" x14ac:dyDescent="0.2">
      <c r="N1238" s="88" t="str">
        <f t="shared" si="25"/>
        <v>1w</v>
      </c>
      <c r="O1238" s="82">
        <f>_xll.qlCalendarAdvance(Calendar,O1237,N1238,"f",FALSE)</f>
        <v>47967</v>
      </c>
      <c r="P1238" s="92">
        <f>_xll.qlCalendarAdvance(Calendar,O1238,NDays&amp;"D")</f>
        <v>47970</v>
      </c>
      <c r="Q1238" s="81">
        <v>2.7309944095628425E-2</v>
      </c>
      <c r="R1238" s="85">
        <v>2.7284212170055611E-2</v>
      </c>
    </row>
    <row r="1239" spans="14:18" x14ac:dyDescent="0.2">
      <c r="N1239" s="88" t="str">
        <f t="shared" si="25"/>
        <v>1w</v>
      </c>
      <c r="O1239" s="82">
        <f>_xll.qlCalendarAdvance(Calendar,O1238,N1239,"f",FALSE)</f>
        <v>47974</v>
      </c>
      <c r="P1239" s="92">
        <f>_xll.qlCalendarAdvance(Calendar,O1239,NDays&amp;"D")</f>
        <v>47976</v>
      </c>
      <c r="Q1239" s="81">
        <v>2.7306622045143725E-2</v>
      </c>
      <c r="R1239" s="85">
        <v>2.7280925347561436E-2</v>
      </c>
    </row>
    <row r="1240" spans="14:18" x14ac:dyDescent="0.2">
      <c r="N1240" s="88" t="str">
        <f t="shared" si="25"/>
        <v>1w</v>
      </c>
      <c r="O1240" s="82">
        <f>_xll.qlCalendarAdvance(Calendar,O1239,N1240,"f",FALSE)</f>
        <v>47981</v>
      </c>
      <c r="P1240" s="92">
        <f>_xll.qlCalendarAdvance(Calendar,O1240,NDays&amp;"D")</f>
        <v>47983</v>
      </c>
      <c r="Q1240" s="81">
        <v>2.7302728187262593E-2</v>
      </c>
      <c r="R1240" s="85">
        <v>2.7277072630376153E-2</v>
      </c>
    </row>
    <row r="1241" spans="14:18" x14ac:dyDescent="0.2">
      <c r="N1241" s="88" t="str">
        <f t="shared" si="25"/>
        <v>1w</v>
      </c>
      <c r="O1241" s="82">
        <f>_xll.qlCalendarAdvance(Calendar,O1240,N1241,"f",FALSE)</f>
        <v>47988</v>
      </c>
      <c r="P1241" s="92">
        <f>_xll.qlCalendarAdvance(Calendar,O1241,NDays&amp;"D")</f>
        <v>47991</v>
      </c>
      <c r="Q1241" s="81">
        <v>2.7297501422066696E-2</v>
      </c>
      <c r="R1241" s="85">
        <v>2.727264566877885E-2</v>
      </c>
    </row>
    <row r="1242" spans="14:18" x14ac:dyDescent="0.2">
      <c r="N1242" s="88" t="str">
        <f t="shared" si="25"/>
        <v>1w</v>
      </c>
      <c r="O1242" s="82">
        <f>_xll.qlCalendarAdvance(Calendar,O1241,N1242,"f",FALSE)</f>
        <v>47995</v>
      </c>
      <c r="P1242" s="92">
        <f>_xll.qlCalendarAdvance(Calendar,O1242,NDays&amp;"D")</f>
        <v>47997</v>
      </c>
      <c r="Q1242" s="81">
        <v>2.7294881890257972E-2</v>
      </c>
      <c r="R1242" s="85">
        <v>2.7268751203148867E-2</v>
      </c>
    </row>
    <row r="1243" spans="14:18" x14ac:dyDescent="0.2">
      <c r="N1243" s="88" t="str">
        <f t="shared" si="25"/>
        <v>1w</v>
      </c>
      <c r="O1243" s="82">
        <f>_xll.qlCalendarAdvance(Calendar,O1242,N1243,"f",FALSE)</f>
        <v>48002</v>
      </c>
      <c r="P1243" s="92">
        <f>_xll.qlCalendarAdvance(Calendar,O1243,NDays&amp;"D")</f>
        <v>48004</v>
      </c>
      <c r="Q1243" s="81">
        <v>2.7290929451176948E-2</v>
      </c>
      <c r="R1243" s="85">
        <v>2.7265397583207118E-2</v>
      </c>
    </row>
    <row r="1244" spans="14:18" x14ac:dyDescent="0.2">
      <c r="N1244" s="88" t="str">
        <f t="shared" si="25"/>
        <v>1w</v>
      </c>
      <c r="O1244" s="82">
        <f>_xll.qlCalendarAdvance(Calendar,O1243,N1244,"f",FALSE)</f>
        <v>48009</v>
      </c>
      <c r="P1244" s="92">
        <f>_xll.qlCalendarAdvance(Calendar,O1244,NDays&amp;"D")</f>
        <v>48011</v>
      </c>
      <c r="Q1244" s="81">
        <v>2.728695748506843E-2</v>
      </c>
      <c r="R1244" s="85">
        <v>2.7261466935639689E-2</v>
      </c>
    </row>
    <row r="1245" spans="14:18" x14ac:dyDescent="0.2">
      <c r="N1245" s="88" t="str">
        <f t="shared" si="25"/>
        <v>1w</v>
      </c>
      <c r="O1245" s="82">
        <f>_xll.qlCalendarAdvance(Calendar,O1244,N1245,"f",FALSE)</f>
        <v>48016</v>
      </c>
      <c r="P1245" s="92">
        <f>_xll.qlCalendarAdvance(Calendar,O1245,NDays&amp;"D")</f>
        <v>48018</v>
      </c>
      <c r="Q1245" s="81">
        <v>2.7282965991952401E-2</v>
      </c>
      <c r="R1245" s="85">
        <v>2.7256950910725664E-2</v>
      </c>
    </row>
    <row r="1246" spans="14:18" x14ac:dyDescent="0.2">
      <c r="N1246" s="88" t="str">
        <f t="shared" si="25"/>
        <v>1w</v>
      </c>
      <c r="O1246" s="82">
        <f>_xll.qlCalendarAdvance(Calendar,O1245,N1246,"f",FALSE)</f>
        <v>48023</v>
      </c>
      <c r="P1246" s="92">
        <f>_xll.qlCalendarAdvance(Calendar,O1246,NDays&amp;"D")</f>
        <v>48025</v>
      </c>
      <c r="Q1246" s="81">
        <v>2.7278954971853842E-2</v>
      </c>
      <c r="R1246" s="85">
        <v>2.7253547192698235E-2</v>
      </c>
    </row>
    <row r="1247" spans="14:18" x14ac:dyDescent="0.2">
      <c r="N1247" s="88" t="str">
        <f t="shared" si="25"/>
        <v>1w</v>
      </c>
      <c r="O1247" s="82">
        <f>_xll.qlCalendarAdvance(Calendar,O1246,N1247,"f",FALSE)</f>
        <v>48030</v>
      </c>
      <c r="P1247" s="92">
        <f>_xll.qlCalendarAdvance(Calendar,O1247,NDays&amp;"D")</f>
        <v>48032</v>
      </c>
      <c r="Q1247" s="81">
        <v>2.7274924424790237E-2</v>
      </c>
      <c r="R1247" s="85">
        <v>2.7249558097324211E-2</v>
      </c>
    </row>
    <row r="1248" spans="14:18" x14ac:dyDescent="0.2">
      <c r="N1248" s="88" t="str">
        <f t="shared" si="25"/>
        <v>1w</v>
      </c>
      <c r="O1248" s="82">
        <f>_xll.qlCalendarAdvance(Calendar,O1247,N1248,"f",FALSE)</f>
        <v>48037</v>
      </c>
      <c r="P1248" s="92">
        <f>_xll.qlCalendarAdvance(Calendar,O1248,NDays&amp;"D")</f>
        <v>48039</v>
      </c>
      <c r="Q1248" s="81">
        <v>2.7270874350781571E-2</v>
      </c>
      <c r="R1248" s="85">
        <v>2.7245549519374634E-2</v>
      </c>
    </row>
    <row r="1249" spans="14:18" x14ac:dyDescent="0.2">
      <c r="N1249" s="88" t="str">
        <f t="shared" si="25"/>
        <v>1w</v>
      </c>
      <c r="O1249" s="82">
        <f>_xll.qlCalendarAdvance(Calendar,O1248,N1249,"f",FALSE)</f>
        <v>48044</v>
      </c>
      <c r="P1249" s="92">
        <f>_xll.qlCalendarAdvance(Calendar,O1249,NDays&amp;"D")</f>
        <v>48046</v>
      </c>
      <c r="Q1249" s="81">
        <v>2.7266804749852824E-2</v>
      </c>
      <c r="R1249" s="85">
        <v>2.7241521458849505E-2</v>
      </c>
    </row>
    <row r="1250" spans="14:18" x14ac:dyDescent="0.2">
      <c r="N1250" s="88" t="str">
        <f t="shared" si="25"/>
        <v>1w</v>
      </c>
      <c r="O1250" s="82">
        <f>_xll.qlCalendarAdvance(Calendar,O1249,N1250,"f",FALSE)</f>
        <v>48051</v>
      </c>
      <c r="P1250" s="92">
        <f>_xll.qlCalendarAdvance(Calendar,O1250,NDays&amp;"D")</f>
        <v>48053</v>
      </c>
      <c r="Q1250" s="81">
        <v>2.7262715622021483E-2</v>
      </c>
      <c r="R1250" s="85">
        <v>2.7237473915748822E-2</v>
      </c>
    </row>
    <row r="1251" spans="14:18" x14ac:dyDescent="0.2">
      <c r="N1251" s="88" t="str">
        <f t="shared" si="25"/>
        <v>1w</v>
      </c>
      <c r="O1251" s="82">
        <f>_xll.qlCalendarAdvance(Calendar,O1250,N1251,"f",FALSE)</f>
        <v>48058</v>
      </c>
      <c r="P1251" s="92">
        <f>_xll.qlCalendarAdvance(Calendar,O1251,NDays&amp;"D")</f>
        <v>48060</v>
      </c>
      <c r="Q1251" s="81">
        <v>2.725639864145259E-2</v>
      </c>
      <c r="R1251" s="85">
        <v>2.7233406889992651E-2</v>
      </c>
    </row>
    <row r="1252" spans="14:18" x14ac:dyDescent="0.2">
      <c r="N1252" s="88" t="str">
        <f t="shared" si="25"/>
        <v>1w</v>
      </c>
      <c r="O1252" s="82">
        <f>_xll.qlCalendarAdvance(Calendar,O1251,N1252,"f",FALSE)</f>
        <v>48065</v>
      </c>
      <c r="P1252" s="92">
        <f>_xll.qlCalendarAdvance(Calendar,O1252,NDays&amp;"D")</f>
        <v>48067</v>
      </c>
      <c r="Q1252" s="81">
        <v>2.7254478785743441E-2</v>
      </c>
      <c r="R1252" s="85">
        <v>2.7229320381740862E-2</v>
      </c>
    </row>
    <row r="1253" spans="14:18" x14ac:dyDescent="0.2">
      <c r="N1253" s="88" t="str">
        <f t="shared" si="25"/>
        <v>1w</v>
      </c>
      <c r="O1253" s="82">
        <f>_xll.qlCalendarAdvance(Calendar,O1252,N1253,"f",FALSE)</f>
        <v>48072</v>
      </c>
      <c r="P1253" s="92">
        <f>_xll.qlCalendarAdvance(Calendar,O1253,NDays&amp;"D")</f>
        <v>48074</v>
      </c>
      <c r="Q1253" s="81">
        <v>2.7250331077336709E-2</v>
      </c>
      <c r="R1253" s="85">
        <v>2.7225214390833585E-2</v>
      </c>
    </row>
    <row r="1254" spans="14:18" x14ac:dyDescent="0.2">
      <c r="N1254" s="88" t="str">
        <f t="shared" si="25"/>
        <v>1w</v>
      </c>
      <c r="O1254" s="82">
        <f>_xll.qlCalendarAdvance(Calendar,O1253,N1254,"f",FALSE)</f>
        <v>48079</v>
      </c>
      <c r="P1254" s="92">
        <f>_xll.qlCalendarAdvance(Calendar,O1254,NDays&amp;"D")</f>
        <v>48081</v>
      </c>
      <c r="Q1254" s="81">
        <v>2.724616384211731E-2</v>
      </c>
      <c r="R1254" s="85">
        <v>2.7221088917430691E-2</v>
      </c>
    </row>
    <row r="1255" spans="14:18" x14ac:dyDescent="0.2">
      <c r="N1255" s="88" t="str">
        <f t="shared" si="25"/>
        <v>1w</v>
      </c>
      <c r="O1255" s="82">
        <f>_xll.qlCalendarAdvance(Calendar,O1254,N1255,"f",FALSE)</f>
        <v>48086</v>
      </c>
      <c r="P1255" s="92">
        <f>_xll.qlCalendarAdvance(Calendar,O1255,NDays&amp;"D")</f>
        <v>48088</v>
      </c>
      <c r="Q1255" s="81">
        <v>2.7241977080102731E-2</v>
      </c>
      <c r="R1255" s="85">
        <v>2.7216943961372309E-2</v>
      </c>
    </row>
    <row r="1256" spans="14:18" x14ac:dyDescent="0.2">
      <c r="N1256" s="88" t="str">
        <f t="shared" si="25"/>
        <v>1w</v>
      </c>
      <c r="O1256" s="82">
        <f>_xll.qlCalendarAdvance(Calendar,O1255,N1256,"f",FALSE)</f>
        <v>48093</v>
      </c>
      <c r="P1256" s="92">
        <f>_xll.qlCalendarAdvance(Calendar,O1256,NDays&amp;"D")</f>
        <v>48095</v>
      </c>
      <c r="Q1256" s="81">
        <v>2.7237770791312954E-2</v>
      </c>
      <c r="R1256" s="85">
        <v>2.7212779522738373E-2</v>
      </c>
    </row>
    <row r="1257" spans="14:18" x14ac:dyDescent="0.2">
      <c r="N1257" s="88" t="str">
        <f t="shared" si="25"/>
        <v>1w</v>
      </c>
      <c r="O1257" s="82">
        <f>_xll.qlCalendarAdvance(Calendar,O1256,N1257,"f",FALSE)</f>
        <v>48100</v>
      </c>
      <c r="P1257" s="92">
        <f>_xll.qlCalendarAdvance(Calendar,O1257,NDays&amp;"D")</f>
        <v>48102</v>
      </c>
      <c r="Q1257" s="81">
        <v>2.7233544975775459E-2</v>
      </c>
      <c r="R1257" s="85">
        <v>2.7208595601448948E-2</v>
      </c>
    </row>
    <row r="1258" spans="14:18" x14ac:dyDescent="0.2">
      <c r="N1258" s="88" t="str">
        <f t="shared" si="25"/>
        <v>1w</v>
      </c>
      <c r="O1258" s="82">
        <f>_xll.qlCalendarAdvance(Calendar,O1257,N1258,"f",FALSE)</f>
        <v>48107</v>
      </c>
      <c r="P1258" s="92">
        <f>_xll.qlCalendarAdvance(Calendar,O1258,NDays&amp;"D")</f>
        <v>48109</v>
      </c>
      <c r="Q1258" s="81">
        <v>2.7229299633510229E-2</v>
      </c>
      <c r="R1258" s="85">
        <v>2.7204392197743843E-2</v>
      </c>
    </row>
    <row r="1259" spans="14:18" x14ac:dyDescent="0.2">
      <c r="N1259" s="88" t="str">
        <f t="shared" si="25"/>
        <v>1w</v>
      </c>
      <c r="O1259" s="82">
        <f>_xll.qlCalendarAdvance(Calendar,O1258,N1259,"f",FALSE)</f>
        <v>48114</v>
      </c>
      <c r="P1259" s="92">
        <f>_xll.qlCalendarAdvance(Calendar,O1259,NDays&amp;"D")</f>
        <v>48116</v>
      </c>
      <c r="Q1259" s="81">
        <v>2.7225034764539746E-2</v>
      </c>
      <c r="R1259" s="85">
        <v>2.7200169311303313E-2</v>
      </c>
    </row>
    <row r="1260" spans="14:18" x14ac:dyDescent="0.2">
      <c r="N1260" s="88" t="str">
        <f t="shared" si="25"/>
        <v>1w</v>
      </c>
      <c r="O1260" s="82">
        <f>_xll.qlCalendarAdvance(Calendar,O1259,N1260,"f",FALSE)</f>
        <v>48121</v>
      </c>
      <c r="P1260" s="92">
        <f>_xll.qlCalendarAdvance(Calendar,O1260,NDays&amp;"D")</f>
        <v>48123</v>
      </c>
      <c r="Q1260" s="81">
        <v>2.7220750368883995E-2</v>
      </c>
      <c r="R1260" s="85">
        <v>2.719592694228723E-2</v>
      </c>
    </row>
    <row r="1261" spans="14:18" x14ac:dyDescent="0.2">
      <c r="N1261" s="88" t="str">
        <f t="shared" si="25"/>
        <v>1w</v>
      </c>
      <c r="O1261" s="82">
        <f>_xll.qlCalendarAdvance(Calendar,O1260,N1261,"f",FALSE)</f>
        <v>48128</v>
      </c>
      <c r="P1261" s="92">
        <f>_xll.qlCalendarAdvance(Calendar,O1261,NDays&amp;"D")</f>
        <v>48130</v>
      </c>
      <c r="Q1261" s="81">
        <v>2.7216446446562959E-2</v>
      </c>
      <c r="R1261" s="85">
        <v>2.719166509077553E-2</v>
      </c>
    </row>
    <row r="1262" spans="14:18" x14ac:dyDescent="0.2">
      <c r="N1262" s="88" t="str">
        <f t="shared" si="25"/>
        <v>1w</v>
      </c>
      <c r="O1262" s="82">
        <f>_xll.qlCalendarAdvance(Calendar,O1261,N1262,"f",FALSE)</f>
        <v>48135</v>
      </c>
      <c r="P1262" s="92">
        <f>_xll.qlCalendarAdvance(Calendar,O1262,NDays&amp;"D")</f>
        <v>48137</v>
      </c>
      <c r="Q1262" s="81">
        <v>2.7212122997606614E-2</v>
      </c>
      <c r="R1262" s="85">
        <v>2.7187383756608341E-2</v>
      </c>
    </row>
    <row r="1263" spans="14:18" x14ac:dyDescent="0.2">
      <c r="N1263" s="88" t="str">
        <f t="shared" si="25"/>
        <v>1w</v>
      </c>
      <c r="O1263" s="82">
        <f>_xll.qlCalendarAdvance(Calendar,O1262,N1263,"f",FALSE)</f>
        <v>48142</v>
      </c>
      <c r="P1263" s="92">
        <f>_xll.qlCalendarAdvance(Calendar,O1263,NDays&amp;"D")</f>
        <v>48144</v>
      </c>
      <c r="Q1263" s="81">
        <v>2.7207780022032446E-2</v>
      </c>
      <c r="R1263" s="85">
        <v>2.7183082939945535E-2</v>
      </c>
    </row>
    <row r="1264" spans="14:18" x14ac:dyDescent="0.2">
      <c r="N1264" s="88" t="str">
        <f t="shared" si="25"/>
        <v>1w</v>
      </c>
      <c r="O1264" s="82">
        <f>_xll.qlCalendarAdvance(Calendar,O1263,N1264,"f",FALSE)</f>
        <v>48149</v>
      </c>
      <c r="P1264" s="92">
        <f>_xll.qlCalendarAdvance(Calendar,O1264,NDays&amp;"D")</f>
        <v>48151</v>
      </c>
      <c r="Q1264" s="81">
        <v>2.7201276085258554E-2</v>
      </c>
      <c r="R1264" s="85">
        <v>2.7178762640627241E-2</v>
      </c>
    </row>
    <row r="1265" spans="14:18" x14ac:dyDescent="0.2">
      <c r="N1265" s="88" t="str">
        <f t="shared" si="25"/>
        <v>1w</v>
      </c>
      <c r="O1265" s="82">
        <f>_xll.qlCalendarAdvance(Calendar,O1264,N1265,"f",FALSE)</f>
        <v>48156</v>
      </c>
      <c r="P1265" s="92">
        <f>_xll.qlCalendarAdvance(Calendar,O1265,NDays&amp;"D")</f>
        <v>48158</v>
      </c>
      <c r="Q1265" s="81">
        <v>2.7199035491120571E-2</v>
      </c>
      <c r="R1265" s="85">
        <v>2.7174422858733394E-2</v>
      </c>
    </row>
    <row r="1266" spans="14:18" x14ac:dyDescent="0.2">
      <c r="N1266" s="88" t="str">
        <f t="shared" si="25"/>
        <v>1w</v>
      </c>
      <c r="O1266" s="82">
        <f>_xll.qlCalendarAdvance(Calendar,O1265,N1266,"f",FALSE)</f>
        <v>48163</v>
      </c>
      <c r="P1266" s="92">
        <f>_xll.qlCalendarAdvance(Calendar,O1266,NDays&amp;"D")</f>
        <v>48165</v>
      </c>
      <c r="Q1266" s="81">
        <v>2.7194633935832824E-2</v>
      </c>
      <c r="R1266" s="85">
        <v>2.7170063594263993E-2</v>
      </c>
    </row>
    <row r="1267" spans="14:18" x14ac:dyDescent="0.2">
      <c r="N1267" s="88" t="str">
        <f t="shared" si="25"/>
        <v>1w</v>
      </c>
      <c r="O1267" s="82">
        <f>_xll.qlCalendarAdvance(Calendar,O1266,N1267,"f",FALSE)</f>
        <v>48170</v>
      </c>
      <c r="P1267" s="92">
        <f>_xll.qlCalendarAdvance(Calendar,O1267,NDays&amp;"D")</f>
        <v>48172</v>
      </c>
      <c r="Q1267" s="81">
        <v>2.7190212854017182E-2</v>
      </c>
      <c r="R1267" s="85">
        <v>2.7165684847378913E-2</v>
      </c>
    </row>
    <row r="1268" spans="14:18" x14ac:dyDescent="0.2">
      <c r="N1268" s="88" t="str">
        <f t="shared" si="25"/>
        <v>1w</v>
      </c>
      <c r="O1268" s="82">
        <f>_xll.qlCalendarAdvance(Calendar,O1267,N1268,"f",FALSE)</f>
        <v>48177</v>
      </c>
      <c r="P1268" s="92">
        <f>_xll.qlCalendarAdvance(Calendar,O1268,NDays&amp;"D")</f>
        <v>48179</v>
      </c>
      <c r="Q1268" s="81">
        <v>2.7185772245696127E-2</v>
      </c>
      <c r="R1268" s="85">
        <v>2.7161286617598535E-2</v>
      </c>
    </row>
    <row r="1269" spans="14:18" x14ac:dyDescent="0.2">
      <c r="N1269" s="88" t="str">
        <f t="shared" si="25"/>
        <v>1w</v>
      </c>
      <c r="O1269" s="82">
        <f>_xll.qlCalendarAdvance(Calendar,O1268,N1269,"f",FALSE)</f>
        <v>48184</v>
      </c>
      <c r="P1269" s="92">
        <f>_xll.qlCalendarAdvance(Calendar,O1269,NDays&amp;"D")</f>
        <v>48186</v>
      </c>
      <c r="Q1269" s="81">
        <v>2.7181312110899636E-2</v>
      </c>
      <c r="R1269" s="85">
        <v>2.7156868905482412E-2</v>
      </c>
    </row>
    <row r="1270" spans="14:18" x14ac:dyDescent="0.2">
      <c r="N1270" s="88" t="str">
        <f t="shared" si="25"/>
        <v>1w</v>
      </c>
      <c r="O1270" s="82">
        <f>_xll.qlCalendarAdvance(Calendar,O1269,N1270,"f",FALSE)</f>
        <v>48191</v>
      </c>
      <c r="P1270" s="92">
        <f>_xll.qlCalendarAdvance(Calendar,O1270,NDays&amp;"D")</f>
        <v>48193</v>
      </c>
      <c r="Q1270" s="81">
        <v>2.7176832449642696E-2</v>
      </c>
      <c r="R1270" s="85">
        <v>2.7152431710630864E-2</v>
      </c>
    </row>
    <row r="1271" spans="14:18" x14ac:dyDescent="0.2">
      <c r="N1271" s="88" t="str">
        <f t="shared" si="25"/>
        <v>1w</v>
      </c>
      <c r="O1271" s="82">
        <f>_xll.qlCalendarAdvance(Calendar,O1270,N1271,"f",FALSE)</f>
        <v>48198</v>
      </c>
      <c r="P1271" s="92">
        <f>_xll.qlCalendarAdvance(Calendar,O1271,NDays&amp;"D")</f>
        <v>48200</v>
      </c>
      <c r="Q1271" s="81">
        <v>2.7172333261952786E-2</v>
      </c>
      <c r="R1271" s="85">
        <v>2.7147975033363636E-2</v>
      </c>
    </row>
    <row r="1272" spans="14:18" x14ac:dyDescent="0.2">
      <c r="N1272" s="88" t="str">
        <f t="shared" si="25"/>
        <v>1w</v>
      </c>
      <c r="O1272" s="82">
        <f>_xll.qlCalendarAdvance(Calendar,O1271,N1272,"f",FALSE)</f>
        <v>48205</v>
      </c>
      <c r="P1272" s="92">
        <f>_xll.qlCalendarAdvance(Calendar,O1272,NDays&amp;"D")</f>
        <v>48212</v>
      </c>
      <c r="Q1272" s="81">
        <v>2.7163876339612144E-2</v>
      </c>
      <c r="R1272" s="85">
        <v>2.7139704246268437E-2</v>
      </c>
    </row>
    <row r="1273" spans="14:18" x14ac:dyDescent="0.2">
      <c r="N1273" s="88" t="str">
        <f t="shared" si="25"/>
        <v>1w</v>
      </c>
      <c r="O1273" s="82">
        <f>_xll.qlCalendarAdvance(Calendar,O1272,N1273,"f",FALSE)</f>
        <v>48212</v>
      </c>
      <c r="P1273" s="92">
        <f>_xll.qlCalendarAdvance(Calendar,O1273,NDays&amp;"D")</f>
        <v>48218</v>
      </c>
      <c r="Q1273" s="81">
        <v>2.715997714911908E-2</v>
      </c>
      <c r="R1273" s="85">
        <v>2.7137070563076904E-2</v>
      </c>
    </row>
    <row r="1274" spans="14:18" x14ac:dyDescent="0.2">
      <c r="N1274" s="88" t="str">
        <f t="shared" si="25"/>
        <v>1w</v>
      </c>
      <c r="O1274" s="82">
        <f>_xll.qlCalendarAdvance(Calendar,O1273,N1274,"f",FALSE)</f>
        <v>48220</v>
      </c>
      <c r="P1274" s="92">
        <f>_xll.qlCalendarAdvance(Calendar,O1274,NDays&amp;"D")</f>
        <v>48222</v>
      </c>
      <c r="Q1274" s="81">
        <v>2.7157369719427567E-2</v>
      </c>
      <c r="R1274" s="85">
        <v>2.7133841497741784E-2</v>
      </c>
    </row>
    <row r="1275" spans="14:18" x14ac:dyDescent="0.2">
      <c r="N1275" s="88" t="str">
        <f t="shared" si="25"/>
        <v>1w</v>
      </c>
      <c r="O1275" s="82">
        <f>_xll.qlCalendarAdvance(Calendar,O1274,N1275,"f",FALSE)</f>
        <v>48227</v>
      </c>
      <c r="P1275" s="92">
        <f>_xll.qlCalendarAdvance(Calendar,O1275,NDays&amp;"D")</f>
        <v>48229</v>
      </c>
      <c r="Q1275" s="81">
        <v>2.7152791376458308E-2</v>
      </c>
      <c r="R1275" s="85">
        <v>2.7129304106798813E-2</v>
      </c>
    </row>
    <row r="1276" spans="14:18" x14ac:dyDescent="0.2">
      <c r="N1276" s="88" t="str">
        <f t="shared" si="25"/>
        <v>1w</v>
      </c>
      <c r="O1276" s="82">
        <f>_xll.qlCalendarAdvance(Calendar,O1275,N1276,"f",FALSE)</f>
        <v>48234</v>
      </c>
      <c r="P1276" s="92">
        <f>_xll.qlCalendarAdvance(Calendar,O1276,NDays&amp;"D")</f>
        <v>48236</v>
      </c>
      <c r="Q1276" s="81">
        <v>2.7148193508586067E-2</v>
      </c>
      <c r="R1276" s="85">
        <v>2.7124747233440161E-2</v>
      </c>
    </row>
    <row r="1277" spans="14:18" x14ac:dyDescent="0.2">
      <c r="N1277" s="88" t="str">
        <f t="shared" si="25"/>
        <v>1w</v>
      </c>
      <c r="O1277" s="82">
        <f>_xll.qlCalendarAdvance(Calendar,O1276,N1277,"f",FALSE)</f>
        <v>48241</v>
      </c>
      <c r="P1277" s="92">
        <f>_xll.qlCalendarAdvance(Calendar,O1277,NDays&amp;"D")</f>
        <v>48243</v>
      </c>
      <c r="Q1277" s="81">
        <v>2.7141502644775693E-2</v>
      </c>
      <c r="R1277" s="85">
        <v>2.712017087742602E-2</v>
      </c>
    </row>
    <row r="1278" spans="14:18" x14ac:dyDescent="0.2">
      <c r="N1278" s="88" t="str">
        <f t="shared" si="25"/>
        <v>1w</v>
      </c>
      <c r="O1278" s="82">
        <f>_xll.qlCalendarAdvance(Calendar,O1277,N1278,"f",FALSE)</f>
        <v>48248</v>
      </c>
      <c r="P1278" s="92">
        <f>_xll.qlCalendarAdvance(Calendar,O1278,NDays&amp;"D")</f>
        <v>48250</v>
      </c>
      <c r="Q1278" s="81">
        <v>2.7138939198228035E-2</v>
      </c>
      <c r="R1278" s="85">
        <v>2.7115575038916262E-2</v>
      </c>
    </row>
    <row r="1279" spans="14:18" x14ac:dyDescent="0.2">
      <c r="N1279" s="88" t="str">
        <f t="shared" si="25"/>
        <v>1w</v>
      </c>
      <c r="O1279" s="82">
        <f>_xll.qlCalendarAdvance(Calendar,O1278,N1279,"f",FALSE)</f>
        <v>48255</v>
      </c>
      <c r="P1279" s="92">
        <f>_xll.qlCalendarAdvance(Calendar,O1279,NDays&amp;"D")</f>
        <v>48257</v>
      </c>
      <c r="Q1279" s="81">
        <v>2.7134282755793816E-2</v>
      </c>
      <c r="R1279" s="85">
        <v>2.7110959717751015E-2</v>
      </c>
    </row>
    <row r="1280" spans="14:18" x14ac:dyDescent="0.2">
      <c r="N1280" s="88" t="str">
        <f t="shared" si="25"/>
        <v>1w</v>
      </c>
      <c r="O1280" s="82">
        <f>_xll.qlCalendarAdvance(Calendar,O1279,N1280,"f",FALSE)</f>
        <v>48262</v>
      </c>
      <c r="P1280" s="92">
        <f>_xll.qlCalendarAdvance(Calendar,O1280,NDays&amp;"D")</f>
        <v>48264</v>
      </c>
      <c r="Q1280" s="81">
        <v>2.7129606788546867E-2</v>
      </c>
      <c r="R1280" s="85">
        <v>2.7106324914090152E-2</v>
      </c>
    </row>
    <row r="1281" spans="14:18" x14ac:dyDescent="0.2">
      <c r="N1281" s="88" t="str">
        <f t="shared" si="25"/>
        <v>1w</v>
      </c>
      <c r="O1281" s="82">
        <f>_xll.qlCalendarAdvance(Calendar,O1280,N1281,"f",FALSE)</f>
        <v>48269</v>
      </c>
      <c r="P1281" s="92">
        <f>_xll.qlCalendarAdvance(Calendar,O1281,NDays&amp;"D")</f>
        <v>48271</v>
      </c>
      <c r="Q1281" s="81">
        <v>2.7126278984323869E-2</v>
      </c>
      <c r="R1281" s="85">
        <v>2.7101670627853736E-2</v>
      </c>
    </row>
    <row r="1282" spans="14:18" x14ac:dyDescent="0.2">
      <c r="N1282" s="88" t="str">
        <f t="shared" si="25"/>
        <v>1w</v>
      </c>
      <c r="O1282" s="82">
        <f>_xll.qlCalendarAdvance(Calendar,O1281,N1282,"f",FALSE)</f>
        <v>48276</v>
      </c>
      <c r="P1282" s="92">
        <f>_xll.qlCalendarAdvance(Calendar,O1282,NDays&amp;"D")</f>
        <v>48278</v>
      </c>
      <c r="Q1282" s="81">
        <v>2.7120196279728215E-2</v>
      </c>
      <c r="R1282" s="85">
        <v>2.709699685896183E-2</v>
      </c>
    </row>
    <row r="1283" spans="14:18" x14ac:dyDescent="0.2">
      <c r="N1283" s="88" t="str">
        <f t="shared" si="25"/>
        <v>1w</v>
      </c>
      <c r="O1283" s="82">
        <f>_xll.qlCalendarAdvance(Calendar,O1282,N1283,"f",FALSE)</f>
        <v>48283</v>
      </c>
      <c r="P1283" s="92">
        <f>_xll.qlCalendarAdvance(Calendar,O1283,NDays&amp;"D")</f>
        <v>48285</v>
      </c>
      <c r="Q1283" s="81">
        <v>2.7115461738197778E-2</v>
      </c>
      <c r="R1283" s="85">
        <v>2.7092303607654245E-2</v>
      </c>
    </row>
    <row r="1284" spans="14:18" x14ac:dyDescent="0.2">
      <c r="N1284" s="88" t="str">
        <f t="shared" si="25"/>
        <v>1w</v>
      </c>
      <c r="O1284" s="82">
        <f>_xll.qlCalendarAdvance(Calendar,O1283,N1284,"f",FALSE)</f>
        <v>48290</v>
      </c>
      <c r="P1284" s="92">
        <f>_xll.qlCalendarAdvance(Calendar,O1284,NDays&amp;"D")</f>
        <v>48292</v>
      </c>
      <c r="Q1284" s="81">
        <v>2.7110707671957748E-2</v>
      </c>
      <c r="R1284" s="85">
        <v>2.708759087369117E-2</v>
      </c>
    </row>
    <row r="1285" spans="14:18" x14ac:dyDescent="0.2">
      <c r="N1285" s="88" t="str">
        <f t="shared" si="25"/>
        <v>1w</v>
      </c>
      <c r="O1285" s="82">
        <f>_xll.qlCalendarAdvance(Calendar,O1284,N1285,"f",FALSE)</f>
        <v>48297</v>
      </c>
      <c r="P1285" s="92">
        <f>_xll.qlCalendarAdvance(Calendar,O1285,NDays&amp;"D")</f>
        <v>48303</v>
      </c>
      <c r="Q1285" s="81">
        <v>2.7103197548600997E-2</v>
      </c>
      <c r="R1285" s="85">
        <v>2.7081503016832542E-2</v>
      </c>
    </row>
    <row r="1286" spans="14:18" x14ac:dyDescent="0.2">
      <c r="N1286" s="88" t="str">
        <f t="shared" si="25"/>
        <v>1w</v>
      </c>
      <c r="O1286" s="82">
        <f>_xll.qlCalendarAdvance(Calendar,O1285,N1286,"f",FALSE)</f>
        <v>48304</v>
      </c>
      <c r="P1286" s="92">
        <f>_xll.qlCalendarAdvance(Calendar,O1286,NDays&amp;"D")</f>
        <v>48306</v>
      </c>
      <c r="Q1286" s="81">
        <v>2.7101140965428847E-2</v>
      </c>
      <c r="R1286" s="85">
        <v>2.7078106958038362E-2</v>
      </c>
    </row>
    <row r="1287" spans="14:18" x14ac:dyDescent="0.2">
      <c r="N1287" s="88" t="str">
        <f t="shared" si="25"/>
        <v>1w</v>
      </c>
      <c r="O1287" s="82">
        <f>_xll.qlCalendarAdvance(Calendar,O1286,N1287,"f",FALSE)</f>
        <v>48311</v>
      </c>
      <c r="P1287" s="92">
        <f>_xll.qlCalendarAdvance(Calendar,O1287,NDays&amp;"D")</f>
        <v>48313</v>
      </c>
      <c r="Q1287" s="81">
        <v>2.7096328325188972E-2</v>
      </c>
      <c r="R1287" s="85">
        <v>2.7073335776428564E-2</v>
      </c>
    </row>
    <row r="1288" spans="14:18" x14ac:dyDescent="0.2">
      <c r="N1288" s="88" t="str">
        <f t="shared" si="25"/>
        <v>1w</v>
      </c>
      <c r="O1288" s="82">
        <f>_xll.qlCalendarAdvance(Calendar,O1287,N1288,"f",FALSE)</f>
        <v>48318</v>
      </c>
      <c r="P1288" s="92">
        <f>_xll.qlCalendarAdvance(Calendar,O1288,NDays&amp;"D")</f>
        <v>48320</v>
      </c>
      <c r="Q1288" s="81">
        <v>2.7092167794031397E-2</v>
      </c>
      <c r="R1288" s="85">
        <v>2.7068545112243214E-2</v>
      </c>
    </row>
    <row r="1289" spans="14:18" x14ac:dyDescent="0.2">
      <c r="N1289" s="88" t="str">
        <f t="shared" si="25"/>
        <v>1w</v>
      </c>
      <c r="O1289" s="82">
        <f>_xll.qlCalendarAdvance(Calendar,O1288,N1289,"f",FALSE)</f>
        <v>48325</v>
      </c>
      <c r="P1289" s="92">
        <f>_xll.qlCalendarAdvance(Calendar,O1289,NDays&amp;"D")</f>
        <v>48327</v>
      </c>
      <c r="Q1289" s="81">
        <v>2.7086644470882146E-2</v>
      </c>
      <c r="R1289" s="85">
        <v>2.7063734965402375E-2</v>
      </c>
    </row>
    <row r="1290" spans="14:18" x14ac:dyDescent="0.2">
      <c r="N1290" s="88" t="str">
        <f t="shared" si="25"/>
        <v>1w</v>
      </c>
      <c r="O1290" s="82">
        <f>_xll.qlCalendarAdvance(Calendar,O1289,N1290,"f",FALSE)</f>
        <v>48332</v>
      </c>
      <c r="P1290" s="92">
        <f>_xll.qlCalendarAdvance(Calendar,O1290,NDays&amp;"D")</f>
        <v>48334</v>
      </c>
      <c r="Q1290" s="81">
        <v>2.7081773256864186E-2</v>
      </c>
      <c r="R1290" s="85">
        <v>2.7058905336145855E-2</v>
      </c>
    </row>
    <row r="1291" spans="14:18" x14ac:dyDescent="0.2">
      <c r="N1291" s="88" t="str">
        <f t="shared" si="25"/>
        <v>1w</v>
      </c>
      <c r="O1291" s="82">
        <f>_xll.qlCalendarAdvance(Calendar,O1290,N1291,"f",FALSE)</f>
        <v>48339</v>
      </c>
      <c r="P1291" s="92">
        <f>_xll.qlCalendarAdvance(Calendar,O1291,NDays&amp;"D")</f>
        <v>48344</v>
      </c>
      <c r="Q1291" s="81">
        <v>2.7074780510593123E-2</v>
      </c>
      <c r="R1291" s="85">
        <v>2.7053361903552897E-2</v>
      </c>
    </row>
    <row r="1292" spans="14:18" x14ac:dyDescent="0.2">
      <c r="N1292" s="88" t="str">
        <f t="shared" si="25"/>
        <v>1w</v>
      </c>
      <c r="O1292" s="82">
        <f>_xll.qlCalendarAdvance(Calendar,O1291,N1292,"f",FALSE)</f>
        <v>48346</v>
      </c>
      <c r="P1292" s="92">
        <f>_xll.qlCalendarAdvance(Calendar,O1292,NDays&amp;"D")</f>
        <v>48348</v>
      </c>
      <c r="Q1292" s="81">
        <v>2.7071972255220365E-2</v>
      </c>
      <c r="R1292" s="85">
        <v>2.7048490525851676E-2</v>
      </c>
    </row>
    <row r="1293" spans="14:18" x14ac:dyDescent="0.2">
      <c r="N1293" s="88" t="str">
        <f t="shared" si="25"/>
        <v>1w</v>
      </c>
      <c r="O1293" s="82">
        <f>_xll.qlCalendarAdvance(Calendar,O1292,N1293,"f",FALSE)</f>
        <v>48353</v>
      </c>
      <c r="P1293" s="92">
        <f>_xll.qlCalendarAdvance(Calendar,O1293,NDays&amp;"D")</f>
        <v>48355</v>
      </c>
      <c r="Q1293" s="81">
        <v>2.7067042467643496E-2</v>
      </c>
      <c r="R1293" s="85">
        <v>2.7044299552763107E-2</v>
      </c>
    </row>
    <row r="1294" spans="14:18" x14ac:dyDescent="0.2">
      <c r="N1294" s="88" t="str">
        <f t="shared" si="25"/>
        <v>1w</v>
      </c>
      <c r="O1294" s="82">
        <f>_xll.qlCalendarAdvance(Calendar,O1293,N1294,"f",FALSE)</f>
        <v>48360</v>
      </c>
      <c r="P1294" s="92">
        <f>_xll.qlCalendarAdvance(Calendar,O1294,NDays&amp;"D")</f>
        <v>48362</v>
      </c>
      <c r="Q1294" s="81">
        <v>2.7062093155596847E-2</v>
      </c>
      <c r="R1294" s="85">
        <v>2.7039391993284312E-2</v>
      </c>
    </row>
    <row r="1295" spans="14:18" x14ac:dyDescent="0.2">
      <c r="N1295" s="88" t="str">
        <f t="shared" si="25"/>
        <v>1w</v>
      </c>
      <c r="O1295" s="82">
        <f>_xll.qlCalendarAdvance(Calendar,O1294,N1295,"f",FALSE)</f>
        <v>48367</v>
      </c>
      <c r="P1295" s="92">
        <f>_xll.qlCalendarAdvance(Calendar,O1295,NDays&amp;"D")</f>
        <v>48369</v>
      </c>
      <c r="Q1295" s="81">
        <v>2.7057124319106202E-2</v>
      </c>
      <c r="R1295" s="85">
        <v>2.7034464951150028E-2</v>
      </c>
    </row>
    <row r="1296" spans="14:18" x14ac:dyDescent="0.2">
      <c r="N1296" s="88" t="str">
        <f t="shared" si="25"/>
        <v>1w</v>
      </c>
      <c r="O1296" s="82">
        <f>_xll.qlCalendarAdvance(Calendar,O1295,N1296,"f",FALSE)</f>
        <v>48374</v>
      </c>
      <c r="P1296" s="92">
        <f>_xll.qlCalendarAdvance(Calendar,O1296,NDays&amp;"D")</f>
        <v>48376</v>
      </c>
      <c r="Q1296" s="81">
        <v>2.7052135958194765E-2</v>
      </c>
      <c r="R1296" s="85">
        <v>2.7029518426440191E-2</v>
      </c>
    </row>
    <row r="1297" spans="14:18" x14ac:dyDescent="0.2">
      <c r="N1297" s="88" t="str">
        <f t="shared" si="25"/>
        <v>1w</v>
      </c>
      <c r="O1297" s="82">
        <f>_xll.qlCalendarAdvance(Calendar,O1296,N1297,"f",FALSE)</f>
        <v>48381</v>
      </c>
      <c r="P1297" s="92">
        <f>_xll.qlCalendarAdvance(Calendar,O1297,NDays&amp;"D")</f>
        <v>48383</v>
      </c>
      <c r="Q1297" s="81">
        <v>2.7047128072888324E-2</v>
      </c>
      <c r="R1297" s="85">
        <v>2.7024552419234737E-2</v>
      </c>
    </row>
    <row r="1298" spans="14:18" x14ac:dyDescent="0.2">
      <c r="N1298" s="88" t="str">
        <f t="shared" si="25"/>
        <v>1w</v>
      </c>
      <c r="O1298" s="82">
        <f>_xll.qlCalendarAdvance(Calendar,O1297,N1298,"f",FALSE)</f>
        <v>48388</v>
      </c>
      <c r="P1298" s="92">
        <f>_xll.qlCalendarAdvance(Calendar,O1298,NDays&amp;"D")</f>
        <v>48393</v>
      </c>
      <c r="Q1298" s="81">
        <v>2.7039286728756551E-2</v>
      </c>
      <c r="R1298" s="85">
        <v>2.7018853126197229E-2</v>
      </c>
    </row>
    <row r="1299" spans="14:18" x14ac:dyDescent="0.2">
      <c r="N1299" s="88" t="str">
        <f t="shared" si="25"/>
        <v>1w</v>
      </c>
      <c r="O1299" s="82">
        <f>_xll.qlCalendarAdvance(Calendar,O1298,N1299,"f",FALSE)</f>
        <v>48395</v>
      </c>
      <c r="P1299" s="92">
        <f>_xll.qlCalendarAdvance(Calendar,O1299,NDays&amp;"D")</f>
        <v>48397</v>
      </c>
      <c r="Q1299" s="81">
        <v>2.7037053729193575E-2</v>
      </c>
      <c r="R1299" s="85">
        <v>2.7014561957177108E-2</v>
      </c>
    </row>
    <row r="1300" spans="14:18" x14ac:dyDescent="0.2">
      <c r="N1300" s="88" t="str">
        <f t="shared" si="25"/>
        <v>1w</v>
      </c>
      <c r="O1300" s="82">
        <f>_xll.qlCalendarAdvance(Calendar,O1299,N1300,"f",FALSE)</f>
        <v>48402</v>
      </c>
      <c r="P1300" s="92">
        <f>_xll.qlCalendarAdvance(Calendar,O1300,NDays&amp;"D")</f>
        <v>48404</v>
      </c>
      <c r="Q1300" s="81">
        <v>2.703198727085426E-2</v>
      </c>
      <c r="R1300" s="85">
        <v>2.7009537502244996E-2</v>
      </c>
    </row>
    <row r="1301" spans="14:18" x14ac:dyDescent="0.2">
      <c r="N1301" s="88" t="str">
        <f t="shared" ref="N1301:N1364" si="26">N1300</f>
        <v>1w</v>
      </c>
      <c r="O1301" s="82">
        <f>_xll.qlCalendarAdvance(Calendar,O1300,N1301,"f",FALSE)</f>
        <v>48409</v>
      </c>
      <c r="P1301" s="92">
        <f>_xll.qlCalendarAdvance(Calendar,O1301,NDays&amp;"D")</f>
        <v>48411</v>
      </c>
      <c r="Q1301" s="81">
        <v>2.702690128822308E-2</v>
      </c>
      <c r="R1301" s="85">
        <v>2.7004493564897203E-2</v>
      </c>
    </row>
    <row r="1302" spans="14:18" x14ac:dyDescent="0.2">
      <c r="N1302" s="88" t="str">
        <f t="shared" si="26"/>
        <v>1w</v>
      </c>
      <c r="O1302" s="82">
        <f>_xll.qlCalendarAdvance(Calendar,O1301,N1302,"f",FALSE)</f>
        <v>48416</v>
      </c>
      <c r="P1302" s="92">
        <f>_xll.qlCalendarAdvance(Calendar,O1302,NDays&amp;"D")</f>
        <v>48418</v>
      </c>
      <c r="Q1302" s="81">
        <v>2.7021795781318095E-2</v>
      </c>
      <c r="R1302" s="85">
        <v>2.6999430144893921E-2</v>
      </c>
    </row>
    <row r="1303" spans="14:18" x14ac:dyDescent="0.2">
      <c r="N1303" s="88" t="str">
        <f t="shared" si="26"/>
        <v>1w</v>
      </c>
      <c r="O1303" s="82">
        <f>_xll.qlCalendarAdvance(Calendar,O1302,N1303,"f",FALSE)</f>
        <v>48423</v>
      </c>
      <c r="P1303" s="92">
        <f>_xll.qlCalendarAdvance(Calendar,O1303,NDays&amp;"D")</f>
        <v>48425</v>
      </c>
      <c r="Q1303" s="81">
        <v>2.7017315846566137E-2</v>
      </c>
      <c r="R1303" s="85">
        <v>2.6994347242315087E-2</v>
      </c>
    </row>
    <row r="1304" spans="14:18" x14ac:dyDescent="0.2">
      <c r="N1304" s="88" t="str">
        <f t="shared" si="26"/>
        <v>1w</v>
      </c>
      <c r="O1304" s="82">
        <f>_xll.qlCalendarAdvance(Calendar,O1303,N1304,"f",FALSE)</f>
        <v>48430</v>
      </c>
      <c r="P1304" s="92">
        <f>_xll.qlCalendarAdvance(Calendar,O1304,NDays&amp;"D")</f>
        <v>48432</v>
      </c>
      <c r="Q1304" s="81">
        <v>2.7011526194815616E-2</v>
      </c>
      <c r="R1304" s="85">
        <v>2.6989244857240635E-2</v>
      </c>
    </row>
    <row r="1305" spans="14:18" x14ac:dyDescent="0.2">
      <c r="N1305" s="88" t="str">
        <f t="shared" si="26"/>
        <v>1w</v>
      </c>
      <c r="O1305" s="82">
        <f>_xll.qlCalendarAdvance(Calendar,O1304,N1305,"f",FALSE)</f>
        <v>48437</v>
      </c>
      <c r="P1305" s="92">
        <f>_xll.qlCalendarAdvance(Calendar,O1305,NDays&amp;"D")</f>
        <v>48439</v>
      </c>
      <c r="Q1305" s="81">
        <v>2.7006362115267118E-2</v>
      </c>
      <c r="R1305" s="85">
        <v>2.6984122989670567E-2</v>
      </c>
    </row>
    <row r="1306" spans="14:18" x14ac:dyDescent="0.2">
      <c r="N1306" s="88" t="str">
        <f t="shared" si="26"/>
        <v>1w</v>
      </c>
      <c r="O1306" s="82">
        <f>_xll.qlCalendarAdvance(Calendar,O1305,N1306,"f",FALSE)</f>
        <v>48444</v>
      </c>
      <c r="P1306" s="92">
        <f>_xll.qlCalendarAdvance(Calendar,O1306,NDays&amp;"D")</f>
        <v>48446</v>
      </c>
      <c r="Q1306" s="81">
        <v>2.7001178511550535E-2</v>
      </c>
      <c r="R1306" s="85">
        <v>2.697898163944501E-2</v>
      </c>
    </row>
    <row r="1307" spans="14:18" x14ac:dyDescent="0.2">
      <c r="N1307" s="88" t="str">
        <f t="shared" si="26"/>
        <v>1w</v>
      </c>
      <c r="O1307" s="82">
        <f>_xll.qlCalendarAdvance(Calendar,O1306,N1307,"f",FALSE)</f>
        <v>48451</v>
      </c>
      <c r="P1307" s="92">
        <f>_xll.qlCalendarAdvance(Calendar,O1307,NDays&amp;"D")</f>
        <v>48453</v>
      </c>
      <c r="Q1307" s="81">
        <v>2.699597538369938E-2</v>
      </c>
      <c r="R1307" s="85">
        <v>2.6973820806723836E-2</v>
      </c>
    </row>
    <row r="1308" spans="14:18" x14ac:dyDescent="0.2">
      <c r="N1308" s="88" t="str">
        <f t="shared" si="26"/>
        <v>1w</v>
      </c>
      <c r="O1308" s="82">
        <f>_xll.qlCalendarAdvance(Calendar,O1307,N1308,"f",FALSE)</f>
        <v>48458</v>
      </c>
      <c r="P1308" s="92">
        <f>_xll.qlCalendarAdvance(Calendar,O1308,NDays&amp;"D")</f>
        <v>48460</v>
      </c>
      <c r="Q1308" s="81">
        <v>2.6990752731734291E-2</v>
      </c>
      <c r="R1308" s="85">
        <v>2.6968640491507045E-2</v>
      </c>
    </row>
    <row r="1309" spans="14:18" x14ac:dyDescent="0.2">
      <c r="N1309" s="88" t="str">
        <f t="shared" si="26"/>
        <v>1w</v>
      </c>
      <c r="O1309" s="82">
        <f>_xll.qlCalendarAdvance(Calendar,O1308,N1309,"f",FALSE)</f>
        <v>48465</v>
      </c>
      <c r="P1309" s="92">
        <f>_xll.qlCalendarAdvance(Calendar,O1309,NDays&amp;"D")</f>
        <v>48467</v>
      </c>
      <c r="Q1309" s="81">
        <v>2.6985510555681047E-2</v>
      </c>
      <c r="R1309" s="85">
        <v>2.6963440693634766E-2</v>
      </c>
    </row>
    <row r="1310" spans="14:18" x14ac:dyDescent="0.2">
      <c r="N1310" s="88" t="str">
        <f t="shared" si="26"/>
        <v>1w</v>
      </c>
      <c r="O1310" s="82">
        <f>_xll.qlCalendarAdvance(Calendar,O1309,N1310,"f",FALSE)</f>
        <v>48472</v>
      </c>
      <c r="P1310" s="92">
        <f>_xll.qlCalendarAdvance(Calendar,O1310,NDays&amp;"D")</f>
        <v>48474</v>
      </c>
      <c r="Q1310" s="81">
        <v>2.6980248855570592E-2</v>
      </c>
      <c r="R1310" s="85">
        <v>2.6958221413346806E-2</v>
      </c>
    </row>
    <row r="1311" spans="14:18" x14ac:dyDescent="0.2">
      <c r="N1311" s="88" t="str">
        <f t="shared" si="26"/>
        <v>1w</v>
      </c>
      <c r="O1311" s="82">
        <f>_xll.qlCalendarAdvance(Calendar,O1310,N1311,"f",FALSE)</f>
        <v>48479</v>
      </c>
      <c r="P1311" s="92">
        <f>_xll.qlCalendarAdvance(Calendar,O1311,NDays&amp;"D")</f>
        <v>48481</v>
      </c>
      <c r="Q1311" s="81">
        <v>2.6974967631428714E-2</v>
      </c>
      <c r="R1311" s="85">
        <v>2.6952982650403357E-2</v>
      </c>
    </row>
    <row r="1312" spans="14:18" x14ac:dyDescent="0.2">
      <c r="N1312" s="88" t="str">
        <f t="shared" si="26"/>
        <v>1w</v>
      </c>
      <c r="O1312" s="82">
        <f>_xll.qlCalendarAdvance(Calendar,O1311,N1312,"f",FALSE)</f>
        <v>48486</v>
      </c>
      <c r="P1312" s="92">
        <f>_xll.qlCalendarAdvance(Calendar,O1312,NDays&amp;"D")</f>
        <v>48488</v>
      </c>
      <c r="Q1312" s="81">
        <v>2.6969666883273465E-2</v>
      </c>
      <c r="R1312" s="85">
        <v>2.6947724405044227E-2</v>
      </c>
    </row>
    <row r="1313" spans="14:18" x14ac:dyDescent="0.2">
      <c r="N1313" s="88" t="str">
        <f t="shared" si="26"/>
        <v>1w</v>
      </c>
      <c r="O1313" s="82">
        <f>_xll.qlCalendarAdvance(Calendar,O1312,N1313,"f",FALSE)</f>
        <v>48493</v>
      </c>
      <c r="P1313" s="92">
        <f>_xll.qlCalendarAdvance(Calendar,O1313,NDays&amp;"D")</f>
        <v>48495</v>
      </c>
      <c r="Q1313" s="81">
        <v>2.6964346611146096E-2</v>
      </c>
      <c r="R1313" s="85">
        <v>2.6942446676949672E-2</v>
      </c>
    </row>
    <row r="1314" spans="14:18" x14ac:dyDescent="0.2">
      <c r="N1314" s="88" t="str">
        <f t="shared" si="26"/>
        <v>1w</v>
      </c>
      <c r="O1314" s="82">
        <f>_xll.qlCalendarAdvance(Calendar,O1313,N1314,"f",FALSE)</f>
        <v>48500</v>
      </c>
      <c r="P1314" s="92">
        <f>_xll.qlCalendarAdvance(Calendar,O1314,NDays&amp;"D")</f>
        <v>48502</v>
      </c>
      <c r="Q1314" s="81">
        <v>2.6959006815062084E-2</v>
      </c>
      <c r="R1314" s="85">
        <v>2.6937149466439436E-2</v>
      </c>
    </row>
    <row r="1315" spans="14:18" x14ac:dyDescent="0.2">
      <c r="N1315" s="88" t="str">
        <f t="shared" si="26"/>
        <v>1w</v>
      </c>
      <c r="O1315" s="82">
        <f>_xll.qlCalendarAdvance(Calendar,O1314,N1315,"f",FALSE)</f>
        <v>48507</v>
      </c>
      <c r="P1315" s="92">
        <f>_xll.qlCalendarAdvance(Calendar,O1315,NDays&amp;"D")</f>
        <v>48509</v>
      </c>
      <c r="Q1315" s="81">
        <v>2.6953647495052368E-2</v>
      </c>
      <c r="R1315" s="85">
        <v>2.6931832773353648E-2</v>
      </c>
    </row>
    <row r="1316" spans="14:18" x14ac:dyDescent="0.2">
      <c r="N1316" s="88" t="str">
        <f t="shared" si="26"/>
        <v>1w</v>
      </c>
      <c r="O1316" s="82">
        <f>_xll.qlCalendarAdvance(Calendar,O1315,N1316,"f",FALSE)</f>
        <v>48514</v>
      </c>
      <c r="P1316" s="92">
        <f>_xll.qlCalendarAdvance(Calendar,O1316,NDays&amp;"D")</f>
        <v>48516</v>
      </c>
      <c r="Q1316" s="81">
        <v>2.6948890495708255E-2</v>
      </c>
      <c r="R1316" s="85">
        <v>2.6926496597772243E-2</v>
      </c>
    </row>
    <row r="1317" spans="14:18" x14ac:dyDescent="0.2">
      <c r="N1317" s="88" t="str">
        <f t="shared" si="26"/>
        <v>1w</v>
      </c>
      <c r="O1317" s="82">
        <f>_xll.qlCalendarAdvance(Calendar,O1316,N1317,"f",FALSE)</f>
        <v>48521</v>
      </c>
      <c r="P1317" s="92">
        <f>_xll.qlCalendarAdvance(Calendar,O1317,NDays&amp;"D")</f>
        <v>48523</v>
      </c>
      <c r="Q1317" s="81">
        <v>2.6942870283361554E-2</v>
      </c>
      <c r="R1317" s="85">
        <v>2.6921140939615285E-2</v>
      </c>
    </row>
    <row r="1318" spans="14:18" x14ac:dyDescent="0.2">
      <c r="N1318" s="88" t="str">
        <f t="shared" si="26"/>
        <v>1w</v>
      </c>
      <c r="O1318" s="82">
        <f>_xll.qlCalendarAdvance(Calendar,O1317,N1318,"f",FALSE)</f>
        <v>48528</v>
      </c>
      <c r="P1318" s="92">
        <f>_xll.qlCalendarAdvance(Calendar,O1318,NDays&amp;"D")</f>
        <v>48530</v>
      </c>
      <c r="Q1318" s="81">
        <v>2.6937452391734607E-2</v>
      </c>
      <c r="R1318" s="85">
        <v>2.6915765799042646E-2</v>
      </c>
    </row>
    <row r="1319" spans="14:18" x14ac:dyDescent="0.2">
      <c r="N1319" s="88" t="str">
        <f t="shared" si="26"/>
        <v>1w</v>
      </c>
      <c r="O1319" s="82">
        <f>_xll.qlCalendarAdvance(Calendar,O1318,N1319,"f",FALSE)</f>
        <v>48535</v>
      </c>
      <c r="P1319" s="92">
        <f>_xll.qlCalendarAdvance(Calendar,O1319,NDays&amp;"D")</f>
        <v>48537</v>
      </c>
      <c r="Q1319" s="81">
        <v>2.6932014976290258E-2</v>
      </c>
      <c r="R1319" s="85">
        <v>2.6910371175814518E-2</v>
      </c>
    </row>
    <row r="1320" spans="14:18" x14ac:dyDescent="0.2">
      <c r="N1320" s="88" t="str">
        <f t="shared" si="26"/>
        <v>1w</v>
      </c>
      <c r="O1320" s="82">
        <f>_xll.qlCalendarAdvance(Calendar,O1319,N1320,"f",FALSE)</f>
        <v>48542</v>
      </c>
      <c r="P1320" s="92">
        <f>_xll.qlCalendarAdvance(Calendar,O1320,NDays&amp;"D")</f>
        <v>48544</v>
      </c>
      <c r="Q1320" s="81">
        <v>2.6926558037056871E-2</v>
      </c>
      <c r="R1320" s="85">
        <v>2.6904957070090774E-2</v>
      </c>
    </row>
    <row r="1321" spans="14:18" x14ac:dyDescent="0.2">
      <c r="N1321" s="88" t="str">
        <f t="shared" si="26"/>
        <v>1w</v>
      </c>
      <c r="O1321" s="82">
        <f>_xll.qlCalendarAdvance(Calendar,O1320,N1321,"f",FALSE)</f>
        <v>48549</v>
      </c>
      <c r="P1321" s="92">
        <f>_xll.qlCalendarAdvance(Calendar,O1321,NDays&amp;"D")</f>
        <v>48551</v>
      </c>
      <c r="Q1321" s="81">
        <v>2.6921081574055074E-2</v>
      </c>
      <c r="R1321" s="85">
        <v>2.6899523481791476E-2</v>
      </c>
    </row>
    <row r="1322" spans="14:18" x14ac:dyDescent="0.2">
      <c r="N1322" s="88" t="str">
        <f t="shared" si="26"/>
        <v>1w</v>
      </c>
      <c r="O1322" s="82">
        <f>_xll.qlCalendarAdvance(Calendar,O1321,N1322,"f",FALSE)</f>
        <v>48556</v>
      </c>
      <c r="P1322" s="92">
        <f>_xll.qlCalendarAdvance(Calendar,O1322,NDays&amp;"D")</f>
        <v>48558</v>
      </c>
      <c r="Q1322" s="81">
        <v>2.691558558732355E-2</v>
      </c>
      <c r="R1322" s="85">
        <v>2.6894070410996562E-2</v>
      </c>
    </row>
    <row r="1323" spans="14:18" x14ac:dyDescent="0.2">
      <c r="N1323" s="88" t="str">
        <f t="shared" si="26"/>
        <v>1w</v>
      </c>
      <c r="O1323" s="82">
        <f>_xll.qlCalendarAdvance(Calendar,O1322,N1323,"f",FALSE)</f>
        <v>48563</v>
      </c>
      <c r="P1323" s="92">
        <f>_xll.qlCalendarAdvance(Calendar,O1323,NDays&amp;"D")</f>
        <v>48565</v>
      </c>
      <c r="Q1323" s="81">
        <v>2.6910070076882925E-2</v>
      </c>
      <c r="R1323" s="85">
        <v>2.6888597857626095E-2</v>
      </c>
    </row>
    <row r="1324" spans="14:18" x14ac:dyDescent="0.2">
      <c r="N1324" s="88" t="str">
        <f t="shared" si="26"/>
        <v>1w</v>
      </c>
      <c r="O1324" s="82">
        <f>_xll.qlCalendarAdvance(Calendar,O1323,N1324,"f",FALSE)</f>
        <v>48570</v>
      </c>
      <c r="P1324" s="92">
        <f>_xll.qlCalendarAdvance(Calendar,O1324,NDays&amp;"D")</f>
        <v>48575</v>
      </c>
      <c r="Q1324" s="81">
        <v>2.6902156908651279E-2</v>
      </c>
      <c r="R1324" s="85">
        <v>2.6882319654788489E-2</v>
      </c>
    </row>
    <row r="1325" spans="14:18" x14ac:dyDescent="0.2">
      <c r="N1325" s="88" t="str">
        <f t="shared" si="26"/>
        <v>1w</v>
      </c>
      <c r="O1325" s="82">
        <f>_xll.qlCalendarAdvance(Calendar,O1324,N1325,"f",FALSE)</f>
        <v>48577</v>
      </c>
      <c r="P1325" s="92">
        <f>_xll.qlCalendarAdvance(Calendar,O1325,NDays&amp;"D")</f>
        <v>48582</v>
      </c>
      <c r="Q1325" s="81">
        <v>2.6896593983606797E-2</v>
      </c>
      <c r="R1325" s="85">
        <v>2.6877413931281069E-2</v>
      </c>
    </row>
    <row r="1326" spans="14:18" x14ac:dyDescent="0.2">
      <c r="N1326" s="88" t="str">
        <f t="shared" si="26"/>
        <v>1w</v>
      </c>
      <c r="O1326" s="82">
        <f>_xll.qlCalendarAdvance(Calendar,O1325,N1326,"f",FALSE)</f>
        <v>48584</v>
      </c>
      <c r="P1326" s="92">
        <f>_xll.qlCalendarAdvance(Calendar,O1326,NDays&amp;"D")</f>
        <v>48589</v>
      </c>
      <c r="Q1326" s="81">
        <v>2.6891011534951201E-2</v>
      </c>
      <c r="R1326" s="85">
        <v>2.687127156898228E-2</v>
      </c>
    </row>
    <row r="1327" spans="14:18" x14ac:dyDescent="0.2">
      <c r="N1327" s="88" t="str">
        <f t="shared" si="26"/>
        <v>1w</v>
      </c>
      <c r="O1327" s="82">
        <f>_xll.qlCalendarAdvance(Calendar,O1326,N1327,"f",FALSE)</f>
        <v>48591</v>
      </c>
      <c r="P1327" s="92">
        <f>_xll.qlCalendarAdvance(Calendar,O1327,NDays&amp;"D")</f>
        <v>48593</v>
      </c>
      <c r="Q1327" s="81">
        <v>2.68878127985967E-2</v>
      </c>
      <c r="R1327" s="85">
        <v>2.6866512818948252E-2</v>
      </c>
    </row>
    <row r="1328" spans="14:18" x14ac:dyDescent="0.2">
      <c r="N1328" s="88" t="str">
        <f t="shared" si="26"/>
        <v>1w</v>
      </c>
      <c r="O1328" s="82">
        <f>_xll.qlCalendarAdvance(Calendar,O1327,N1328,"f",FALSE)</f>
        <v>48598</v>
      </c>
      <c r="P1328" s="92">
        <f>_xll.qlCalendarAdvance(Calendar,O1328,NDays&amp;"D")</f>
        <v>48600</v>
      </c>
      <c r="Q1328" s="81">
        <v>2.6882199670036033E-2</v>
      </c>
      <c r="R1328" s="85">
        <v>2.6860942853019765E-2</v>
      </c>
    </row>
    <row r="1329" spans="14:18" x14ac:dyDescent="0.2">
      <c r="N1329" s="88" t="str">
        <f t="shared" si="26"/>
        <v>1w</v>
      </c>
      <c r="O1329" s="82">
        <f>_xll.qlCalendarAdvance(Calendar,O1328,N1329,"f",FALSE)</f>
        <v>48605</v>
      </c>
      <c r="P1329" s="92">
        <f>_xll.qlCalendarAdvance(Calendar,O1329,NDays&amp;"D")</f>
        <v>48607</v>
      </c>
      <c r="Q1329" s="81">
        <v>2.6876567017936455E-2</v>
      </c>
      <c r="R1329" s="85">
        <v>2.6855353404355853E-2</v>
      </c>
    </row>
    <row r="1330" spans="14:18" x14ac:dyDescent="0.2">
      <c r="N1330" s="88" t="str">
        <f t="shared" si="26"/>
        <v>1w</v>
      </c>
      <c r="O1330" s="82">
        <f>_xll.qlCalendarAdvance(Calendar,O1329,N1330,"f",FALSE)</f>
        <v>48612</v>
      </c>
      <c r="P1330" s="92">
        <f>_xll.qlCalendarAdvance(Calendar,O1330,NDays&amp;"D")</f>
        <v>48614</v>
      </c>
      <c r="Q1330" s="81">
        <v>2.686912435003963E-2</v>
      </c>
      <c r="R1330" s="85">
        <v>2.6849744473356196E-2</v>
      </c>
    </row>
    <row r="1331" spans="14:18" x14ac:dyDescent="0.2">
      <c r="N1331" s="88" t="str">
        <f t="shared" si="26"/>
        <v>1w</v>
      </c>
      <c r="O1331" s="82">
        <f>_xll.qlCalendarAdvance(Calendar,O1330,N1331,"f",FALSE)</f>
        <v>48619</v>
      </c>
      <c r="P1331" s="92">
        <f>_xll.qlCalendarAdvance(Calendar,O1331,NDays&amp;"D")</f>
        <v>48621</v>
      </c>
      <c r="Q1331" s="81">
        <v>2.6863458101951756E-2</v>
      </c>
      <c r="R1331" s="85">
        <v>2.6844116059780987E-2</v>
      </c>
    </row>
    <row r="1332" spans="14:18" x14ac:dyDescent="0.2">
      <c r="N1332" s="88" t="str">
        <f t="shared" si="26"/>
        <v>1w</v>
      </c>
      <c r="O1332" s="82">
        <f>_xll.qlCalendarAdvance(Calendar,O1331,N1332,"f",FALSE)</f>
        <v>48626</v>
      </c>
      <c r="P1332" s="92">
        <f>_xll.qlCalendarAdvance(Calendar,O1332,NDays&amp;"D")</f>
        <v>48628</v>
      </c>
      <c r="Q1332" s="81">
        <v>2.6857772334503465E-2</v>
      </c>
      <c r="R1332" s="85">
        <v>2.6838468163710161E-2</v>
      </c>
    </row>
    <row r="1333" spans="14:18" x14ac:dyDescent="0.2">
      <c r="N1333" s="88" t="str">
        <f t="shared" si="26"/>
        <v>1w</v>
      </c>
      <c r="O1333" s="82">
        <f>_xll.qlCalendarAdvance(Calendar,O1332,N1333,"f",FALSE)</f>
        <v>48633</v>
      </c>
      <c r="P1333" s="92">
        <f>_xll.qlCalendarAdvance(Calendar,O1333,NDays&amp;"D")</f>
        <v>48635</v>
      </c>
      <c r="Q1333" s="81">
        <v>2.6852067047717601E-2</v>
      </c>
      <c r="R1333" s="85">
        <v>2.6832800785063782E-2</v>
      </c>
    </row>
    <row r="1334" spans="14:18" x14ac:dyDescent="0.2">
      <c r="N1334" s="88" t="str">
        <f t="shared" si="26"/>
        <v>1w</v>
      </c>
      <c r="O1334" s="82">
        <f>_xll.qlCalendarAdvance(Calendar,O1333,N1334,"f",FALSE)</f>
        <v>48640</v>
      </c>
      <c r="P1334" s="92">
        <f>_xll.qlCalendarAdvance(Calendar,O1334,NDays&amp;"D")</f>
        <v>48642</v>
      </c>
      <c r="Q1334" s="81">
        <v>2.6848110905329542E-2</v>
      </c>
      <c r="R1334" s="85">
        <v>2.6827113923921786E-2</v>
      </c>
    </row>
    <row r="1335" spans="14:18" x14ac:dyDescent="0.2">
      <c r="N1335" s="88" t="str">
        <f t="shared" si="26"/>
        <v>1w</v>
      </c>
      <c r="O1335" s="82">
        <f>_xll.qlCalendarAdvance(Calendar,O1334,N1335,"f",FALSE)</f>
        <v>48647</v>
      </c>
      <c r="P1335" s="92">
        <f>_xll.qlCalendarAdvance(Calendar,O1335,NDays&amp;"D")</f>
        <v>48649</v>
      </c>
      <c r="Q1335" s="81">
        <v>2.6842361112589547E-2</v>
      </c>
      <c r="R1335" s="85">
        <v>2.6821407580364109E-2</v>
      </c>
    </row>
    <row r="1336" spans="14:18" x14ac:dyDescent="0.2">
      <c r="N1336" s="88" t="str">
        <f t="shared" si="26"/>
        <v>1w</v>
      </c>
      <c r="O1336" s="82">
        <f>_xll.qlCalendarAdvance(Calendar,O1335,N1336,"f",FALSE)</f>
        <v>48654</v>
      </c>
      <c r="P1336" s="92">
        <f>_xll.qlCalendarAdvance(Calendar,O1336,NDays&amp;"D")</f>
        <v>48656</v>
      </c>
      <c r="Q1336" s="81">
        <v>2.6837177415219571E-2</v>
      </c>
      <c r="R1336" s="85">
        <v>2.6815681754071008E-2</v>
      </c>
    </row>
    <row r="1337" spans="14:18" x14ac:dyDescent="0.2">
      <c r="N1337" s="88" t="str">
        <f t="shared" si="26"/>
        <v>1w</v>
      </c>
      <c r="O1337" s="82">
        <f>_xll.qlCalendarAdvance(Calendar,O1336,N1337,"f",FALSE)</f>
        <v>48661</v>
      </c>
      <c r="P1337" s="92">
        <f>_xll.qlCalendarAdvance(Calendar,O1337,NDays&amp;"D")</f>
        <v>48663</v>
      </c>
      <c r="Q1337" s="81">
        <v>2.6830802957119412E-2</v>
      </c>
      <c r="R1337" s="85">
        <v>2.6809936445442162E-2</v>
      </c>
    </row>
    <row r="1338" spans="14:18" x14ac:dyDescent="0.2">
      <c r="N1338" s="88" t="str">
        <f t="shared" si="26"/>
        <v>1w</v>
      </c>
      <c r="O1338" s="82">
        <f>_xll.qlCalendarAdvance(Calendar,O1337,N1338,"f",FALSE)</f>
        <v>48668</v>
      </c>
      <c r="P1338" s="92">
        <f>_xll.qlCalendarAdvance(Calendar,O1338,NDays&amp;"D")</f>
        <v>48670</v>
      </c>
      <c r="Q1338" s="81">
        <v>2.6824994594446001E-2</v>
      </c>
      <c r="R1338" s="85">
        <v>2.6804171654157827E-2</v>
      </c>
    </row>
    <row r="1339" spans="14:18" x14ac:dyDescent="0.2">
      <c r="N1339" s="88" t="str">
        <f t="shared" si="26"/>
        <v>1w</v>
      </c>
      <c r="O1339" s="82">
        <f>_xll.qlCalendarAdvance(Calendar,O1338,N1339,"f",FALSE)</f>
        <v>48675</v>
      </c>
      <c r="P1339" s="92">
        <f>_xll.qlCalendarAdvance(Calendar,O1339,NDays&amp;"D")</f>
        <v>48677</v>
      </c>
      <c r="Q1339" s="81">
        <v>2.6819166708525053E-2</v>
      </c>
      <c r="R1339" s="85">
        <v>2.6798387380457811E-2</v>
      </c>
    </row>
    <row r="1340" spans="14:18" x14ac:dyDescent="0.2">
      <c r="N1340" s="88" t="str">
        <f t="shared" si="26"/>
        <v>1w</v>
      </c>
      <c r="O1340" s="82">
        <f>_xll.qlCalendarAdvance(Calendar,O1339,N1340,"f",FALSE)</f>
        <v>48682</v>
      </c>
      <c r="P1340" s="92">
        <f>_xll.qlCalendarAdvance(Calendar,O1340,NDays&amp;"D")</f>
        <v>48688</v>
      </c>
      <c r="Q1340" s="81">
        <v>2.6809391749439193E-2</v>
      </c>
      <c r="R1340" s="85">
        <v>2.6790921829720205E-2</v>
      </c>
    </row>
    <row r="1341" spans="14:18" x14ac:dyDescent="0.2">
      <c r="N1341" s="88" t="str">
        <f t="shared" si="26"/>
        <v>1w</v>
      </c>
      <c r="O1341" s="82">
        <f>_xll.qlCalendarAdvance(Calendar,O1340,N1341,"f",FALSE)</f>
        <v>48689</v>
      </c>
      <c r="P1341" s="92">
        <f>_xll.qlCalendarAdvance(Calendar,O1341,NDays&amp;"D")</f>
        <v>48691</v>
      </c>
      <c r="Q1341" s="81">
        <v>2.6807452367038541E-2</v>
      </c>
      <c r="R1341" s="85">
        <v>2.6786760385490993E-2</v>
      </c>
    </row>
    <row r="1342" spans="14:18" x14ac:dyDescent="0.2">
      <c r="N1342" s="88" t="str">
        <f t="shared" si="26"/>
        <v>1w</v>
      </c>
      <c r="O1342" s="82">
        <f>_xll.qlCalendarAdvance(Calendar,O1341,N1342,"f",FALSE)</f>
        <v>48696</v>
      </c>
      <c r="P1342" s="92">
        <f>_xll.qlCalendarAdvance(Calendar,O1342,NDays&amp;"D")</f>
        <v>48698</v>
      </c>
      <c r="Q1342" s="81">
        <v>2.6802140556145548E-2</v>
      </c>
      <c r="R1342" s="85">
        <v>2.6780917664144255E-2</v>
      </c>
    </row>
    <row r="1343" spans="14:18" x14ac:dyDescent="0.2">
      <c r="N1343" s="88" t="str">
        <f t="shared" si="26"/>
        <v>1w</v>
      </c>
      <c r="O1343" s="82">
        <f>_xll.qlCalendarAdvance(Calendar,O1342,N1343,"f",FALSE)</f>
        <v>48703</v>
      </c>
      <c r="P1343" s="92">
        <f>_xll.qlCalendarAdvance(Calendar,O1343,NDays&amp;"D")</f>
        <v>48705</v>
      </c>
      <c r="Q1343" s="81">
        <v>2.679623274374876E-2</v>
      </c>
      <c r="R1343" s="85">
        <v>2.67750554603019E-2</v>
      </c>
    </row>
    <row r="1344" spans="14:18" x14ac:dyDescent="0.2">
      <c r="N1344" s="88" t="str">
        <f t="shared" si="26"/>
        <v>1w</v>
      </c>
      <c r="O1344" s="82">
        <f>_xll.qlCalendarAdvance(Calendar,O1343,N1344,"f",FALSE)</f>
        <v>48710</v>
      </c>
      <c r="P1344" s="92">
        <f>_xll.qlCalendarAdvance(Calendar,O1344,NDays&amp;"D")</f>
        <v>48712</v>
      </c>
      <c r="Q1344" s="81">
        <v>2.6789734431158795E-2</v>
      </c>
      <c r="R1344" s="85">
        <v>2.6769173773963928E-2</v>
      </c>
    </row>
    <row r="1345" spans="14:18" x14ac:dyDescent="0.2">
      <c r="N1345" s="88" t="str">
        <f t="shared" si="26"/>
        <v>1w</v>
      </c>
      <c r="O1345" s="82">
        <f>_xll.qlCalendarAdvance(Calendar,O1344,N1345,"f",FALSE)</f>
        <v>48717</v>
      </c>
      <c r="P1345" s="92">
        <f>_xll.qlCalendarAdvance(Calendar,O1345,NDays&amp;"D")</f>
        <v>48719</v>
      </c>
      <c r="Q1345" s="81">
        <v>2.6783789406345713E-2</v>
      </c>
      <c r="R1345" s="85">
        <v>2.6763272605210275E-2</v>
      </c>
    </row>
    <row r="1346" spans="14:18" x14ac:dyDescent="0.2">
      <c r="N1346" s="88" t="str">
        <f t="shared" si="26"/>
        <v>1w</v>
      </c>
      <c r="O1346" s="82">
        <f>_xll.qlCalendarAdvance(Calendar,O1345,N1346,"f",FALSE)</f>
        <v>48724</v>
      </c>
      <c r="P1346" s="92">
        <f>_xll.qlCalendarAdvance(Calendar,O1346,NDays&amp;"D")</f>
        <v>48729</v>
      </c>
      <c r="Q1346" s="81">
        <v>2.6775262647253367E-2</v>
      </c>
      <c r="R1346" s="85">
        <v>2.6756504556129102E-2</v>
      </c>
    </row>
    <row r="1347" spans="14:18" x14ac:dyDescent="0.2">
      <c r="N1347" s="88" t="str">
        <f t="shared" si="26"/>
        <v>1w</v>
      </c>
      <c r="O1347" s="82">
        <f>_xll.qlCalendarAdvance(Calendar,O1346,N1347,"f",FALSE)</f>
        <v>48731</v>
      </c>
      <c r="P1347" s="92">
        <f>_xll.qlCalendarAdvance(Calendar,O1347,NDays&amp;"D")</f>
        <v>48733</v>
      </c>
      <c r="Q1347" s="81">
        <v>2.6771840787611276E-2</v>
      </c>
      <c r="R1347" s="85">
        <v>2.675056163909062E-2</v>
      </c>
    </row>
    <row r="1348" spans="14:18" x14ac:dyDescent="0.2">
      <c r="N1348" s="88" t="str">
        <f t="shared" si="26"/>
        <v>1w</v>
      </c>
      <c r="O1348" s="82">
        <f>_xll.qlCalendarAdvance(Calendar,O1347,N1348,"f",FALSE)</f>
        <v>48738</v>
      </c>
      <c r="P1348" s="92">
        <f>_xll.qlCalendarAdvance(Calendar,O1348,NDays&amp;"D")</f>
        <v>48740</v>
      </c>
      <c r="Q1348" s="81">
        <v>2.6765837193751807E-2</v>
      </c>
      <c r="R1348" s="85">
        <v>2.6745452203655873E-2</v>
      </c>
    </row>
    <row r="1349" spans="14:18" x14ac:dyDescent="0.2">
      <c r="N1349" s="88" t="str">
        <f t="shared" si="26"/>
        <v>1w</v>
      </c>
      <c r="O1349" s="82">
        <f>_xll.qlCalendarAdvance(Calendar,O1348,N1349,"f",FALSE)</f>
        <v>48745</v>
      </c>
      <c r="P1349" s="92">
        <f>_xll.qlCalendarAdvance(Calendar,O1349,NDays&amp;"D")</f>
        <v>48747</v>
      </c>
      <c r="Q1349" s="81">
        <v>2.6759814076938761E-2</v>
      </c>
      <c r="R1349" s="85">
        <v>2.6739473104759881E-2</v>
      </c>
    </row>
    <row r="1350" spans="14:18" x14ac:dyDescent="0.2">
      <c r="N1350" s="88" t="str">
        <f t="shared" si="26"/>
        <v>1w</v>
      </c>
      <c r="O1350" s="82">
        <f>_xll.qlCalendarAdvance(Calendar,O1349,N1350,"f",FALSE)</f>
        <v>48752</v>
      </c>
      <c r="P1350" s="92">
        <f>_xll.qlCalendarAdvance(Calendar,O1350,NDays&amp;"D")</f>
        <v>48757</v>
      </c>
      <c r="Q1350" s="81">
        <v>2.6750616463614207E-2</v>
      </c>
      <c r="R1350" s="85">
        <v>2.6732615992761666E-2</v>
      </c>
    </row>
    <row r="1351" spans="14:18" x14ac:dyDescent="0.2">
      <c r="N1351" s="88" t="str">
        <f t="shared" si="26"/>
        <v>1w</v>
      </c>
      <c r="O1351" s="82">
        <f>_xll.qlCalendarAdvance(Calendar,O1350,N1351,"f",FALSE)</f>
        <v>48759</v>
      </c>
      <c r="P1351" s="92">
        <f>_xll.qlCalendarAdvance(Calendar,O1351,NDays&amp;"D")</f>
        <v>48761</v>
      </c>
      <c r="Q1351" s="81">
        <v>2.6747709274573137E-2</v>
      </c>
      <c r="R1351" s="85">
        <v>2.6727456459560983E-2</v>
      </c>
    </row>
    <row r="1352" spans="14:18" x14ac:dyDescent="0.2">
      <c r="N1352" s="88" t="str">
        <f t="shared" si="26"/>
        <v>1w</v>
      </c>
      <c r="O1352" s="82">
        <f>_xll.qlCalendarAdvance(Calendar,O1351,N1352,"f",FALSE)</f>
        <v>48766</v>
      </c>
      <c r="P1352" s="92">
        <f>_xll.qlCalendarAdvance(Calendar,O1352,NDays&amp;"D")</f>
        <v>48768</v>
      </c>
      <c r="Q1352" s="81">
        <v>2.6741627589082443E-2</v>
      </c>
      <c r="R1352" s="85">
        <v>2.6721418913098205E-2</v>
      </c>
    </row>
    <row r="1353" spans="14:18" x14ac:dyDescent="0.2">
      <c r="N1353" s="88" t="str">
        <f t="shared" si="26"/>
        <v>1w</v>
      </c>
      <c r="O1353" s="82">
        <f>_xll.qlCalendarAdvance(Calendar,O1352,N1353,"f",FALSE)</f>
        <v>48773</v>
      </c>
      <c r="P1353" s="92">
        <f>_xll.qlCalendarAdvance(Calendar,O1353,NDays&amp;"D")</f>
        <v>48775</v>
      </c>
      <c r="Q1353" s="81">
        <v>2.6735526380756786E-2</v>
      </c>
      <c r="R1353" s="85">
        <v>2.6715361884219746E-2</v>
      </c>
    </row>
    <row r="1354" spans="14:18" x14ac:dyDescent="0.2">
      <c r="N1354" s="88" t="str">
        <f t="shared" si="26"/>
        <v>1w</v>
      </c>
      <c r="O1354" s="82">
        <f>_xll.qlCalendarAdvance(Calendar,O1353,N1354,"f",FALSE)</f>
        <v>48780</v>
      </c>
      <c r="P1354" s="92">
        <f>_xll.qlCalendarAdvance(Calendar,O1354,NDays&amp;"D")</f>
        <v>48782</v>
      </c>
      <c r="Q1354" s="81">
        <v>2.6729405649629688E-2</v>
      </c>
      <c r="R1354" s="85">
        <v>2.670928537284567E-2</v>
      </c>
    </row>
    <row r="1355" spans="14:18" x14ac:dyDescent="0.2">
      <c r="N1355" s="88" t="str">
        <f t="shared" si="26"/>
        <v>1w</v>
      </c>
      <c r="O1355" s="82">
        <f>_xll.qlCalendarAdvance(Calendar,O1354,N1355,"f",FALSE)</f>
        <v>48787</v>
      </c>
      <c r="P1355" s="92">
        <f>_xll.qlCalendarAdvance(Calendar,O1355,NDays&amp;"D")</f>
        <v>48789</v>
      </c>
      <c r="Q1355" s="81">
        <v>2.6724366647671003E-2</v>
      </c>
      <c r="R1355" s="85">
        <v>2.6703189378975978E-2</v>
      </c>
    </row>
    <row r="1356" spans="14:18" x14ac:dyDescent="0.2">
      <c r="N1356" s="88" t="str">
        <f t="shared" si="26"/>
        <v>1w</v>
      </c>
      <c r="O1356" s="82">
        <f>_xll.qlCalendarAdvance(Calendar,O1355,N1356,"f",FALSE)</f>
        <v>48794</v>
      </c>
      <c r="P1356" s="92">
        <f>_xll.qlCalendarAdvance(Calendar,O1356,NDays&amp;"D")</f>
        <v>48796</v>
      </c>
      <c r="Q1356" s="81">
        <v>2.6717105619094947E-2</v>
      </c>
      <c r="R1356" s="85">
        <v>2.6697073902530732E-2</v>
      </c>
    </row>
    <row r="1357" spans="14:18" x14ac:dyDescent="0.2">
      <c r="N1357" s="88" t="str">
        <f t="shared" si="26"/>
        <v>1w</v>
      </c>
      <c r="O1357" s="82">
        <f>_xll.qlCalendarAdvance(Calendar,O1356,N1357,"f",FALSE)</f>
        <v>48801</v>
      </c>
      <c r="P1357" s="92">
        <f>_xll.qlCalendarAdvance(Calendar,O1357,NDays&amp;"D")</f>
        <v>48803</v>
      </c>
      <c r="Q1357" s="81">
        <v>2.6710926319749192E-2</v>
      </c>
      <c r="R1357" s="85">
        <v>2.6690938943669806E-2</v>
      </c>
    </row>
    <row r="1358" spans="14:18" x14ac:dyDescent="0.2">
      <c r="N1358" s="88" t="str">
        <f t="shared" si="26"/>
        <v>1w</v>
      </c>
      <c r="O1358" s="82">
        <f>_xll.qlCalendarAdvance(Calendar,O1357,N1358,"f",FALSE)</f>
        <v>48808</v>
      </c>
      <c r="P1358" s="92">
        <f>_xll.qlCalendarAdvance(Calendar,O1358,NDays&amp;"D")</f>
        <v>48810</v>
      </c>
      <c r="Q1358" s="81">
        <v>2.6704727497725764E-2</v>
      </c>
      <c r="R1358" s="85">
        <v>2.6684784502313263E-2</v>
      </c>
    </row>
    <row r="1359" spans="14:18" x14ac:dyDescent="0.2">
      <c r="N1359" s="88" t="str">
        <f t="shared" si="26"/>
        <v>1w</v>
      </c>
      <c r="O1359" s="82">
        <f>_xll.qlCalendarAdvance(Calendar,O1358,N1359,"f",FALSE)</f>
        <v>48815</v>
      </c>
      <c r="P1359" s="92">
        <f>_xll.qlCalendarAdvance(Calendar,O1359,NDays&amp;"D")</f>
        <v>48817</v>
      </c>
      <c r="Q1359" s="81">
        <v>2.6698509153053034E-2</v>
      </c>
      <c r="R1359" s="85">
        <v>2.6678610578461104E-2</v>
      </c>
    </row>
    <row r="1360" spans="14:18" x14ac:dyDescent="0.2">
      <c r="N1360" s="88" t="str">
        <f t="shared" si="26"/>
        <v>1w</v>
      </c>
      <c r="O1360" s="82">
        <f>_xll.qlCalendarAdvance(Calendar,O1359,N1360,"f",FALSE)</f>
        <v>48822</v>
      </c>
      <c r="P1360" s="92">
        <f>_xll.qlCalendarAdvance(Calendar,O1360,NDays&amp;"D")</f>
        <v>48824</v>
      </c>
      <c r="Q1360" s="81">
        <v>2.6692271285769679E-2</v>
      </c>
      <c r="R1360" s="85">
        <v>2.6672417172033391E-2</v>
      </c>
    </row>
    <row r="1361" spans="14:18" x14ac:dyDescent="0.2">
      <c r="N1361" s="88" t="str">
        <f t="shared" si="26"/>
        <v>1w</v>
      </c>
      <c r="O1361" s="82">
        <f>_xll.qlCalendarAdvance(Calendar,O1360,N1361,"f",FALSE)</f>
        <v>48829</v>
      </c>
      <c r="P1361" s="92">
        <f>_xll.qlCalendarAdvance(Calendar,O1361,NDays&amp;"D")</f>
        <v>48831</v>
      </c>
      <c r="Q1361" s="81">
        <v>2.6686013895898905E-2</v>
      </c>
      <c r="R1361" s="85">
        <v>2.6666204283110062E-2</v>
      </c>
    </row>
    <row r="1362" spans="14:18" x14ac:dyDescent="0.2">
      <c r="N1362" s="88" t="str">
        <f t="shared" si="26"/>
        <v>1w</v>
      </c>
      <c r="O1362" s="82">
        <f>_xll.qlCalendarAdvance(Calendar,O1361,N1362,"f",FALSE)</f>
        <v>48836</v>
      </c>
      <c r="P1362" s="92">
        <f>_xll.qlCalendarAdvance(Calendar,O1362,NDays&amp;"D")</f>
        <v>48838</v>
      </c>
      <c r="Q1362" s="81">
        <v>2.6679736983474239E-2</v>
      </c>
      <c r="R1362" s="85">
        <v>2.6659971911691116E-2</v>
      </c>
    </row>
    <row r="1363" spans="14:18" x14ac:dyDescent="0.2">
      <c r="N1363" s="88" t="str">
        <f t="shared" si="26"/>
        <v>1w</v>
      </c>
      <c r="O1363" s="82">
        <f>_xll.qlCalendarAdvance(Calendar,O1362,N1363,"f",FALSE)</f>
        <v>48843</v>
      </c>
      <c r="P1363" s="92">
        <f>_xll.qlCalendarAdvance(Calendar,O1363,NDays&amp;"D")</f>
        <v>48845</v>
      </c>
      <c r="Q1363" s="81">
        <v>2.6673440548534353E-2</v>
      </c>
      <c r="R1363" s="85">
        <v>2.6653720057856489E-2</v>
      </c>
    </row>
    <row r="1364" spans="14:18" x14ac:dyDescent="0.2">
      <c r="N1364" s="88" t="str">
        <f t="shared" si="26"/>
        <v>1w</v>
      </c>
      <c r="O1364" s="82">
        <f>_xll.qlCalendarAdvance(Calendar,O1363,N1364,"f",FALSE)</f>
        <v>48850</v>
      </c>
      <c r="P1364" s="92">
        <f>_xll.qlCalendarAdvance(Calendar,O1364,NDays&amp;"D")</f>
        <v>48852</v>
      </c>
      <c r="Q1364" s="81">
        <v>2.6667124591099878E-2</v>
      </c>
      <c r="R1364" s="85">
        <v>2.6647448721526246E-2</v>
      </c>
    </row>
    <row r="1365" spans="14:18" x14ac:dyDescent="0.2">
      <c r="N1365" s="88" t="str">
        <f t="shared" ref="N1365:N1428" si="27">N1364</f>
        <v>1w</v>
      </c>
      <c r="O1365" s="82">
        <f>_xll.qlCalendarAdvance(Calendar,O1364,N1365,"f",FALSE)</f>
        <v>48857</v>
      </c>
      <c r="P1365" s="92">
        <f>_xll.qlCalendarAdvance(Calendar,O1365,NDays&amp;"D")</f>
        <v>48859</v>
      </c>
      <c r="Q1365" s="81">
        <v>2.6660789111209494E-2</v>
      </c>
      <c r="R1365" s="85">
        <v>2.6641157902620449E-2</v>
      </c>
    </row>
    <row r="1366" spans="14:18" x14ac:dyDescent="0.2">
      <c r="N1366" s="88" t="str">
        <f t="shared" si="27"/>
        <v>1w</v>
      </c>
      <c r="O1366" s="82">
        <f>_xll.qlCalendarAdvance(Calendar,O1365,N1366,"f",FALSE)</f>
        <v>48864</v>
      </c>
      <c r="P1366" s="92">
        <f>_xll.qlCalendarAdvance(Calendar,O1366,NDays&amp;"D")</f>
        <v>48866</v>
      </c>
      <c r="Q1366" s="81">
        <v>2.6654434108894141E-2</v>
      </c>
      <c r="R1366" s="85">
        <v>2.6634847601298972E-2</v>
      </c>
    </row>
    <row r="1367" spans="14:18" x14ac:dyDescent="0.2">
      <c r="N1367" s="88" t="str">
        <f t="shared" si="27"/>
        <v>1w</v>
      </c>
      <c r="O1367" s="82">
        <f>_xll.qlCalendarAdvance(Calendar,O1366,N1367,"f",FALSE)</f>
        <v>48871</v>
      </c>
      <c r="P1367" s="92">
        <f>_xll.qlCalendarAdvance(Calendar,O1367,NDays&amp;"D")</f>
        <v>48873</v>
      </c>
      <c r="Q1367" s="81">
        <v>2.6648059584184768E-2</v>
      </c>
      <c r="R1367" s="85">
        <v>2.6628517817481878E-2</v>
      </c>
    </row>
    <row r="1368" spans="14:18" x14ac:dyDescent="0.2">
      <c r="N1368" s="88" t="str">
        <f t="shared" si="27"/>
        <v>1w</v>
      </c>
      <c r="O1368" s="82">
        <f>_xll.qlCalendarAdvance(Calendar,O1367,N1368,"f",FALSE)</f>
        <v>48878</v>
      </c>
      <c r="P1368" s="92">
        <f>_xll.qlCalendarAdvance(Calendar,O1368,NDays&amp;"D")</f>
        <v>48880</v>
      </c>
      <c r="Q1368" s="81">
        <v>2.6641665537114889E-2</v>
      </c>
      <c r="R1368" s="85">
        <v>2.6622168551169167E-2</v>
      </c>
    </row>
    <row r="1369" spans="14:18" x14ac:dyDescent="0.2">
      <c r="N1369" s="88" t="str">
        <f t="shared" si="27"/>
        <v>1w</v>
      </c>
      <c r="O1369" s="82">
        <f>_xll.qlCalendarAdvance(Calendar,O1368,N1369,"f",FALSE)</f>
        <v>48885</v>
      </c>
      <c r="P1369" s="92">
        <f>_xll.qlCalendarAdvance(Calendar,O1369,NDays&amp;"D")</f>
        <v>48887</v>
      </c>
      <c r="Q1369" s="81">
        <v>2.6635251967715452E-2</v>
      </c>
      <c r="R1369" s="85">
        <v>2.6615799802280904E-2</v>
      </c>
    </row>
    <row r="1370" spans="14:18" x14ac:dyDescent="0.2">
      <c r="N1370" s="88" t="str">
        <f t="shared" si="27"/>
        <v>1w</v>
      </c>
      <c r="O1370" s="82">
        <f>_xll.qlCalendarAdvance(Calendar,O1369,N1370,"f",FALSE)</f>
        <v>48892</v>
      </c>
      <c r="P1370" s="92">
        <f>_xll.qlCalendarAdvance(Calendar,O1370,NDays&amp;"D")</f>
        <v>48894</v>
      </c>
      <c r="Q1370" s="81">
        <v>2.6628818876019977E-2</v>
      </c>
      <c r="R1370" s="85">
        <v>2.660941157097696E-2</v>
      </c>
    </row>
    <row r="1371" spans="14:18" x14ac:dyDescent="0.2">
      <c r="N1371" s="88" t="str">
        <f t="shared" si="27"/>
        <v>1w</v>
      </c>
      <c r="O1371" s="82">
        <f>_xll.qlCalendarAdvance(Calendar,O1370,N1371,"f",FALSE)</f>
        <v>48899</v>
      </c>
      <c r="P1371" s="92">
        <f>_xll.qlCalendarAdvance(Calendar,O1371,NDays&amp;"D")</f>
        <v>48901</v>
      </c>
      <c r="Q1371" s="81">
        <v>2.6622366262056829E-2</v>
      </c>
      <c r="R1371" s="85">
        <v>2.6603003857177399E-2</v>
      </c>
    </row>
    <row r="1372" spans="14:18" x14ac:dyDescent="0.2">
      <c r="N1372" s="88" t="str">
        <f t="shared" si="27"/>
        <v>1w</v>
      </c>
      <c r="O1372" s="82">
        <f>_xll.qlCalendarAdvance(Calendar,O1371,N1372,"f",FALSE)</f>
        <v>48906</v>
      </c>
      <c r="P1372" s="92">
        <f>_xll.qlCalendarAdvance(Calendar,O1372,NDays&amp;"D")</f>
        <v>48908</v>
      </c>
      <c r="Q1372" s="81">
        <v>2.6616413173467246E-2</v>
      </c>
      <c r="R1372" s="85">
        <v>2.6596576660802285E-2</v>
      </c>
    </row>
    <row r="1373" spans="14:18" x14ac:dyDescent="0.2">
      <c r="N1373" s="88" t="str">
        <f t="shared" si="27"/>
        <v>1w</v>
      </c>
      <c r="O1373" s="82">
        <f>_xll.qlCalendarAdvance(Calendar,O1372,N1373,"f",FALSE)</f>
        <v>48913</v>
      </c>
      <c r="P1373" s="92">
        <f>_xll.qlCalendarAdvance(Calendar,O1373,NDays&amp;"D")</f>
        <v>48915</v>
      </c>
      <c r="Q1373" s="81">
        <v>2.6609402467471913E-2</v>
      </c>
      <c r="R1373" s="85">
        <v>2.6590129982091426E-2</v>
      </c>
    </row>
    <row r="1374" spans="14:18" x14ac:dyDescent="0.2">
      <c r="N1374" s="88" t="str">
        <f t="shared" si="27"/>
        <v>1w</v>
      </c>
      <c r="O1374" s="82">
        <f>_xll.qlCalendarAdvance(Calendar,O1373,N1374,"f",FALSE)</f>
        <v>48920</v>
      </c>
      <c r="P1374" s="92">
        <f>_xll.qlCalendarAdvance(Calendar,O1374,NDays&amp;"D")</f>
        <v>48922</v>
      </c>
      <c r="Q1374" s="81">
        <v>2.6602891286912032E-2</v>
      </c>
      <c r="R1374" s="85">
        <v>2.6583663820805015E-2</v>
      </c>
    </row>
    <row r="1375" spans="14:18" x14ac:dyDescent="0.2">
      <c r="N1375" s="88" t="str">
        <f t="shared" si="27"/>
        <v>1w</v>
      </c>
      <c r="O1375" s="82">
        <f>_xll.qlCalendarAdvance(Calendar,O1374,N1375,"f",FALSE)</f>
        <v>48927</v>
      </c>
      <c r="P1375" s="92">
        <f>_xll.qlCalendarAdvance(Calendar,O1375,NDays&amp;"D")</f>
        <v>48929</v>
      </c>
      <c r="Q1375" s="81">
        <v>2.6596360584218562E-2</v>
      </c>
      <c r="R1375" s="85">
        <v>2.6577178177182859E-2</v>
      </c>
    </row>
    <row r="1376" spans="14:18" x14ac:dyDescent="0.2">
      <c r="N1376" s="88" t="str">
        <f t="shared" si="27"/>
        <v>1w</v>
      </c>
      <c r="O1376" s="82">
        <f>_xll.qlCalendarAdvance(Calendar,O1375,N1376,"f",FALSE)</f>
        <v>48934</v>
      </c>
      <c r="P1376" s="92">
        <f>_xll.qlCalendarAdvance(Calendar,O1376,NDays&amp;"D")</f>
        <v>48936</v>
      </c>
      <c r="Q1376" s="81">
        <v>2.6589810359419871E-2</v>
      </c>
      <c r="R1376" s="85">
        <v>2.6569742156823395E-2</v>
      </c>
    </row>
    <row r="1377" spans="14:18" x14ac:dyDescent="0.2">
      <c r="N1377" s="88" t="str">
        <f t="shared" si="27"/>
        <v>1w</v>
      </c>
      <c r="O1377" s="82">
        <f>_xll.qlCalendarAdvance(Calendar,O1376,N1377,"f",FALSE)</f>
        <v>48941</v>
      </c>
      <c r="P1377" s="92">
        <f>_xll.qlCalendarAdvance(Calendar,O1377,NDays&amp;"D")</f>
        <v>48943</v>
      </c>
      <c r="Q1377" s="81">
        <v>2.658375027748433E-2</v>
      </c>
      <c r="R1377" s="85">
        <v>2.6564148442291824E-2</v>
      </c>
    </row>
    <row r="1378" spans="14:18" x14ac:dyDescent="0.2">
      <c r="N1378" s="88" t="str">
        <f t="shared" si="27"/>
        <v>1w</v>
      </c>
      <c r="O1378" s="82">
        <f>_xll.qlCalendarAdvance(Calendar,O1377,N1378,"f",FALSE)</f>
        <v>48948</v>
      </c>
      <c r="P1378" s="92">
        <f>_xll.qlCalendarAdvance(Calendar,O1378,NDays&amp;"D")</f>
        <v>48953</v>
      </c>
      <c r="Q1378" s="81">
        <v>2.6573821395148588E-2</v>
      </c>
      <c r="R1378" s="85">
        <v>2.6556667890433872E-2</v>
      </c>
    </row>
    <row r="1379" spans="14:18" x14ac:dyDescent="0.2">
      <c r="N1379" s="88" t="str">
        <f t="shared" si="27"/>
        <v>1w</v>
      </c>
      <c r="O1379" s="82">
        <f>_xll.qlCalendarAdvance(Calendar,O1378,N1379,"f",FALSE)</f>
        <v>48955</v>
      </c>
      <c r="P1379" s="92">
        <f>_xll.qlCalendarAdvance(Calendar,O1379,NDays&amp;"D")</f>
        <v>48957</v>
      </c>
      <c r="Q1379" s="81">
        <v>2.6570042552758619E-2</v>
      </c>
      <c r="R1379" s="85">
        <v>2.6551040777418322E-2</v>
      </c>
    </row>
    <row r="1380" spans="14:18" x14ac:dyDescent="0.2">
      <c r="N1380" s="88" t="str">
        <f t="shared" si="27"/>
        <v>1w</v>
      </c>
      <c r="O1380" s="82">
        <f>_xll.qlCalendarAdvance(Calendar,O1379,N1380,"f",FALSE)</f>
        <v>48962</v>
      </c>
      <c r="P1380" s="92">
        <f>_xll.qlCalendarAdvance(Calendar,O1380,NDays&amp;"D")</f>
        <v>48964</v>
      </c>
      <c r="Q1380" s="81">
        <v>2.6563414239887145E-2</v>
      </c>
      <c r="R1380" s="85">
        <v>2.6544457721318082E-2</v>
      </c>
    </row>
    <row r="1381" spans="14:18" x14ac:dyDescent="0.2">
      <c r="N1381" s="88" t="str">
        <f t="shared" si="27"/>
        <v>1w</v>
      </c>
      <c r="O1381" s="82">
        <f>_xll.qlCalendarAdvance(Calendar,O1380,N1381,"f",FALSE)</f>
        <v>48969</v>
      </c>
      <c r="P1381" s="92">
        <f>_xll.qlCalendarAdvance(Calendar,O1381,NDays&amp;"D")</f>
        <v>48971</v>
      </c>
      <c r="Q1381" s="81">
        <v>2.6556766405083213E-2</v>
      </c>
      <c r="R1381" s="85">
        <v>2.6537855182722225E-2</v>
      </c>
    </row>
    <row r="1382" spans="14:18" x14ac:dyDescent="0.2">
      <c r="N1382" s="88" t="str">
        <f t="shared" si="27"/>
        <v>1w</v>
      </c>
      <c r="O1382" s="82">
        <f>_xll.qlCalendarAdvance(Calendar,O1381,N1382,"f",FALSE)</f>
        <v>48976</v>
      </c>
      <c r="P1382" s="92">
        <f>_xll.qlCalendarAdvance(Calendar,O1382,NDays&amp;"D")</f>
        <v>48978</v>
      </c>
      <c r="Q1382" s="81">
        <v>2.6548597369528019E-2</v>
      </c>
      <c r="R1382" s="85">
        <v>2.6531233161710688E-2</v>
      </c>
    </row>
    <row r="1383" spans="14:18" x14ac:dyDescent="0.2">
      <c r="N1383" s="88" t="str">
        <f t="shared" si="27"/>
        <v>1w</v>
      </c>
      <c r="O1383" s="82">
        <f>_xll.qlCalendarAdvance(Calendar,O1382,N1383,"f",FALSE)</f>
        <v>48983</v>
      </c>
      <c r="P1383" s="92">
        <f>_xll.qlCalendarAdvance(Calendar,O1383,NDays&amp;"D")</f>
        <v>48985</v>
      </c>
      <c r="Q1383" s="81">
        <v>2.6541916150795469E-2</v>
      </c>
      <c r="R1383" s="85">
        <v>2.6524591658043661E-2</v>
      </c>
    </row>
    <row r="1384" spans="14:18" x14ac:dyDescent="0.2">
      <c r="N1384" s="88" t="str">
        <f t="shared" si="27"/>
        <v>1w</v>
      </c>
      <c r="O1384" s="82">
        <f>_xll.qlCalendarAdvance(Calendar,O1383,N1384,"f",FALSE)</f>
        <v>48990</v>
      </c>
      <c r="P1384" s="92">
        <f>_xll.qlCalendarAdvance(Calendar,O1384,NDays&amp;"D")</f>
        <v>48992</v>
      </c>
      <c r="Q1384" s="81">
        <v>2.6535215414169904E-2</v>
      </c>
      <c r="R1384" s="85">
        <v>2.6517930672120826E-2</v>
      </c>
    </row>
    <row r="1385" spans="14:18" x14ac:dyDescent="0.2">
      <c r="N1385" s="88" t="str">
        <f t="shared" si="27"/>
        <v>1w</v>
      </c>
      <c r="O1385" s="82">
        <f>_xll.qlCalendarAdvance(Calendar,O1384,N1385,"f",FALSE)</f>
        <v>48997</v>
      </c>
      <c r="P1385" s="92">
        <f>_xll.qlCalendarAdvance(Calendar,O1385,NDays&amp;"D")</f>
        <v>48999</v>
      </c>
      <c r="Q1385" s="81">
        <v>2.6528495159668455E-2</v>
      </c>
      <c r="R1385" s="85">
        <v>2.6511250203622438E-2</v>
      </c>
    </row>
    <row r="1386" spans="14:18" x14ac:dyDescent="0.2">
      <c r="N1386" s="88" t="str">
        <f t="shared" si="27"/>
        <v>1w</v>
      </c>
      <c r="O1386" s="82">
        <f>_xll.qlCalendarAdvance(Calendar,O1385,N1386,"f",FALSE)</f>
        <v>49004</v>
      </c>
      <c r="P1386" s="92">
        <f>_xll.qlCalendarAdvance(Calendar,O1386,NDays&amp;"D")</f>
        <v>49006</v>
      </c>
      <c r="Q1386" s="81">
        <v>2.6523234403195796E-2</v>
      </c>
      <c r="R1386" s="85">
        <v>2.6504550252628434E-2</v>
      </c>
    </row>
    <row r="1387" spans="14:18" x14ac:dyDescent="0.2">
      <c r="N1387" s="88" t="str">
        <f t="shared" si="27"/>
        <v>1w</v>
      </c>
      <c r="O1387" s="82">
        <f>_xll.qlCalendarAdvance(Calendar,O1386,N1387,"f",FALSE)</f>
        <v>49011</v>
      </c>
      <c r="P1387" s="92">
        <f>_xll.qlCalendarAdvance(Calendar,O1387,NDays&amp;"D")</f>
        <v>49013</v>
      </c>
      <c r="Q1387" s="81">
        <v>2.6516960238382459E-2</v>
      </c>
      <c r="R1387" s="85">
        <v>2.6497830819218748E-2</v>
      </c>
    </row>
    <row r="1388" spans="14:18" x14ac:dyDescent="0.2">
      <c r="N1388" s="88" t="str">
        <f t="shared" si="27"/>
        <v>1w</v>
      </c>
      <c r="O1388" s="82">
        <f>_xll.qlCalendarAdvance(Calendar,O1387,N1388,"f",FALSE)</f>
        <v>49018</v>
      </c>
      <c r="P1388" s="92">
        <f>_xll.qlCalendarAdvance(Calendar,O1388,NDays&amp;"D")</f>
        <v>49020</v>
      </c>
      <c r="Q1388" s="81">
        <v>2.6509684950072439E-2</v>
      </c>
      <c r="R1388" s="85">
        <v>2.649109190323351E-2</v>
      </c>
    </row>
    <row r="1389" spans="14:18" x14ac:dyDescent="0.2">
      <c r="N1389" s="88" t="str">
        <f t="shared" si="27"/>
        <v>1w</v>
      </c>
      <c r="O1389" s="82">
        <f>_xll.qlCalendarAdvance(Calendar,O1388,N1389,"f",FALSE)</f>
        <v>49025</v>
      </c>
      <c r="P1389" s="92">
        <f>_xll.qlCalendarAdvance(Calendar,O1389,NDays&amp;"D")</f>
        <v>49027</v>
      </c>
      <c r="Q1389" s="81">
        <v>2.6502880940997574E-2</v>
      </c>
      <c r="R1389" s="85">
        <v>2.6484333504912527E-2</v>
      </c>
    </row>
    <row r="1390" spans="14:18" x14ac:dyDescent="0.2">
      <c r="N1390" s="88" t="str">
        <f t="shared" si="27"/>
        <v>1w</v>
      </c>
      <c r="O1390" s="82">
        <f>_xll.qlCalendarAdvance(Calendar,O1389,N1390,"f",FALSE)</f>
        <v>49032</v>
      </c>
      <c r="P1390" s="92">
        <f>_xll.qlCalendarAdvance(Calendar,O1390,NDays&amp;"D")</f>
        <v>49034</v>
      </c>
      <c r="Q1390" s="81">
        <v>2.6494601120176257E-2</v>
      </c>
      <c r="R1390" s="85">
        <v>2.6477555624095928E-2</v>
      </c>
    </row>
    <row r="1391" spans="14:18" x14ac:dyDescent="0.2">
      <c r="N1391" s="88" t="str">
        <f t="shared" si="27"/>
        <v>1w</v>
      </c>
      <c r="O1391" s="82">
        <f>_xll.qlCalendarAdvance(Calendar,O1390,N1391,"f",FALSE)</f>
        <v>49039</v>
      </c>
      <c r="P1391" s="92">
        <f>_xll.qlCalendarAdvance(Calendar,O1391,NDays&amp;"D")</f>
        <v>49045</v>
      </c>
      <c r="Q1391" s="81">
        <v>2.6484812986529604E-2</v>
      </c>
      <c r="R1391" s="85">
        <v>2.64688125785284E-2</v>
      </c>
    </row>
    <row r="1392" spans="14:18" x14ac:dyDescent="0.2">
      <c r="N1392" s="88" t="str">
        <f t="shared" si="27"/>
        <v>1w</v>
      </c>
      <c r="O1392" s="82">
        <f>_xll.qlCalendarAdvance(Calendar,O1391,N1392,"f",FALSE)</f>
        <v>49046</v>
      </c>
      <c r="P1392" s="92">
        <f>_xll.qlCalendarAdvance(Calendar,O1392,NDays&amp;"D")</f>
        <v>49048</v>
      </c>
      <c r="Q1392" s="81">
        <v>2.6482351784119902E-2</v>
      </c>
      <c r="R1392" s="85">
        <v>2.6463941415055814E-2</v>
      </c>
    </row>
    <row r="1393" spans="14:18" x14ac:dyDescent="0.2">
      <c r="N1393" s="88" t="str">
        <f t="shared" si="27"/>
        <v>1w</v>
      </c>
      <c r="O1393" s="82">
        <f>_xll.qlCalendarAdvance(Calendar,O1392,N1393,"f",FALSE)</f>
        <v>49053</v>
      </c>
      <c r="P1393" s="92">
        <f>_xll.qlCalendarAdvance(Calendar,O1393,NDays&amp;"D")</f>
        <v>49055</v>
      </c>
      <c r="Q1393" s="81">
        <v>2.6475469688725689E-2</v>
      </c>
      <c r="R1393" s="85">
        <v>2.6457105086752364E-2</v>
      </c>
    </row>
    <row r="1394" spans="14:18" x14ac:dyDescent="0.2">
      <c r="N1394" s="88" t="str">
        <f t="shared" si="27"/>
        <v>1w</v>
      </c>
      <c r="O1394" s="82">
        <f>_xll.qlCalendarAdvance(Calendar,O1393,N1394,"f",FALSE)</f>
        <v>49060</v>
      </c>
      <c r="P1394" s="92">
        <f>_xll.qlCalendarAdvance(Calendar,O1394,NDays&amp;"D")</f>
        <v>49062</v>
      </c>
      <c r="Q1394" s="81">
        <v>2.6469522950481179E-2</v>
      </c>
      <c r="R1394" s="85">
        <v>2.6449268284185479E-2</v>
      </c>
    </row>
    <row r="1395" spans="14:18" x14ac:dyDescent="0.2">
      <c r="N1395" s="88" t="str">
        <f t="shared" si="27"/>
        <v>1w</v>
      </c>
      <c r="O1395" s="82">
        <f>_xll.qlCalendarAdvance(Calendar,O1394,N1395,"f",FALSE)</f>
        <v>49067</v>
      </c>
      <c r="P1395" s="92">
        <f>_xll.qlCalendarAdvance(Calendar,O1395,NDays&amp;"D")</f>
        <v>49069</v>
      </c>
      <c r="Q1395" s="81">
        <v>2.6461646933493645E-2</v>
      </c>
      <c r="R1395" s="85">
        <v>2.6443373983058294E-2</v>
      </c>
    </row>
    <row r="1396" spans="14:18" x14ac:dyDescent="0.2">
      <c r="N1396" s="88" t="str">
        <f t="shared" si="27"/>
        <v>1w</v>
      </c>
      <c r="O1396" s="82">
        <f>_xll.qlCalendarAdvance(Calendar,O1395,N1396,"f",FALSE)</f>
        <v>49074</v>
      </c>
      <c r="P1396" s="92">
        <f>_xll.qlCalendarAdvance(Calendar,O1396,NDays&amp;"D")</f>
        <v>49076</v>
      </c>
      <c r="Q1396" s="81">
        <v>2.6454706273722858E-2</v>
      </c>
      <c r="R1396" s="85">
        <v>2.6436479207347929E-2</v>
      </c>
    </row>
    <row r="1397" spans="14:18" x14ac:dyDescent="0.2">
      <c r="N1397" s="88" t="str">
        <f t="shared" si="27"/>
        <v>1w</v>
      </c>
      <c r="O1397" s="82">
        <f>_xll.qlCalendarAdvance(Calendar,O1396,N1397,"f",FALSE)</f>
        <v>49081</v>
      </c>
      <c r="P1397" s="92">
        <f>_xll.qlCalendarAdvance(Calendar,O1397,NDays&amp;"D")</f>
        <v>49086</v>
      </c>
      <c r="Q1397" s="81">
        <v>2.6444757181862819E-2</v>
      </c>
      <c r="R1397" s="85">
        <v>2.6428575607733151E-2</v>
      </c>
    </row>
    <row r="1398" spans="14:18" x14ac:dyDescent="0.2">
      <c r="N1398" s="88" t="str">
        <f t="shared" si="27"/>
        <v>1w</v>
      </c>
      <c r="O1398" s="82">
        <f>_xll.qlCalendarAdvance(Calendar,O1397,N1398,"f",FALSE)</f>
        <v>49088</v>
      </c>
      <c r="P1398" s="92">
        <f>_xll.qlCalendarAdvance(Calendar,O1398,NDays&amp;"D")</f>
        <v>49090</v>
      </c>
      <c r="Q1398" s="81">
        <v>2.6440766390057414E-2</v>
      </c>
      <c r="R1398" s="85">
        <v>2.6421639084057702E-2</v>
      </c>
    </row>
    <row r="1399" spans="14:18" x14ac:dyDescent="0.2">
      <c r="N1399" s="88" t="str">
        <f t="shared" si="27"/>
        <v>1w</v>
      </c>
      <c r="O1399" s="82">
        <f>_xll.qlCalendarAdvance(Calendar,O1398,N1399,"f",FALSE)</f>
        <v>49095</v>
      </c>
      <c r="P1399" s="92">
        <f>_xll.qlCalendarAdvance(Calendar,O1399,NDays&amp;"D")</f>
        <v>49097</v>
      </c>
      <c r="Q1399" s="81">
        <v>2.6433767166229798E-2</v>
      </c>
      <c r="R1399" s="85">
        <v>2.6415677985882624E-2</v>
      </c>
    </row>
    <row r="1400" spans="14:18" x14ac:dyDescent="0.2">
      <c r="N1400" s="88" t="str">
        <f t="shared" si="27"/>
        <v>1w</v>
      </c>
      <c r="O1400" s="82">
        <f>_xll.qlCalendarAdvance(Calendar,O1399,N1400,"f",FALSE)</f>
        <v>49102</v>
      </c>
      <c r="P1400" s="92">
        <f>_xll.qlCalendarAdvance(Calendar,O1400,NDays&amp;"D")</f>
        <v>49104</v>
      </c>
      <c r="Q1400" s="81">
        <v>2.6426748421116947E-2</v>
      </c>
      <c r="R1400" s="85">
        <v>2.6408705280429601E-2</v>
      </c>
    </row>
    <row r="1401" spans="14:18" x14ac:dyDescent="0.2">
      <c r="N1401" s="88" t="str">
        <f t="shared" si="27"/>
        <v>1w</v>
      </c>
      <c r="O1401" s="82">
        <f>_xll.qlCalendarAdvance(Calendar,O1400,N1401,"f",FALSE)</f>
        <v>49109</v>
      </c>
      <c r="P1401" s="92">
        <f>_xll.qlCalendarAdvance(Calendar,O1401,NDays&amp;"D")</f>
        <v>49111</v>
      </c>
      <c r="Q1401" s="81">
        <v>2.641971015476012E-2</v>
      </c>
      <c r="R1401" s="85">
        <v>2.6401713092480961E-2</v>
      </c>
    </row>
    <row r="1402" spans="14:18" x14ac:dyDescent="0.2">
      <c r="N1402" s="88" t="str">
        <f t="shared" si="27"/>
        <v>1w</v>
      </c>
      <c r="O1402" s="82">
        <f>_xll.qlCalendarAdvance(Calendar,O1401,N1402,"f",FALSE)</f>
        <v>49116</v>
      </c>
      <c r="P1402" s="92">
        <f>_xll.qlCalendarAdvance(Calendar,O1402,NDays&amp;"D")</f>
        <v>49121</v>
      </c>
      <c r="Q1402" s="81">
        <v>2.6409160024994272E-2</v>
      </c>
      <c r="R1402" s="85">
        <v>2.6393698164639545E-2</v>
      </c>
    </row>
    <row r="1403" spans="14:18" x14ac:dyDescent="0.2">
      <c r="N1403" s="88" t="str">
        <f t="shared" si="27"/>
        <v>1w</v>
      </c>
      <c r="O1403" s="82">
        <f>_xll.qlCalendarAdvance(Calendar,O1402,N1403,"f",FALSE)</f>
        <v>49123</v>
      </c>
      <c r="P1403" s="92">
        <f>_xll.qlCalendarAdvance(Calendar,O1403,NDays&amp;"D")</f>
        <v>49125</v>
      </c>
      <c r="Q1403" s="81">
        <v>2.6405575058438314E-2</v>
      </c>
      <c r="R1403" s="85">
        <v>2.6387670269416574E-2</v>
      </c>
    </row>
    <row r="1404" spans="14:18" x14ac:dyDescent="0.2">
      <c r="N1404" s="88" t="str">
        <f t="shared" si="27"/>
        <v>1w</v>
      </c>
      <c r="O1404" s="82">
        <f>_xll.qlCalendarAdvance(Calendar,O1403,N1404,"f",FALSE)</f>
        <v>49130</v>
      </c>
      <c r="P1404" s="92">
        <f>_xll.qlCalendarAdvance(Calendar,O1404,NDays&amp;"D")</f>
        <v>49132</v>
      </c>
      <c r="Q1404" s="81">
        <v>2.6398478228548111E-2</v>
      </c>
      <c r="R1404" s="85">
        <v>2.6380619634220892E-2</v>
      </c>
    </row>
    <row r="1405" spans="14:18" x14ac:dyDescent="0.2">
      <c r="N1405" s="88" t="str">
        <f t="shared" si="27"/>
        <v>1w</v>
      </c>
      <c r="O1405" s="82">
        <f>_xll.qlCalendarAdvance(Calendar,O1404,N1405,"f",FALSE)</f>
        <v>49137</v>
      </c>
      <c r="P1405" s="92">
        <f>_xll.qlCalendarAdvance(Calendar,O1405,NDays&amp;"D")</f>
        <v>49139</v>
      </c>
      <c r="Q1405" s="81">
        <v>2.6391361877555752E-2</v>
      </c>
      <c r="R1405" s="85">
        <v>2.6373549516529593E-2</v>
      </c>
    </row>
    <row r="1406" spans="14:18" x14ac:dyDescent="0.2">
      <c r="N1406" s="88" t="str">
        <f t="shared" si="27"/>
        <v>1w</v>
      </c>
      <c r="O1406" s="82">
        <f>_xll.qlCalendarAdvance(Calendar,O1405,N1406,"f",FALSE)</f>
        <v>49144</v>
      </c>
      <c r="P1406" s="92">
        <f>_xll.qlCalendarAdvance(Calendar,O1406,NDays&amp;"D")</f>
        <v>49146</v>
      </c>
      <c r="Q1406" s="81">
        <v>2.6384226005489606E-2</v>
      </c>
      <c r="R1406" s="85">
        <v>2.6366459916342677E-2</v>
      </c>
    </row>
    <row r="1407" spans="14:18" x14ac:dyDescent="0.2">
      <c r="N1407" s="88" t="str">
        <f t="shared" si="27"/>
        <v>1w</v>
      </c>
      <c r="O1407" s="82">
        <f>_xll.qlCalendarAdvance(Calendar,O1406,N1407,"f",FALSE)</f>
        <v>49151</v>
      </c>
      <c r="P1407" s="92">
        <f>_xll.qlCalendarAdvance(Calendar,O1407,NDays&amp;"D")</f>
        <v>49153</v>
      </c>
      <c r="Q1407" s="81">
        <v>2.6377070612390925E-2</v>
      </c>
      <c r="R1407" s="85">
        <v>2.6359350833740081E-2</v>
      </c>
    </row>
    <row r="1408" spans="14:18" x14ac:dyDescent="0.2">
      <c r="N1408" s="88" t="str">
        <f t="shared" si="27"/>
        <v>1w</v>
      </c>
      <c r="O1408" s="82">
        <f>_xll.qlCalendarAdvance(Calendar,O1407,N1408,"f",FALSE)</f>
        <v>49158</v>
      </c>
      <c r="P1408" s="92">
        <f>_xll.qlCalendarAdvance(Calendar,O1408,NDays&amp;"D")</f>
        <v>49160</v>
      </c>
      <c r="Q1408" s="81">
        <v>2.6369895698295814E-2</v>
      </c>
      <c r="R1408" s="85">
        <v>2.6352222268721803E-2</v>
      </c>
    </row>
    <row r="1409" spans="14:18" x14ac:dyDescent="0.2">
      <c r="N1409" s="88" t="str">
        <f t="shared" si="27"/>
        <v>1w</v>
      </c>
      <c r="O1409" s="82">
        <f>_xll.qlCalendarAdvance(Calendar,O1408,N1409,"f",FALSE)</f>
        <v>49165</v>
      </c>
      <c r="P1409" s="92">
        <f>_xll.qlCalendarAdvance(Calendar,O1409,NDays&amp;"D")</f>
        <v>49167</v>
      </c>
      <c r="Q1409" s="81">
        <v>2.6362701263237791E-2</v>
      </c>
      <c r="R1409" s="85">
        <v>2.6345074221207909E-2</v>
      </c>
    </row>
    <row r="1410" spans="14:18" x14ac:dyDescent="0.2">
      <c r="N1410" s="88" t="str">
        <f t="shared" si="27"/>
        <v>1w</v>
      </c>
      <c r="O1410" s="82">
        <f>_xll.qlCalendarAdvance(Calendar,O1409,N1410,"f",FALSE)</f>
        <v>49172</v>
      </c>
      <c r="P1410" s="92">
        <f>_xll.qlCalendarAdvance(Calendar,O1410,NDays&amp;"D")</f>
        <v>49174</v>
      </c>
      <c r="Q1410" s="81">
        <v>2.6355487307255537E-2</v>
      </c>
      <c r="R1410" s="85">
        <v>2.633790669135827E-2</v>
      </c>
    </row>
    <row r="1411" spans="14:18" x14ac:dyDescent="0.2">
      <c r="N1411" s="88" t="str">
        <f t="shared" si="27"/>
        <v>1w</v>
      </c>
      <c r="O1411" s="82">
        <f>_xll.qlCalendarAdvance(Calendar,O1410,N1411,"f",FALSE)</f>
        <v>49179</v>
      </c>
      <c r="P1411" s="92">
        <f>_xll.qlCalendarAdvance(Calendar,O1411,NDays&amp;"D")</f>
        <v>49181</v>
      </c>
      <c r="Q1411" s="81">
        <v>2.6348253830379992E-2</v>
      </c>
      <c r="R1411" s="85">
        <v>2.6330719679013015E-2</v>
      </c>
    </row>
    <row r="1412" spans="14:18" x14ac:dyDescent="0.2">
      <c r="N1412" s="88" t="str">
        <f t="shared" si="27"/>
        <v>1w</v>
      </c>
      <c r="O1412" s="82">
        <f>_xll.qlCalendarAdvance(Calendar,O1411,N1412,"f",FALSE)</f>
        <v>49186</v>
      </c>
      <c r="P1412" s="92">
        <f>_xll.qlCalendarAdvance(Calendar,O1412,NDays&amp;"D")</f>
        <v>49188</v>
      </c>
      <c r="Q1412" s="81">
        <v>2.6341000832654997E-2</v>
      </c>
      <c r="R1412" s="85">
        <v>2.6323513184172143E-2</v>
      </c>
    </row>
    <row r="1413" spans="14:18" x14ac:dyDescent="0.2">
      <c r="N1413" s="88" t="str">
        <f t="shared" si="27"/>
        <v>1w</v>
      </c>
      <c r="O1413" s="82">
        <f>_xll.qlCalendarAdvance(Calendar,O1412,N1413,"f",FALSE)</f>
        <v>49193</v>
      </c>
      <c r="P1413" s="92">
        <f>_xll.qlCalendarAdvance(Calendar,O1413,NDays&amp;"D")</f>
        <v>49195</v>
      </c>
      <c r="Q1413" s="81">
        <v>2.6333728314116647E-2</v>
      </c>
      <c r="R1413" s="85">
        <v>2.6316287206995526E-2</v>
      </c>
    </row>
    <row r="1414" spans="14:18" x14ac:dyDescent="0.2">
      <c r="N1414" s="88" t="str">
        <f t="shared" si="27"/>
        <v>1w</v>
      </c>
      <c r="O1414" s="82">
        <f>_xll.qlCalendarAdvance(Calendar,O1413,N1414,"f",FALSE)</f>
        <v>49200</v>
      </c>
      <c r="P1414" s="92">
        <f>_xll.qlCalendarAdvance(Calendar,O1414,NDays&amp;"D")</f>
        <v>49202</v>
      </c>
      <c r="Q1414" s="81">
        <v>2.6326436274793311E-2</v>
      </c>
      <c r="R1414" s="85">
        <v>2.6309041747243356E-2</v>
      </c>
    </row>
    <row r="1415" spans="14:18" x14ac:dyDescent="0.2">
      <c r="N1415" s="88" t="str">
        <f t="shared" si="27"/>
        <v>1w</v>
      </c>
      <c r="O1415" s="82">
        <f>_xll.qlCalendarAdvance(Calendar,O1414,N1415,"f",FALSE)</f>
        <v>49207</v>
      </c>
      <c r="P1415" s="92">
        <f>_xll.qlCalendarAdvance(Calendar,O1415,NDays&amp;"D")</f>
        <v>49209</v>
      </c>
      <c r="Q1415" s="81">
        <v>2.6319124714728821E-2</v>
      </c>
      <c r="R1415" s="85">
        <v>2.6301776805155441E-2</v>
      </c>
    </row>
    <row r="1416" spans="14:18" x14ac:dyDescent="0.2">
      <c r="N1416" s="88" t="str">
        <f t="shared" si="27"/>
        <v>1w</v>
      </c>
      <c r="O1416" s="82">
        <f>_xll.qlCalendarAdvance(Calendar,O1415,N1416,"f",FALSE)</f>
        <v>49214</v>
      </c>
      <c r="P1416" s="92">
        <f>_xll.qlCalendarAdvance(Calendar,O1416,NDays&amp;"D")</f>
        <v>49216</v>
      </c>
      <c r="Q1416" s="81">
        <v>2.6312228994354592E-2</v>
      </c>
      <c r="R1416" s="85">
        <v>2.629449238057191E-2</v>
      </c>
    </row>
    <row r="1417" spans="14:18" x14ac:dyDescent="0.2">
      <c r="N1417" s="88" t="str">
        <f t="shared" si="27"/>
        <v>1w</v>
      </c>
      <c r="O1417" s="82">
        <f>_xll.qlCalendarAdvance(Calendar,O1416,N1417,"f",FALSE)</f>
        <v>49221</v>
      </c>
      <c r="P1417" s="92">
        <f>_xll.qlCalendarAdvance(Calendar,O1417,NDays&amp;"D")</f>
        <v>49223</v>
      </c>
      <c r="Q1417" s="81">
        <v>2.6304443032518204E-2</v>
      </c>
      <c r="R1417" s="85">
        <v>2.6287188473652634E-2</v>
      </c>
    </row>
    <row r="1418" spans="14:18" x14ac:dyDescent="0.2">
      <c r="N1418" s="88" t="str">
        <f t="shared" si="27"/>
        <v>1w</v>
      </c>
      <c r="O1418" s="82">
        <f>_xll.qlCalendarAdvance(Calendar,O1417,N1418,"f",FALSE)</f>
        <v>49228</v>
      </c>
      <c r="P1418" s="92">
        <f>_xll.qlCalendarAdvance(Calendar,O1418,NDays&amp;"D")</f>
        <v>49230</v>
      </c>
      <c r="Q1418" s="81">
        <v>2.6297072910446858E-2</v>
      </c>
      <c r="R1418" s="85">
        <v>2.6279865084237741E-2</v>
      </c>
    </row>
    <row r="1419" spans="14:18" x14ac:dyDescent="0.2">
      <c r="N1419" s="88" t="str">
        <f t="shared" si="27"/>
        <v>1w</v>
      </c>
      <c r="O1419" s="82">
        <f>_xll.qlCalendarAdvance(Calendar,O1418,N1419,"f",FALSE)</f>
        <v>49235</v>
      </c>
      <c r="P1419" s="92">
        <f>_xll.qlCalendarAdvance(Calendar,O1419,NDays&amp;"D")</f>
        <v>49237</v>
      </c>
      <c r="Q1419" s="81">
        <v>2.6289683267778759E-2</v>
      </c>
      <c r="R1419" s="85">
        <v>2.6272522212327232E-2</v>
      </c>
    </row>
    <row r="1420" spans="14:18" x14ac:dyDescent="0.2">
      <c r="N1420" s="88" t="str">
        <f t="shared" si="27"/>
        <v>1w</v>
      </c>
      <c r="O1420" s="82">
        <f>_xll.qlCalendarAdvance(Calendar,O1419,N1420,"f",FALSE)</f>
        <v>49242</v>
      </c>
      <c r="P1420" s="92">
        <f>_xll.qlCalendarAdvance(Calendar,O1420,NDays&amp;"D")</f>
        <v>49244</v>
      </c>
      <c r="Q1420" s="81">
        <v>2.6282274104555164E-2</v>
      </c>
      <c r="R1420" s="85">
        <v>2.6265159858080978E-2</v>
      </c>
    </row>
    <row r="1421" spans="14:18" x14ac:dyDescent="0.2">
      <c r="N1421" s="88" t="str">
        <f t="shared" si="27"/>
        <v>1w</v>
      </c>
      <c r="O1421" s="82">
        <f>_xll.qlCalendarAdvance(Calendar,O1420,N1421,"f",FALSE)</f>
        <v>49249</v>
      </c>
      <c r="P1421" s="92">
        <f>_xll.qlCalendarAdvance(Calendar,O1421,NDays&amp;"D")</f>
        <v>49251</v>
      </c>
      <c r="Q1421" s="81">
        <v>2.6274845420809597E-2</v>
      </c>
      <c r="R1421" s="85">
        <v>2.6257778021339107E-2</v>
      </c>
    </row>
    <row r="1422" spans="14:18" x14ac:dyDescent="0.2">
      <c r="N1422" s="88" t="str">
        <f t="shared" si="27"/>
        <v>1w</v>
      </c>
      <c r="O1422" s="82">
        <f>_xll.qlCalendarAdvance(Calendar,O1421,N1422,"f",FALSE)</f>
        <v>49256</v>
      </c>
      <c r="P1422" s="92">
        <f>_xll.qlCalendarAdvance(Calendar,O1422,NDays&amp;"D")</f>
        <v>49258</v>
      </c>
      <c r="Q1422" s="81">
        <v>2.6267397216580737E-2</v>
      </c>
      <c r="R1422" s="85">
        <v>2.6250376702261491E-2</v>
      </c>
    </row>
    <row r="1423" spans="14:18" x14ac:dyDescent="0.2">
      <c r="N1423" s="88" t="str">
        <f t="shared" si="27"/>
        <v>1w</v>
      </c>
      <c r="O1423" s="82">
        <f>_xll.qlCalendarAdvance(Calendar,O1422,N1423,"f",FALSE)</f>
        <v>49263</v>
      </c>
      <c r="P1423" s="92">
        <f>_xll.qlCalendarAdvance(Calendar,O1423,NDays&amp;"D")</f>
        <v>49265</v>
      </c>
      <c r="Q1423" s="81">
        <v>2.6259929491904681E-2</v>
      </c>
      <c r="R1423" s="85">
        <v>2.6242955900608322E-2</v>
      </c>
    </row>
    <row r="1424" spans="14:18" x14ac:dyDescent="0.2">
      <c r="N1424" s="88" t="str">
        <f t="shared" si="27"/>
        <v>1w</v>
      </c>
      <c r="O1424" s="82">
        <f>_xll.qlCalendarAdvance(Calendar,O1423,N1424,"f",FALSE)</f>
        <v>49270</v>
      </c>
      <c r="P1424" s="92">
        <f>_xll.qlCalendarAdvance(Calendar,O1424,NDays&amp;"D")</f>
        <v>49272</v>
      </c>
      <c r="Q1424" s="81">
        <v>2.6253281835944203E-2</v>
      </c>
      <c r="R1424" s="85">
        <v>2.6235515616699345E-2</v>
      </c>
    </row>
    <row r="1425" spans="14:18" x14ac:dyDescent="0.2">
      <c r="N1425" s="88" t="str">
        <f t="shared" si="27"/>
        <v>1w</v>
      </c>
      <c r="O1425" s="82">
        <f>_xll.qlCalendarAdvance(Calendar,O1424,N1425,"f",FALSE)</f>
        <v>49277</v>
      </c>
      <c r="P1425" s="92">
        <f>_xll.qlCalendarAdvance(Calendar,O1425,NDays&amp;"D")</f>
        <v>49279</v>
      </c>
      <c r="Q1425" s="81">
        <v>2.6245353417056194E-2</v>
      </c>
      <c r="R1425" s="85">
        <v>2.6228055850294751E-2</v>
      </c>
    </row>
    <row r="1426" spans="14:18" x14ac:dyDescent="0.2">
      <c r="N1426" s="88" t="str">
        <f t="shared" si="27"/>
        <v>1w</v>
      </c>
      <c r="O1426" s="82">
        <f>_xll.qlCalendarAdvance(Calendar,O1425,N1426,"f",FALSE)</f>
        <v>49284</v>
      </c>
      <c r="P1426" s="92">
        <f>_xll.qlCalendarAdvance(Calendar,O1426,NDays&amp;"D")</f>
        <v>49286</v>
      </c>
      <c r="Q1426" s="81">
        <v>2.6237409195582716E-2</v>
      </c>
      <c r="R1426" s="85">
        <v>2.6220576601394541E-2</v>
      </c>
    </row>
    <row r="1427" spans="14:18" x14ac:dyDescent="0.2">
      <c r="N1427" s="88" t="str">
        <f t="shared" si="27"/>
        <v>1w</v>
      </c>
      <c r="O1427" s="82">
        <f>_xll.qlCalendarAdvance(Calendar,O1426,N1427,"f",FALSE)</f>
        <v>49291</v>
      </c>
      <c r="P1427" s="92">
        <f>_xll.qlCalendarAdvance(Calendar,O1427,NDays&amp;"D")</f>
        <v>49293</v>
      </c>
      <c r="Q1427" s="81">
        <v>2.6229863389502093E-2</v>
      </c>
      <c r="R1427" s="85">
        <v>2.6213077870158585E-2</v>
      </c>
    </row>
    <row r="1428" spans="14:18" x14ac:dyDescent="0.2">
      <c r="N1428" s="88" t="str">
        <f t="shared" si="27"/>
        <v>1w</v>
      </c>
      <c r="O1428" s="82">
        <f>_xll.qlCalendarAdvance(Calendar,O1427,N1428,"f",FALSE)</f>
        <v>49298</v>
      </c>
      <c r="P1428" s="92">
        <f>_xll.qlCalendarAdvance(Calendar,O1428,NDays&amp;"D")</f>
        <v>49300</v>
      </c>
      <c r="Q1428" s="81">
        <v>2.6222298063159934E-2</v>
      </c>
      <c r="R1428" s="85">
        <v>2.6203408017000385E-2</v>
      </c>
    </row>
    <row r="1429" spans="14:18" x14ac:dyDescent="0.2">
      <c r="N1429" s="88" t="str">
        <f t="shared" ref="N1429:N1492" si="28">N1428</f>
        <v>1w</v>
      </c>
      <c r="O1429" s="82">
        <f>_xll.qlCalendarAdvance(Calendar,O1428,N1429,"f",FALSE)</f>
        <v>49305</v>
      </c>
      <c r="P1429" s="92">
        <f>_xll.qlCalendarAdvance(Calendar,O1429,NDays&amp;"D")</f>
        <v>49307</v>
      </c>
      <c r="Q1429" s="81">
        <v>2.6215533367970941E-2</v>
      </c>
      <c r="R1429" s="85">
        <v>2.619694355619373E-2</v>
      </c>
    </row>
    <row r="1430" spans="14:18" x14ac:dyDescent="0.2">
      <c r="N1430" s="88" t="str">
        <f t="shared" si="28"/>
        <v>1w</v>
      </c>
      <c r="O1430" s="82">
        <f>_xll.qlCalendarAdvance(Calendar,O1429,N1430,"f",FALSE)</f>
        <v>49312</v>
      </c>
      <c r="P1430" s="92">
        <f>_xll.qlCalendarAdvance(Calendar,O1430,NDays&amp;"D")</f>
        <v>49314</v>
      </c>
      <c r="Q1430" s="81">
        <v>2.6207108849866351E-2</v>
      </c>
      <c r="R1430" s="85">
        <v>2.6190464781796763E-2</v>
      </c>
    </row>
    <row r="1431" spans="14:18" x14ac:dyDescent="0.2">
      <c r="N1431" s="88" t="str">
        <f t="shared" si="28"/>
        <v>1w</v>
      </c>
      <c r="O1431" s="82">
        <f>_xll.qlCalendarAdvance(Calendar,O1430,N1431,"f",FALSE)</f>
        <v>49319</v>
      </c>
      <c r="P1431" s="92">
        <f>_xll.qlCalendarAdvance(Calendar,O1431,NDays&amp;"D")</f>
        <v>49321</v>
      </c>
      <c r="Q1431" s="81">
        <v>2.619948496298713E-2</v>
      </c>
      <c r="R1431" s="85">
        <v>2.6182888120898085E-2</v>
      </c>
    </row>
    <row r="1432" spans="14:18" x14ac:dyDescent="0.2">
      <c r="N1432" s="88" t="str">
        <f t="shared" si="28"/>
        <v>1w</v>
      </c>
      <c r="O1432" s="82">
        <f>_xll.qlCalendarAdvance(Calendar,O1431,N1432,"f",FALSE)</f>
        <v>49326</v>
      </c>
      <c r="P1432" s="92">
        <f>_xll.qlCalendarAdvance(Calendar,O1432,NDays&amp;"D")</f>
        <v>49328</v>
      </c>
      <c r="Q1432" s="81">
        <v>2.6191841556001082E-2</v>
      </c>
      <c r="R1432" s="85">
        <v>2.6175291977423853E-2</v>
      </c>
    </row>
    <row r="1433" spans="14:18" x14ac:dyDescent="0.2">
      <c r="N1433" s="88" t="str">
        <f t="shared" si="28"/>
        <v>1w</v>
      </c>
      <c r="O1433" s="82">
        <f>_xll.qlCalendarAdvance(Calendar,O1432,N1433,"f",FALSE)</f>
        <v>49333</v>
      </c>
      <c r="P1433" s="92">
        <f>_xll.qlCalendarAdvance(Calendar,O1433,NDays&amp;"D")</f>
        <v>49335</v>
      </c>
      <c r="Q1433" s="81">
        <v>2.6184178628949475E-2</v>
      </c>
      <c r="R1433" s="85">
        <v>2.6167676351693814E-2</v>
      </c>
    </row>
    <row r="1434" spans="14:18" x14ac:dyDescent="0.2">
      <c r="N1434" s="88" t="str">
        <f t="shared" si="28"/>
        <v>1w</v>
      </c>
      <c r="O1434" s="82">
        <f>_xll.qlCalendarAdvance(Calendar,O1433,N1434,"f",FALSE)</f>
        <v>49340</v>
      </c>
      <c r="P1434" s="92">
        <f>_xll.qlCalendarAdvance(Calendar,O1434,NDays&amp;"D")</f>
        <v>49342</v>
      </c>
      <c r="Q1434" s="81">
        <v>2.6175293955535812E-2</v>
      </c>
      <c r="R1434" s="85">
        <v>2.6160041243468157E-2</v>
      </c>
    </row>
    <row r="1435" spans="14:18" x14ac:dyDescent="0.2">
      <c r="N1435" s="88" t="str">
        <f t="shared" si="28"/>
        <v>1w</v>
      </c>
      <c r="O1435" s="82">
        <f>_xll.qlCalendarAdvance(Calendar,O1434,N1435,"f",FALSE)</f>
        <v>49347</v>
      </c>
      <c r="P1435" s="92">
        <f>_xll.qlCalendarAdvance(Calendar,O1435,NDays&amp;"D")</f>
        <v>49349</v>
      </c>
      <c r="Q1435" s="81">
        <v>2.6167597848278615E-2</v>
      </c>
      <c r="R1435" s="85">
        <v>2.6152386652906756E-2</v>
      </c>
    </row>
    <row r="1436" spans="14:18" x14ac:dyDescent="0.2">
      <c r="N1436" s="88" t="str">
        <f t="shared" si="28"/>
        <v>1w</v>
      </c>
      <c r="O1436" s="82">
        <f>_xll.qlCalendarAdvance(Calendar,O1435,N1436,"f",FALSE)</f>
        <v>49354</v>
      </c>
      <c r="P1436" s="92">
        <f>_xll.qlCalendarAdvance(Calendar,O1436,NDays&amp;"D")</f>
        <v>49356</v>
      </c>
      <c r="Q1436" s="81">
        <v>2.6159882224824189E-2</v>
      </c>
      <c r="R1436" s="85">
        <v>2.6144712579769802E-2</v>
      </c>
    </row>
    <row r="1437" spans="14:18" x14ac:dyDescent="0.2">
      <c r="N1437" s="88" t="str">
        <f t="shared" si="28"/>
        <v>1w</v>
      </c>
      <c r="O1437" s="82">
        <f>_xll.qlCalendarAdvance(Calendar,O1436,N1437,"f",FALSE)</f>
        <v>49361</v>
      </c>
      <c r="P1437" s="92">
        <f>_xll.qlCalendarAdvance(Calendar,O1437,NDays&amp;"D")</f>
        <v>49363</v>
      </c>
      <c r="Q1437" s="81">
        <v>2.6153726264735722E-2</v>
      </c>
      <c r="R1437" s="85">
        <v>2.6137019024456976E-2</v>
      </c>
    </row>
    <row r="1438" spans="14:18" x14ac:dyDescent="0.2">
      <c r="N1438" s="88" t="str">
        <f t="shared" si="28"/>
        <v>1w</v>
      </c>
      <c r="O1438" s="82">
        <f>_xll.qlCalendarAdvance(Calendar,O1437,N1438,"f",FALSE)</f>
        <v>49368</v>
      </c>
      <c r="P1438" s="92">
        <f>_xll.qlCalendarAdvance(Calendar,O1438,NDays&amp;"D")</f>
        <v>49370</v>
      </c>
      <c r="Q1438" s="81">
        <v>2.6145571194066883E-2</v>
      </c>
      <c r="R1438" s="85">
        <v>2.6129305986568596E-2</v>
      </c>
    </row>
    <row r="1439" spans="14:18" x14ac:dyDescent="0.2">
      <c r="N1439" s="88" t="str">
        <f t="shared" si="28"/>
        <v>1w</v>
      </c>
      <c r="O1439" s="82">
        <f>_xll.qlCalendarAdvance(Calendar,O1438,N1439,"f",FALSE)</f>
        <v>49375</v>
      </c>
      <c r="P1439" s="92">
        <f>_xll.qlCalendarAdvance(Calendar,O1439,NDays&amp;"D")</f>
        <v>49377</v>
      </c>
      <c r="Q1439" s="81">
        <v>2.6137791147436723E-2</v>
      </c>
      <c r="R1439" s="85">
        <v>2.6121573466344472E-2</v>
      </c>
    </row>
    <row r="1440" spans="14:18" x14ac:dyDescent="0.2">
      <c r="N1440" s="88" t="str">
        <f t="shared" si="28"/>
        <v>1w</v>
      </c>
      <c r="O1440" s="82">
        <f>_xll.qlCalendarAdvance(Calendar,O1439,N1440,"f",FALSE)</f>
        <v>49382</v>
      </c>
      <c r="P1440" s="92">
        <f>_xll.qlCalendarAdvance(Calendar,O1440,NDays&amp;"D")</f>
        <v>49384</v>
      </c>
      <c r="Q1440" s="81">
        <v>2.6129991581011747E-2</v>
      </c>
      <c r="R1440" s="85">
        <v>2.6113821463704667E-2</v>
      </c>
    </row>
    <row r="1441" spans="14:18" x14ac:dyDescent="0.2">
      <c r="N1441" s="88" t="str">
        <f t="shared" si="28"/>
        <v>1w</v>
      </c>
      <c r="O1441" s="82">
        <f>_xll.qlCalendarAdvance(Calendar,O1440,N1441,"f",FALSE)</f>
        <v>49389</v>
      </c>
      <c r="P1441" s="92">
        <f>_xll.qlCalendarAdvance(Calendar,O1441,NDays&amp;"D")</f>
        <v>49395</v>
      </c>
      <c r="Q1441" s="81">
        <v>2.6117695681631782E-2</v>
      </c>
      <c r="R1441" s="85">
        <v>2.6103825975907213E-2</v>
      </c>
    </row>
    <row r="1442" spans="14:18" x14ac:dyDescent="0.2">
      <c r="N1442" s="88" t="str">
        <f t="shared" si="28"/>
        <v>1w</v>
      </c>
      <c r="O1442" s="82">
        <f>_xll.qlCalendarAdvance(Calendar,O1441,N1442,"f",FALSE)</f>
        <v>49396</v>
      </c>
      <c r="P1442" s="92">
        <f>_xll.qlCalendarAdvance(Calendar,O1442,NDays&amp;"D")</f>
        <v>49398</v>
      </c>
      <c r="Q1442" s="81">
        <v>2.6114333888939814E-2</v>
      </c>
      <c r="R1442" s="85">
        <v>2.6098259011098079E-2</v>
      </c>
    </row>
    <row r="1443" spans="14:18" x14ac:dyDescent="0.2">
      <c r="N1443" s="88" t="str">
        <f t="shared" si="28"/>
        <v>1w</v>
      </c>
      <c r="O1443" s="82">
        <f>_xll.qlCalendarAdvance(Calendar,O1442,N1443,"f",FALSE)</f>
        <v>49403</v>
      </c>
      <c r="P1443" s="92">
        <f>_xll.qlCalendarAdvance(Calendar,O1443,NDays&amp;"D")</f>
        <v>49405</v>
      </c>
      <c r="Q1443" s="81">
        <v>2.6106475763370211E-2</v>
      </c>
      <c r="R1443" s="85">
        <v>2.6090448561291169E-2</v>
      </c>
    </row>
    <row r="1444" spans="14:18" x14ac:dyDescent="0.2">
      <c r="N1444" s="88" t="str">
        <f t="shared" si="28"/>
        <v>1w</v>
      </c>
      <c r="O1444" s="82">
        <f>_xll.qlCalendarAdvance(Calendar,O1443,N1444,"f",FALSE)</f>
        <v>49410</v>
      </c>
      <c r="P1444" s="92">
        <f>_xll.qlCalendarAdvance(Calendar,O1444,NDays&amp;"D")</f>
        <v>49412</v>
      </c>
      <c r="Q1444" s="81">
        <v>2.6098978933732087E-2</v>
      </c>
      <c r="R1444" s="85">
        <v>2.6082618628988641E-2</v>
      </c>
    </row>
    <row r="1445" spans="14:18" x14ac:dyDescent="0.2">
      <c r="N1445" s="88" t="str">
        <f t="shared" si="28"/>
        <v>1w</v>
      </c>
      <c r="O1445" s="82">
        <f>_xll.qlCalendarAdvance(Calendar,O1444,N1445,"f",FALSE)</f>
        <v>49417</v>
      </c>
      <c r="P1445" s="92">
        <f>_xll.qlCalendarAdvance(Calendar,O1445,NDays&amp;"D")</f>
        <v>49419</v>
      </c>
      <c r="Q1445" s="81">
        <v>2.6090700953359705E-2</v>
      </c>
      <c r="R1445" s="85">
        <v>2.6074769214270432E-2</v>
      </c>
    </row>
    <row r="1446" spans="14:18" x14ac:dyDescent="0.2">
      <c r="N1446" s="88" t="str">
        <f t="shared" si="28"/>
        <v>1w</v>
      </c>
      <c r="O1446" s="82">
        <f>_xll.qlCalendarAdvance(Calendar,O1445,N1446,"f",FALSE)</f>
        <v>49424</v>
      </c>
      <c r="P1446" s="92">
        <f>_xll.qlCalendarAdvance(Calendar,O1446,NDays&amp;"D")</f>
        <v>49426</v>
      </c>
      <c r="Q1446" s="81">
        <v>2.6082784269001315E-2</v>
      </c>
      <c r="R1446" s="85">
        <v>2.6066155145132441E-2</v>
      </c>
    </row>
    <row r="1447" spans="14:18" x14ac:dyDescent="0.2">
      <c r="N1447" s="88" t="str">
        <f t="shared" si="28"/>
        <v>1w</v>
      </c>
      <c r="O1447" s="82">
        <f>_xll.qlCalendarAdvance(Calendar,O1446,N1447,"f",FALSE)</f>
        <v>49431</v>
      </c>
      <c r="P1447" s="92">
        <f>_xll.qlCalendarAdvance(Calendar,O1447,NDays&amp;"D")</f>
        <v>49436</v>
      </c>
      <c r="Q1447" s="81">
        <v>2.6071440859540541E-2</v>
      </c>
      <c r="R1447" s="85">
        <v>2.6057883436134688E-2</v>
      </c>
    </row>
    <row r="1448" spans="14:18" x14ac:dyDescent="0.2">
      <c r="N1448" s="88" t="str">
        <f t="shared" si="28"/>
        <v>1w</v>
      </c>
      <c r="O1448" s="82">
        <f>_xll.qlCalendarAdvance(Calendar,O1447,N1448,"f",FALSE)</f>
        <v>49438</v>
      </c>
      <c r="P1448" s="92">
        <f>_xll.qlCalendarAdvance(Calendar,O1448,NDays&amp;"D")</f>
        <v>49440</v>
      </c>
      <c r="Q1448" s="81">
        <v>2.6066892341774239E-2</v>
      </c>
      <c r="R1448" s="85">
        <v>2.6049972790955778E-2</v>
      </c>
    </row>
    <row r="1449" spans="14:18" x14ac:dyDescent="0.2">
      <c r="N1449" s="88" t="str">
        <f t="shared" si="28"/>
        <v>1w</v>
      </c>
      <c r="O1449" s="82">
        <f>_xll.qlCalendarAdvance(Calendar,O1448,N1449,"f",FALSE)</f>
        <v>49445</v>
      </c>
      <c r="P1449" s="92">
        <f>_xll.qlCalendarAdvance(Calendar,O1449,NDays&amp;"D")</f>
        <v>49447</v>
      </c>
      <c r="Q1449" s="81">
        <v>2.6058917098982906E-2</v>
      </c>
      <c r="R1449" s="85">
        <v>2.6043176731640472E-2</v>
      </c>
    </row>
    <row r="1450" spans="14:18" x14ac:dyDescent="0.2">
      <c r="N1450" s="88" t="str">
        <f t="shared" si="28"/>
        <v>1w</v>
      </c>
      <c r="O1450" s="82">
        <f>_xll.qlCalendarAdvance(Calendar,O1449,N1450,"f",FALSE)</f>
        <v>49452</v>
      </c>
      <c r="P1450" s="92">
        <f>_xll.qlCalendarAdvance(Calendar,O1450,NDays&amp;"D")</f>
        <v>49454</v>
      </c>
      <c r="Q1450" s="81">
        <v>2.6050922336796442E-2</v>
      </c>
      <c r="R1450" s="85">
        <v>2.6035229905003732E-2</v>
      </c>
    </row>
    <row r="1451" spans="14:18" x14ac:dyDescent="0.2">
      <c r="N1451" s="88" t="str">
        <f t="shared" si="28"/>
        <v>1w</v>
      </c>
      <c r="O1451" s="82">
        <f>_xll.qlCalendarAdvance(Calendar,O1450,N1451,"f",FALSE)</f>
        <v>49459</v>
      </c>
      <c r="P1451" s="92">
        <f>_xll.qlCalendarAdvance(Calendar,O1451,NDays&amp;"D")</f>
        <v>49461</v>
      </c>
      <c r="Q1451" s="81">
        <v>2.6042908055253527E-2</v>
      </c>
      <c r="R1451" s="85">
        <v>2.6027263595951311E-2</v>
      </c>
    </row>
    <row r="1452" spans="14:18" x14ac:dyDescent="0.2">
      <c r="N1452" s="88" t="str">
        <f t="shared" si="28"/>
        <v>1w</v>
      </c>
      <c r="O1452" s="82">
        <f>_xll.qlCalendarAdvance(Calendar,O1451,N1452,"f",FALSE)</f>
        <v>49466</v>
      </c>
      <c r="P1452" s="92">
        <f>_xll.qlCalendarAdvance(Calendar,O1452,NDays&amp;"D")</f>
        <v>49468</v>
      </c>
      <c r="Q1452" s="81">
        <v>2.6034874254395414E-2</v>
      </c>
      <c r="R1452" s="85">
        <v>2.601927780448321E-2</v>
      </c>
    </row>
    <row r="1453" spans="14:18" x14ac:dyDescent="0.2">
      <c r="N1453" s="88" t="str">
        <f t="shared" si="28"/>
        <v>1w</v>
      </c>
      <c r="O1453" s="82">
        <f>_xll.qlCalendarAdvance(Calendar,O1452,N1453,"f",FALSE)</f>
        <v>49473</v>
      </c>
      <c r="P1453" s="92">
        <f>_xll.qlCalendarAdvance(Calendar,O1453,NDays&amp;"D")</f>
        <v>49475</v>
      </c>
      <c r="Q1453" s="81">
        <v>2.6026820934260782E-2</v>
      </c>
      <c r="R1453" s="85">
        <v>2.6011272530679364E-2</v>
      </c>
    </row>
    <row r="1454" spans="14:18" x14ac:dyDescent="0.2">
      <c r="N1454" s="88" t="str">
        <f t="shared" si="28"/>
        <v>1w</v>
      </c>
      <c r="O1454" s="82">
        <f>_xll.qlCalendarAdvance(Calendar,O1453,N1454,"f",FALSE)</f>
        <v>49480</v>
      </c>
      <c r="P1454" s="92">
        <f>_xll.qlCalendarAdvance(Calendar,O1454,NDays&amp;"D")</f>
        <v>49485</v>
      </c>
      <c r="Q1454" s="81">
        <v>2.6014921909342625E-2</v>
      </c>
      <c r="R1454" s="85">
        <v>2.6002099790272126E-2</v>
      </c>
    </row>
    <row r="1455" spans="14:18" x14ac:dyDescent="0.2">
      <c r="N1455" s="88" t="str">
        <f t="shared" si="28"/>
        <v>1w</v>
      </c>
      <c r="O1455" s="82">
        <f>_xll.qlCalendarAdvance(Calendar,O1454,N1455,"f",FALSE)</f>
        <v>49487</v>
      </c>
      <c r="P1455" s="92">
        <f>_xll.qlCalendarAdvance(Calendar,O1455,NDays&amp;"D")</f>
        <v>49489</v>
      </c>
      <c r="Q1455" s="81">
        <v>2.6011014856444914E-2</v>
      </c>
      <c r="R1455" s="85">
        <v>2.5995203535824629E-2</v>
      </c>
    </row>
    <row r="1456" spans="14:18" x14ac:dyDescent="0.2">
      <c r="N1456" s="88" t="str">
        <f t="shared" si="28"/>
        <v>1w</v>
      </c>
      <c r="O1456" s="82">
        <f>_xll.qlCalendarAdvance(Calendar,O1455,N1456,"f",FALSE)</f>
        <v>49494</v>
      </c>
      <c r="P1456" s="92">
        <f>_xll.qlCalendarAdvance(Calendar,O1456,NDays&amp;"D")</f>
        <v>49496</v>
      </c>
      <c r="Q1456" s="81">
        <v>2.6002543858607778E-2</v>
      </c>
      <c r="R1456" s="85">
        <v>2.5987139814853677E-2</v>
      </c>
    </row>
    <row r="1457" spans="14:18" x14ac:dyDescent="0.2">
      <c r="N1457" s="88" t="str">
        <f t="shared" si="28"/>
        <v>1w</v>
      </c>
      <c r="O1457" s="82">
        <f>_xll.qlCalendarAdvance(Calendar,O1456,N1457,"f",FALSE)</f>
        <v>49501</v>
      </c>
      <c r="P1457" s="92">
        <f>_xll.qlCalendarAdvance(Calendar,O1457,NDays&amp;"D")</f>
        <v>49503</v>
      </c>
      <c r="Q1457" s="81">
        <v>2.5994412461777069E-2</v>
      </c>
      <c r="R1457" s="85">
        <v>2.5979056611467044E-2</v>
      </c>
    </row>
    <row r="1458" spans="14:18" x14ac:dyDescent="0.2">
      <c r="N1458" s="88" t="str">
        <f t="shared" si="28"/>
        <v>1w</v>
      </c>
      <c r="O1458" s="82">
        <f>_xll.qlCalendarAdvance(Calendar,O1457,N1458,"f",FALSE)</f>
        <v>49508</v>
      </c>
      <c r="P1458" s="92">
        <f>_xll.qlCalendarAdvance(Calendar,O1458,NDays&amp;"D")</f>
        <v>49510</v>
      </c>
      <c r="Q1458" s="81">
        <v>2.5986261545870977E-2</v>
      </c>
      <c r="R1458" s="85">
        <v>2.5970953925744666E-2</v>
      </c>
    </row>
    <row r="1459" spans="14:18" x14ac:dyDescent="0.2">
      <c r="N1459" s="88" t="str">
        <f t="shared" si="28"/>
        <v>1w</v>
      </c>
      <c r="O1459" s="82">
        <f>_xll.qlCalendarAdvance(Calendar,O1458,N1459,"f",FALSE)</f>
        <v>49515</v>
      </c>
      <c r="P1459" s="92">
        <f>_xll.qlCalendarAdvance(Calendar,O1459,NDays&amp;"D")</f>
        <v>49517</v>
      </c>
      <c r="Q1459" s="81">
        <v>2.5978091110938486E-2</v>
      </c>
      <c r="R1459" s="85">
        <v>2.5962831757446736E-2</v>
      </c>
    </row>
    <row r="1460" spans="14:18" x14ac:dyDescent="0.2">
      <c r="N1460" s="88" t="str">
        <f t="shared" si="28"/>
        <v>1w</v>
      </c>
      <c r="O1460" s="82">
        <f>_xll.qlCalendarAdvance(Calendar,O1459,N1460,"f",FALSE)</f>
        <v>49522</v>
      </c>
      <c r="P1460" s="92">
        <f>_xll.qlCalendarAdvance(Calendar,O1460,NDays&amp;"D")</f>
        <v>49524</v>
      </c>
      <c r="Q1460" s="81">
        <v>2.5969901157013121E-2</v>
      </c>
      <c r="R1460" s="85">
        <v>2.5954690107132805E-2</v>
      </c>
    </row>
    <row r="1461" spans="14:18" x14ac:dyDescent="0.2">
      <c r="N1461" s="88" t="str">
        <f t="shared" si="28"/>
        <v>1w</v>
      </c>
      <c r="O1461" s="82">
        <f>_xll.qlCalendarAdvance(Calendar,O1460,N1461,"f",FALSE)</f>
        <v>49529</v>
      </c>
      <c r="P1461" s="92">
        <f>_xll.qlCalendarAdvance(Calendar,O1461,NDays&amp;"D")</f>
        <v>49531</v>
      </c>
      <c r="Q1461" s="81">
        <v>2.596169168413872E-2</v>
      </c>
      <c r="R1461" s="85">
        <v>2.5946528974083449E-2</v>
      </c>
    </row>
    <row r="1462" spans="14:18" x14ac:dyDescent="0.2">
      <c r="N1462" s="88" t="str">
        <f t="shared" si="28"/>
        <v>1w</v>
      </c>
      <c r="O1462" s="82">
        <f>_xll.qlCalendarAdvance(Calendar,O1461,N1462,"f",FALSE)</f>
        <v>49536</v>
      </c>
      <c r="P1462" s="92">
        <f>_xll.qlCalendarAdvance(Calendar,O1462,NDays&amp;"D")</f>
        <v>49538</v>
      </c>
      <c r="Q1462" s="81">
        <v>2.5953462692356537E-2</v>
      </c>
      <c r="R1462" s="85">
        <v>2.5938348358778285E-2</v>
      </c>
    </row>
    <row r="1463" spans="14:18" x14ac:dyDescent="0.2">
      <c r="N1463" s="88" t="str">
        <f t="shared" si="28"/>
        <v>1w</v>
      </c>
      <c r="O1463" s="82">
        <f>_xll.qlCalendarAdvance(Calendar,O1462,N1463,"f",FALSE)</f>
        <v>49543</v>
      </c>
      <c r="P1463" s="92">
        <f>_xll.qlCalendarAdvance(Calendar,O1463,NDays&amp;"D")</f>
        <v>49545</v>
      </c>
      <c r="Q1463" s="81">
        <v>2.594521418171299E-2</v>
      </c>
      <c r="R1463" s="85">
        <v>2.5930148261217312E-2</v>
      </c>
    </row>
    <row r="1464" spans="14:18" x14ac:dyDescent="0.2">
      <c r="N1464" s="88" t="str">
        <f t="shared" si="28"/>
        <v>1w</v>
      </c>
      <c r="O1464" s="82">
        <f>_xll.qlCalendarAdvance(Calendar,O1463,N1464,"f",FALSE)</f>
        <v>49550</v>
      </c>
      <c r="P1464" s="92">
        <f>_xll.qlCalendarAdvance(Calendar,O1464,NDays&amp;"D")</f>
        <v>49552</v>
      </c>
      <c r="Q1464" s="81">
        <v>2.5935921335710051E-2</v>
      </c>
      <c r="R1464" s="85">
        <v>2.5921928681160722E-2</v>
      </c>
    </row>
    <row r="1465" spans="14:18" x14ac:dyDescent="0.2">
      <c r="N1465" s="88" t="str">
        <f t="shared" si="28"/>
        <v>1w</v>
      </c>
      <c r="O1465" s="82">
        <f>_xll.qlCalendarAdvance(Calendar,O1464,N1465,"f",FALSE)</f>
        <v>49557</v>
      </c>
      <c r="P1465" s="92">
        <f>_xll.qlCalendarAdvance(Calendar,O1465,NDays&amp;"D")</f>
        <v>49559</v>
      </c>
      <c r="Q1465" s="81">
        <v>2.5928659369546712E-2</v>
      </c>
      <c r="R1465" s="85">
        <v>2.5913689618688451E-2</v>
      </c>
    </row>
    <row r="1466" spans="14:18" x14ac:dyDescent="0.2">
      <c r="N1466" s="88" t="str">
        <f t="shared" si="28"/>
        <v>1w</v>
      </c>
      <c r="O1466" s="82">
        <f>_xll.qlCalendarAdvance(Calendar,O1465,N1466,"f",FALSE)</f>
        <v>49564</v>
      </c>
      <c r="P1466" s="92">
        <f>_xll.qlCalendarAdvance(Calendar,O1466,NDays&amp;"D")</f>
        <v>49566</v>
      </c>
      <c r="Q1466" s="81">
        <v>2.5920355298191006E-2</v>
      </c>
      <c r="R1466" s="85">
        <v>2.5905431073880436E-2</v>
      </c>
    </row>
    <row r="1467" spans="14:18" x14ac:dyDescent="0.2">
      <c r="N1467" s="88" t="str">
        <f t="shared" si="28"/>
        <v>1w</v>
      </c>
      <c r="O1467" s="82">
        <f>_xll.qlCalendarAdvance(Calendar,O1466,N1467,"f",FALSE)</f>
        <v>49571</v>
      </c>
      <c r="P1467" s="92">
        <f>_xll.qlCalendarAdvance(Calendar,O1467,NDays&amp;"D")</f>
        <v>49573</v>
      </c>
      <c r="Q1467" s="81">
        <v>2.5912035534407296E-2</v>
      </c>
      <c r="R1467" s="85">
        <v>2.5897153046736676E-2</v>
      </c>
    </row>
    <row r="1468" spans="14:18" x14ac:dyDescent="0.2">
      <c r="N1468" s="88" t="str">
        <f t="shared" si="28"/>
        <v>1w</v>
      </c>
      <c r="O1468" s="82">
        <f>_xll.qlCalendarAdvance(Calendar,O1467,N1468,"f",FALSE)</f>
        <v>49578</v>
      </c>
      <c r="P1468" s="92">
        <f>_xll.qlCalendarAdvance(Calendar,O1468,NDays&amp;"D")</f>
        <v>49580</v>
      </c>
      <c r="Q1468" s="81">
        <v>2.5904371099604813E-2</v>
      </c>
      <c r="R1468" s="85">
        <v>2.5888856981781672E-2</v>
      </c>
    </row>
    <row r="1469" spans="14:18" x14ac:dyDescent="0.2">
      <c r="N1469" s="88" t="str">
        <f t="shared" si="28"/>
        <v>1w</v>
      </c>
      <c r="O1469" s="82">
        <f>_xll.qlCalendarAdvance(Calendar,O1468,N1469,"f",FALSE)</f>
        <v>49585</v>
      </c>
      <c r="P1469" s="92">
        <f>_xll.qlCalendarAdvance(Calendar,O1469,NDays&amp;"D")</f>
        <v>49587</v>
      </c>
      <c r="Q1469" s="81">
        <v>2.5895354969189176E-2</v>
      </c>
      <c r="R1469" s="85">
        <v>2.5880547946801613E-2</v>
      </c>
    </row>
    <row r="1470" spans="14:18" x14ac:dyDescent="0.2">
      <c r="N1470" s="88" t="str">
        <f t="shared" si="28"/>
        <v>1w</v>
      </c>
      <c r="O1470" s="82">
        <f>_xll.qlCalendarAdvance(Calendar,O1469,N1470,"f",FALSE)</f>
        <v>49592</v>
      </c>
      <c r="P1470" s="92">
        <f>_xll.qlCalendarAdvance(Calendar,O1470,NDays&amp;"D")</f>
        <v>49594</v>
      </c>
      <c r="Q1470" s="81">
        <v>2.5886995743333148E-2</v>
      </c>
      <c r="R1470" s="85">
        <v>2.5872226391676634E-2</v>
      </c>
    </row>
    <row r="1471" spans="14:18" x14ac:dyDescent="0.2">
      <c r="N1471" s="88" t="str">
        <f t="shared" si="28"/>
        <v>1w</v>
      </c>
      <c r="O1471" s="82">
        <f>_xll.qlCalendarAdvance(Calendar,O1470,N1471,"f",FALSE)</f>
        <v>49599</v>
      </c>
      <c r="P1471" s="92">
        <f>_xll.qlCalendarAdvance(Calendar,O1471,NDays&amp;"D")</f>
        <v>49601</v>
      </c>
      <c r="Q1471" s="81">
        <v>2.5878623976211025E-2</v>
      </c>
      <c r="R1471" s="85">
        <v>2.5863892316566606E-2</v>
      </c>
    </row>
    <row r="1472" spans="14:18" x14ac:dyDescent="0.2">
      <c r="N1472" s="88" t="str">
        <f t="shared" si="28"/>
        <v>1w</v>
      </c>
      <c r="O1472" s="82">
        <f>_xll.qlCalendarAdvance(Calendar,O1471,N1472,"f",FALSE)</f>
        <v>49606</v>
      </c>
      <c r="P1472" s="92">
        <f>_xll.qlCalendarAdvance(Calendar,O1472,NDays&amp;"D")</f>
        <v>49608</v>
      </c>
      <c r="Q1472" s="81">
        <v>2.5870239667853758E-2</v>
      </c>
      <c r="R1472" s="85">
        <v>2.5855545721231721E-2</v>
      </c>
    </row>
    <row r="1473" spans="14:18" x14ac:dyDescent="0.2">
      <c r="N1473" s="88" t="str">
        <f t="shared" si="28"/>
        <v>1w</v>
      </c>
      <c r="O1473" s="82">
        <f>_xll.qlCalendarAdvance(Calendar,O1472,N1473,"f",FALSE)</f>
        <v>49613</v>
      </c>
      <c r="P1473" s="92">
        <f>_xll.qlCalendarAdvance(Calendar,O1473,NDays&amp;"D")</f>
        <v>49615</v>
      </c>
      <c r="Q1473" s="81">
        <v>2.5861842818281973E-2</v>
      </c>
      <c r="R1473" s="85">
        <v>2.5847186606071659E-2</v>
      </c>
    </row>
    <row r="1474" spans="14:18" x14ac:dyDescent="0.2">
      <c r="N1474" s="88" t="str">
        <f t="shared" si="28"/>
        <v>1w</v>
      </c>
      <c r="O1474" s="82">
        <f>_xll.qlCalendarAdvance(Calendar,O1473,N1474,"f",FALSE)</f>
        <v>49620</v>
      </c>
      <c r="P1474" s="92">
        <f>_xll.qlCalendarAdvance(Calendar,O1474,NDays&amp;"D")</f>
        <v>49622</v>
      </c>
      <c r="Q1474" s="81">
        <v>2.5853433427529191E-2</v>
      </c>
      <c r="R1474" s="85">
        <v>2.5838814970686741E-2</v>
      </c>
    </row>
    <row r="1475" spans="14:18" x14ac:dyDescent="0.2">
      <c r="N1475" s="88" t="str">
        <f t="shared" si="28"/>
        <v>1w</v>
      </c>
      <c r="O1475" s="82">
        <f>_xll.qlCalendarAdvance(Calendar,O1474,N1475,"f",FALSE)</f>
        <v>49627</v>
      </c>
      <c r="P1475" s="92">
        <f>_xll.qlCalendarAdvance(Calendar,O1475,NDays&amp;"D")</f>
        <v>49629</v>
      </c>
      <c r="Q1475" s="81">
        <v>2.5845011495616039E-2</v>
      </c>
      <c r="R1475" s="85">
        <v>2.5830430815156902E-2</v>
      </c>
    </row>
    <row r="1476" spans="14:18" x14ac:dyDescent="0.2">
      <c r="N1476" s="88" t="str">
        <f t="shared" si="28"/>
        <v>1w</v>
      </c>
      <c r="O1476" s="82">
        <f>_xll.qlCalendarAdvance(Calendar,O1475,N1476,"f",FALSE)</f>
        <v>49634</v>
      </c>
      <c r="P1476" s="92">
        <f>_xll.qlCalendarAdvance(Calendar,O1476,NDays&amp;"D")</f>
        <v>49636</v>
      </c>
      <c r="Q1476" s="81">
        <v>2.583754504234308E-2</v>
      </c>
      <c r="R1476" s="85">
        <v>2.5822034139642014E-2</v>
      </c>
    </row>
    <row r="1477" spans="14:18" x14ac:dyDescent="0.2">
      <c r="N1477" s="88" t="str">
        <f t="shared" si="28"/>
        <v>1w</v>
      </c>
      <c r="O1477" s="82">
        <f>_xll.qlCalendarAdvance(Calendar,O1476,N1477,"f",FALSE)</f>
        <v>49641</v>
      </c>
      <c r="P1477" s="92">
        <f>_xll.qlCalendarAdvance(Calendar,O1477,NDays&amp;"D")</f>
        <v>49643</v>
      </c>
      <c r="Q1477" s="81">
        <v>2.5827165343558063E-2</v>
      </c>
      <c r="R1477" s="85">
        <v>2.5813624944062141E-2</v>
      </c>
    </row>
    <row r="1478" spans="14:18" x14ac:dyDescent="0.2">
      <c r="N1478" s="88" t="str">
        <f t="shared" si="28"/>
        <v>1w</v>
      </c>
      <c r="O1478" s="82">
        <f>_xll.qlCalendarAdvance(Calendar,O1477,N1478,"f",FALSE)</f>
        <v>49648</v>
      </c>
      <c r="P1478" s="92">
        <f>_xll.qlCalendarAdvance(Calendar,O1478,NDays&amp;"D")</f>
        <v>49650</v>
      </c>
      <c r="Q1478" s="81">
        <v>2.5819670453210913E-2</v>
      </c>
      <c r="R1478" s="85">
        <v>2.5805203228417284E-2</v>
      </c>
    </row>
    <row r="1479" spans="14:18" x14ac:dyDescent="0.2">
      <c r="N1479" s="88" t="str">
        <f t="shared" si="28"/>
        <v>1w</v>
      </c>
      <c r="O1479" s="82">
        <f>_xll.qlCalendarAdvance(Calendar,O1478,N1479,"f",FALSE)</f>
        <v>49655</v>
      </c>
      <c r="P1479" s="92">
        <f>_xll.qlCalendarAdvance(Calendar,O1479,NDays&amp;"D")</f>
        <v>49657</v>
      </c>
      <c r="Q1479" s="81">
        <v>2.5811198356945092E-2</v>
      </c>
      <c r="R1479" s="85">
        <v>2.5796768992627506E-2</v>
      </c>
    </row>
    <row r="1480" spans="14:18" x14ac:dyDescent="0.2">
      <c r="N1480" s="88" t="str">
        <f t="shared" si="28"/>
        <v>1w</v>
      </c>
      <c r="O1480" s="82">
        <f>_xll.qlCalendarAdvance(Calendar,O1479,N1480,"f",FALSE)</f>
        <v>49662</v>
      </c>
      <c r="P1480" s="92">
        <f>_xll.qlCalendarAdvance(Calendar,O1480,NDays&amp;"D")</f>
        <v>49664</v>
      </c>
      <c r="Q1480" s="81">
        <v>2.5802713719655566E-2</v>
      </c>
      <c r="R1480" s="85">
        <v>2.5785974105723142E-2</v>
      </c>
    </row>
    <row r="1481" spans="14:18" x14ac:dyDescent="0.2">
      <c r="N1481" s="88" t="str">
        <f t="shared" si="28"/>
        <v>1w</v>
      </c>
      <c r="O1481" s="82">
        <f>_xll.qlCalendarAdvance(Calendar,O1480,N1481,"f",FALSE)</f>
        <v>49670</v>
      </c>
      <c r="P1481" s="92">
        <f>_xll.qlCalendarAdvance(Calendar,O1481,NDays&amp;"D")</f>
        <v>49676</v>
      </c>
      <c r="Q1481" s="81">
        <v>2.57887677467677E-2</v>
      </c>
      <c r="R1481" s="85">
        <v>2.5776868848375045E-2</v>
      </c>
    </row>
    <row r="1482" spans="14:18" x14ac:dyDescent="0.2">
      <c r="N1482" s="88" t="str">
        <f t="shared" si="28"/>
        <v>1w</v>
      </c>
      <c r="O1482" s="82">
        <f>_xll.qlCalendarAdvance(Calendar,O1481,N1482,"f",FALSE)</f>
        <v>49677</v>
      </c>
      <c r="P1482" s="92">
        <f>_xll.qlCalendarAdvance(Calendar,O1482,NDays&amp;"D")</f>
        <v>49681</v>
      </c>
      <c r="Q1482" s="81">
        <v>2.5782055960534199E-2</v>
      </c>
      <c r="R1482" s="85">
        <v>2.5770179886350775E-2</v>
      </c>
    </row>
    <row r="1483" spans="14:18" x14ac:dyDescent="0.2">
      <c r="N1483" s="88" t="str">
        <f t="shared" si="28"/>
        <v>1w</v>
      </c>
      <c r="O1483" s="82">
        <f>_xll.qlCalendarAdvance(Calendar,O1482,N1483,"f",FALSE)</f>
        <v>49684</v>
      </c>
      <c r="P1483" s="92">
        <f>_xll.qlCalendarAdvance(Calendar,O1483,NDays&amp;"D")</f>
        <v>49688</v>
      </c>
      <c r="Q1483" s="81">
        <v>2.5773528325675296E-2</v>
      </c>
      <c r="R1483" s="85">
        <v>2.5761693781811701E-2</v>
      </c>
    </row>
    <row r="1484" spans="14:18" x14ac:dyDescent="0.2">
      <c r="N1484" s="88" t="str">
        <f t="shared" si="28"/>
        <v>1w</v>
      </c>
      <c r="O1484" s="82">
        <f>_xll.qlCalendarAdvance(Calendar,O1483,N1484,"f",FALSE)</f>
        <v>49691</v>
      </c>
      <c r="P1484" s="92">
        <f>_xll.qlCalendarAdvance(Calendar,O1484,NDays&amp;"D")</f>
        <v>49695</v>
      </c>
      <c r="Q1484" s="81">
        <v>2.5764988149913886E-2</v>
      </c>
      <c r="R1484" s="85">
        <v>2.5753195157127706E-2</v>
      </c>
    </row>
    <row r="1485" spans="14:18" x14ac:dyDescent="0.2">
      <c r="N1485" s="88" t="str">
        <f t="shared" si="28"/>
        <v>1w</v>
      </c>
      <c r="O1485" s="82">
        <f>_xll.qlCalendarAdvance(Calendar,O1484,N1485,"f",FALSE)</f>
        <v>49698</v>
      </c>
      <c r="P1485" s="92">
        <f>_xll.qlCalendarAdvance(Calendar,O1485,NDays&amp;"D")</f>
        <v>49702</v>
      </c>
      <c r="Q1485" s="81">
        <v>2.5756435433280905E-2</v>
      </c>
      <c r="R1485" s="85">
        <v>2.5744684012458663E-2</v>
      </c>
    </row>
    <row r="1486" spans="14:18" x14ac:dyDescent="0.2">
      <c r="N1486" s="88" t="str">
        <f t="shared" si="28"/>
        <v>1w</v>
      </c>
      <c r="O1486" s="82">
        <f>_xll.qlCalendarAdvance(Calendar,O1485,N1486,"f",FALSE)</f>
        <v>49705</v>
      </c>
      <c r="P1486" s="92">
        <f>_xll.qlCalendarAdvance(Calendar,O1486,NDays&amp;"D")</f>
        <v>49709</v>
      </c>
      <c r="Q1486" s="81">
        <v>2.5747255568566028E-2</v>
      </c>
      <c r="R1486" s="85">
        <v>2.5736160347564763E-2</v>
      </c>
    </row>
    <row r="1487" spans="14:18" x14ac:dyDescent="0.2">
      <c r="N1487" s="88" t="str">
        <f t="shared" si="28"/>
        <v>1w</v>
      </c>
      <c r="O1487" s="82">
        <f>_xll.qlCalendarAdvance(Calendar,O1486,N1487,"f",FALSE)</f>
        <v>49712</v>
      </c>
      <c r="P1487" s="92">
        <f>_xll.qlCalendarAdvance(Calendar,O1487,NDays&amp;"D")</f>
        <v>49716</v>
      </c>
      <c r="Q1487" s="81">
        <v>2.5738680786975044E-2</v>
      </c>
      <c r="R1487" s="85">
        <v>2.572762416276575E-2</v>
      </c>
    </row>
    <row r="1488" spans="14:18" x14ac:dyDescent="0.2">
      <c r="N1488" s="88" t="str">
        <f t="shared" si="28"/>
        <v>1w</v>
      </c>
      <c r="O1488" s="82">
        <f>_xll.qlCalendarAdvance(Calendar,O1487,N1488,"f",FALSE)</f>
        <v>49719</v>
      </c>
      <c r="P1488" s="92">
        <f>_xll.qlCalendarAdvance(Calendar,O1488,NDays&amp;"D")</f>
        <v>49723</v>
      </c>
      <c r="Q1488" s="81">
        <v>2.573009346596904E-2</v>
      </c>
      <c r="R1488" s="85">
        <v>2.5719075457821816E-2</v>
      </c>
    </row>
    <row r="1489" spans="14:18" x14ac:dyDescent="0.2">
      <c r="N1489" s="88" t="str">
        <f t="shared" si="28"/>
        <v>1w</v>
      </c>
      <c r="O1489" s="82">
        <f>_xll.qlCalendarAdvance(Calendar,O1488,N1489,"f",FALSE)</f>
        <v>49726</v>
      </c>
      <c r="P1489" s="92">
        <f>_xll.qlCalendarAdvance(Calendar,O1489,NDays&amp;"D")</f>
        <v>49730</v>
      </c>
      <c r="Q1489" s="81">
        <v>2.5721493605583845E-2</v>
      </c>
      <c r="R1489" s="85">
        <v>2.5710514232892834E-2</v>
      </c>
    </row>
    <row r="1490" spans="14:18" x14ac:dyDescent="0.2">
      <c r="N1490" s="88" t="str">
        <f t="shared" si="28"/>
        <v>1w</v>
      </c>
      <c r="O1490" s="82">
        <f>_xll.qlCalendarAdvance(Calendar,O1489,N1490,"f",FALSE)</f>
        <v>49733</v>
      </c>
      <c r="P1490" s="92">
        <f>_xll.qlCalendarAdvance(Calendar,O1490,NDays&amp;"D")</f>
        <v>49737</v>
      </c>
      <c r="Q1490" s="81">
        <v>2.5713483738027523E-2</v>
      </c>
      <c r="R1490" s="85">
        <v>2.5701940487818931E-2</v>
      </c>
    </row>
    <row r="1491" spans="14:18" x14ac:dyDescent="0.2">
      <c r="N1491" s="88" t="str">
        <f t="shared" si="28"/>
        <v>1w</v>
      </c>
      <c r="O1491" s="82">
        <f>_xll.qlCalendarAdvance(Calendar,O1490,N1491,"f",FALSE)</f>
        <v>49740</v>
      </c>
      <c r="P1491" s="92">
        <f>_xll.qlCalendarAdvance(Calendar,O1491,NDays&amp;"D")</f>
        <v>49744</v>
      </c>
      <c r="Q1491" s="81">
        <v>2.570485577675306E-2</v>
      </c>
      <c r="R1491" s="85">
        <v>2.5693354222680043E-2</v>
      </c>
    </row>
    <row r="1492" spans="14:18" x14ac:dyDescent="0.2">
      <c r="N1492" s="88" t="str">
        <f t="shared" si="28"/>
        <v>1w</v>
      </c>
      <c r="O1492" s="82">
        <f>_xll.qlCalendarAdvance(Calendar,O1491,N1492,"f",FALSE)</f>
        <v>49747</v>
      </c>
      <c r="P1492" s="92">
        <f>_xll.qlCalendarAdvance(Calendar,O1492,NDays&amp;"D")</f>
        <v>49751</v>
      </c>
      <c r="Q1492" s="81">
        <v>2.5696215274797842E-2</v>
      </c>
      <c r="R1492" s="85">
        <v>2.5684755437556106E-2</v>
      </c>
    </row>
    <row r="1493" spans="14:18" x14ac:dyDescent="0.2">
      <c r="N1493" s="88" t="str">
        <f t="shared" ref="N1493:N1556" si="29">N1492</f>
        <v>1w</v>
      </c>
      <c r="O1493" s="82">
        <f>_xll.qlCalendarAdvance(Calendar,O1492,N1493,"f",FALSE)</f>
        <v>49754</v>
      </c>
      <c r="P1493" s="92">
        <f>_xll.qlCalendarAdvance(Calendar,O1493,NDays&amp;"D")</f>
        <v>49758</v>
      </c>
      <c r="Q1493" s="81">
        <v>2.5687562232200555E-2</v>
      </c>
      <c r="R1493" s="85">
        <v>2.5676144132367185E-2</v>
      </c>
    </row>
    <row r="1494" spans="14:18" x14ac:dyDescent="0.2">
      <c r="N1494" s="88" t="str">
        <f t="shared" si="29"/>
        <v>1w</v>
      </c>
      <c r="O1494" s="82">
        <f>_xll.qlCalendarAdvance(Calendar,O1493,N1494,"f",FALSE)</f>
        <v>49761</v>
      </c>
      <c r="P1494" s="92">
        <f>_xll.qlCalendarAdvance(Calendar,O1494,NDays&amp;"D")</f>
        <v>49765</v>
      </c>
      <c r="Q1494" s="81">
        <v>2.5678601496490039E-2</v>
      </c>
      <c r="R1494" s="85">
        <v>2.5667520307033342E-2</v>
      </c>
    </row>
    <row r="1495" spans="14:18" x14ac:dyDescent="0.2">
      <c r="N1495" s="88" t="str">
        <f t="shared" si="29"/>
        <v>1w</v>
      </c>
      <c r="O1495" s="82">
        <f>_xll.qlCalendarAdvance(Calendar,O1494,N1495,"f",FALSE)</f>
        <v>49768</v>
      </c>
      <c r="P1495" s="92">
        <f>_xll.qlCalendarAdvance(Calendar,O1495,NDays&amp;"D")</f>
        <v>49772</v>
      </c>
      <c r="Q1495" s="81">
        <v>2.5669924886584816E-2</v>
      </c>
      <c r="R1495" s="85">
        <v>2.5658883961714452E-2</v>
      </c>
    </row>
    <row r="1496" spans="14:18" x14ac:dyDescent="0.2">
      <c r="N1496" s="88" t="str">
        <f t="shared" si="29"/>
        <v>1w</v>
      </c>
      <c r="O1496" s="82">
        <f>_xll.qlCalendarAdvance(Calendar,O1495,N1496,"f",FALSE)</f>
        <v>49775</v>
      </c>
      <c r="P1496" s="92">
        <f>_xll.qlCalendarAdvance(Calendar,O1496,NDays&amp;"D")</f>
        <v>49781</v>
      </c>
      <c r="Q1496" s="81">
        <v>2.5658750819334664E-2</v>
      </c>
      <c r="R1496" s="85">
        <v>2.5648351632545641E-2</v>
      </c>
    </row>
    <row r="1497" spans="14:18" x14ac:dyDescent="0.2">
      <c r="N1497" s="88" t="str">
        <f t="shared" si="29"/>
        <v>1w</v>
      </c>
      <c r="O1497" s="82">
        <f>_xll.qlCalendarAdvance(Calendar,O1496,N1497,"f",FALSE)</f>
        <v>49782</v>
      </c>
      <c r="P1497" s="92">
        <f>_xll.qlCalendarAdvance(Calendar,O1497,NDays&amp;"D")</f>
        <v>49786</v>
      </c>
      <c r="Q1497" s="81">
        <v>2.5652534047157616E-2</v>
      </c>
      <c r="R1497" s="85">
        <v>2.5641573710881715E-2</v>
      </c>
    </row>
    <row r="1498" spans="14:18" x14ac:dyDescent="0.2">
      <c r="N1498" s="88" t="str">
        <f t="shared" si="29"/>
        <v>1w</v>
      </c>
      <c r="O1498" s="82">
        <f>_xll.qlCalendarAdvance(Calendar,O1497,N1498,"f",FALSE)</f>
        <v>49789</v>
      </c>
      <c r="P1498" s="92">
        <f>_xll.qlCalendarAdvance(Calendar,O1498,NDays&amp;"D")</f>
        <v>49793</v>
      </c>
      <c r="Q1498" s="81">
        <v>2.5643819817691593E-2</v>
      </c>
      <c r="R1498" s="85">
        <v>2.5633192248797343E-2</v>
      </c>
    </row>
    <row r="1499" spans="14:18" x14ac:dyDescent="0.2">
      <c r="N1499" s="88" t="str">
        <f t="shared" si="29"/>
        <v>1w</v>
      </c>
      <c r="O1499" s="82">
        <f>_xll.qlCalendarAdvance(Calendar,O1498,N1499,"f",FALSE)</f>
        <v>49797</v>
      </c>
      <c r="P1499" s="92">
        <f>_xll.qlCalendarAdvance(Calendar,O1499,NDays&amp;"D")</f>
        <v>49801</v>
      </c>
      <c r="Q1499" s="81">
        <v>2.563413270285262E-2</v>
      </c>
      <c r="R1499" s="85">
        <v>2.5622971439878128E-2</v>
      </c>
    </row>
    <row r="1500" spans="14:18" x14ac:dyDescent="0.2">
      <c r="N1500" s="88" t="str">
        <f t="shared" si="29"/>
        <v>1w</v>
      </c>
      <c r="O1500" s="82">
        <f>_xll.qlCalendarAdvance(Calendar,O1499,N1500,"f",FALSE)</f>
        <v>49804</v>
      </c>
      <c r="P1500" s="92">
        <f>_xll.qlCalendarAdvance(Calendar,O1500,NDays&amp;"D")</f>
        <v>49808</v>
      </c>
      <c r="Q1500" s="81">
        <v>2.5625390085007468E-2</v>
      </c>
      <c r="R1500" s="85">
        <v>2.5614270705665021E-2</v>
      </c>
    </row>
    <row r="1501" spans="14:18" x14ac:dyDescent="0.2">
      <c r="N1501" s="88" t="str">
        <f t="shared" si="29"/>
        <v>1w</v>
      </c>
      <c r="O1501" s="82">
        <f>_xll.qlCalendarAdvance(Calendar,O1500,N1501,"f",FALSE)</f>
        <v>49811</v>
      </c>
      <c r="P1501" s="92">
        <f>_xll.qlCalendarAdvance(Calendar,O1501,NDays&amp;"D")</f>
        <v>49815</v>
      </c>
      <c r="Q1501" s="81">
        <v>2.5617487111119937E-2</v>
      </c>
      <c r="R1501" s="85">
        <v>2.5604886489087875E-2</v>
      </c>
    </row>
    <row r="1502" spans="14:18" x14ac:dyDescent="0.2">
      <c r="N1502" s="88" t="str">
        <f t="shared" si="29"/>
        <v>1w</v>
      </c>
      <c r="O1502" s="82">
        <f>_xll.qlCalendarAdvance(Calendar,O1501,N1502,"f",FALSE)</f>
        <v>49818</v>
      </c>
      <c r="P1502" s="92">
        <f>_xll.qlCalendarAdvance(Calendar,O1502,NDays&amp;"D")</f>
        <v>49822</v>
      </c>
      <c r="Q1502" s="81">
        <v>2.5607867228084578E-2</v>
      </c>
      <c r="R1502" s="85">
        <v>2.5596831677123788E-2</v>
      </c>
    </row>
    <row r="1503" spans="14:18" x14ac:dyDescent="0.2">
      <c r="N1503" s="88" t="str">
        <f t="shared" si="29"/>
        <v>1w</v>
      </c>
      <c r="O1503" s="82">
        <f>_xll.qlCalendarAdvance(Calendar,O1502,N1503,"f",FALSE)</f>
        <v>49825</v>
      </c>
      <c r="P1503" s="92">
        <f>_xll.qlCalendarAdvance(Calendar,O1503,NDays&amp;"D")</f>
        <v>49830</v>
      </c>
      <c r="Q1503" s="81">
        <v>2.5597550576911487E-2</v>
      </c>
      <c r="R1503" s="85">
        <v>2.5587412781833407E-2</v>
      </c>
    </row>
    <row r="1504" spans="14:18" x14ac:dyDescent="0.2">
      <c r="N1504" s="88" t="str">
        <f t="shared" si="29"/>
        <v>1w</v>
      </c>
      <c r="O1504" s="82">
        <f>_xll.qlCalendarAdvance(Calendar,O1503,N1504,"f",FALSE)</f>
        <v>49832</v>
      </c>
      <c r="P1504" s="92">
        <f>_xll.qlCalendarAdvance(Calendar,O1504,NDays&amp;"D")</f>
        <v>49836</v>
      </c>
      <c r="Q1504" s="81">
        <v>2.559001444411102E-2</v>
      </c>
      <c r="R1504" s="85">
        <v>2.5579342568482488E-2</v>
      </c>
    </row>
    <row r="1505" spans="14:18" x14ac:dyDescent="0.2">
      <c r="N1505" s="88" t="str">
        <f t="shared" si="29"/>
        <v>1w</v>
      </c>
      <c r="O1505" s="82">
        <f>_xll.qlCalendarAdvance(Calendar,O1504,N1505,"f",FALSE)</f>
        <v>49839</v>
      </c>
      <c r="P1505" s="92">
        <f>_xll.qlCalendarAdvance(Calendar,O1505,NDays&amp;"D")</f>
        <v>49843</v>
      </c>
      <c r="Q1505" s="81">
        <v>2.5581210645242436E-2</v>
      </c>
      <c r="R1505" s="85">
        <v>2.5571423710393226E-2</v>
      </c>
    </row>
    <row r="1506" spans="14:18" x14ac:dyDescent="0.2">
      <c r="N1506" s="88" t="str">
        <f t="shared" si="29"/>
        <v>1w</v>
      </c>
      <c r="O1506" s="82">
        <f>_xll.qlCalendarAdvance(Calendar,O1505,N1506,"f",FALSE)</f>
        <v>49849</v>
      </c>
      <c r="P1506" s="92">
        <f>_xll.qlCalendarAdvance(Calendar,O1506,NDays&amp;"D")</f>
        <v>49851</v>
      </c>
      <c r="Q1506" s="81">
        <v>2.5571133806199242E-2</v>
      </c>
      <c r="R1506" s="85">
        <v>2.5561108310432346E-2</v>
      </c>
    </row>
    <row r="1507" spans="14:18" x14ac:dyDescent="0.2">
      <c r="N1507" s="88" t="str">
        <f t="shared" si="29"/>
        <v>1w</v>
      </c>
      <c r="O1507" s="82">
        <f>_xll.qlCalendarAdvance(Calendar,O1506,N1507,"f",FALSE)</f>
        <v>49856</v>
      </c>
      <c r="P1507" s="92">
        <f>_xll.qlCalendarAdvance(Calendar,O1507,NDays&amp;"D")</f>
        <v>49858</v>
      </c>
      <c r="Q1507" s="81">
        <v>2.55631276916885E-2</v>
      </c>
      <c r="R1507" s="85">
        <v>2.5552315110504153E-2</v>
      </c>
    </row>
    <row r="1508" spans="14:18" x14ac:dyDescent="0.2">
      <c r="N1508" s="88" t="str">
        <f t="shared" si="29"/>
        <v>1w</v>
      </c>
      <c r="O1508" s="82">
        <f>_xll.qlCalendarAdvance(Calendar,O1507,N1508,"f",FALSE)</f>
        <v>49863</v>
      </c>
      <c r="P1508" s="92">
        <f>_xll.qlCalendarAdvance(Calendar,O1508,NDays&amp;"D")</f>
        <v>49865</v>
      </c>
      <c r="Q1508" s="81">
        <v>2.5554279913604979E-2</v>
      </c>
      <c r="R1508" s="85">
        <v>2.5543509389178709E-2</v>
      </c>
    </row>
    <row r="1509" spans="14:18" x14ac:dyDescent="0.2">
      <c r="N1509" s="88" t="str">
        <f t="shared" si="29"/>
        <v>1w</v>
      </c>
      <c r="O1509" s="82">
        <f>_xll.qlCalendarAdvance(Calendar,O1508,N1509,"f",FALSE)</f>
        <v>49870</v>
      </c>
      <c r="P1509" s="92">
        <f>_xll.qlCalendarAdvance(Calendar,O1509,NDays&amp;"D")</f>
        <v>49872</v>
      </c>
      <c r="Q1509" s="81">
        <v>2.5545419593997275E-2</v>
      </c>
      <c r="R1509" s="85">
        <v>2.5534691146509303E-2</v>
      </c>
    </row>
    <row r="1510" spans="14:18" x14ac:dyDescent="0.2">
      <c r="N1510" s="88" t="str">
        <f t="shared" si="29"/>
        <v>1w</v>
      </c>
      <c r="O1510" s="82">
        <f>_xll.qlCalendarAdvance(Calendar,O1509,N1510,"f",FALSE)</f>
        <v>49877</v>
      </c>
      <c r="P1510" s="92">
        <f>_xll.qlCalendarAdvance(Calendar,O1510,NDays&amp;"D")</f>
        <v>49879</v>
      </c>
      <c r="Q1510" s="81">
        <v>2.5536546732889614E-2</v>
      </c>
      <c r="R1510" s="85">
        <v>2.5525860382389354E-2</v>
      </c>
    </row>
    <row r="1511" spans="14:18" x14ac:dyDescent="0.2">
      <c r="N1511" s="88" t="str">
        <f t="shared" si="29"/>
        <v>1w</v>
      </c>
      <c r="O1511" s="82">
        <f>_xll.qlCalendarAdvance(Calendar,O1510,N1511,"f",FALSE)</f>
        <v>49884</v>
      </c>
      <c r="P1511" s="92">
        <f>_xll.qlCalendarAdvance(Calendar,O1511,NDays&amp;"D")</f>
        <v>49886</v>
      </c>
      <c r="Q1511" s="81">
        <v>2.5526855063923826E-2</v>
      </c>
      <c r="R1511" s="85">
        <v>2.5517017096952088E-2</v>
      </c>
    </row>
    <row r="1512" spans="14:18" x14ac:dyDescent="0.2">
      <c r="N1512" s="88" t="str">
        <f t="shared" si="29"/>
        <v>1w</v>
      </c>
      <c r="O1512" s="82">
        <f>_xll.qlCalendarAdvance(Calendar,O1511,N1512,"f",FALSE)</f>
        <v>49891</v>
      </c>
      <c r="P1512" s="92">
        <f>_xll.qlCalendarAdvance(Calendar,O1512,NDays&amp;"D")</f>
        <v>49893</v>
      </c>
      <c r="Q1512" s="81">
        <v>2.5518763386307635E-2</v>
      </c>
      <c r="R1512" s="85">
        <v>2.550816129006428E-2</v>
      </c>
    </row>
    <row r="1513" spans="14:18" x14ac:dyDescent="0.2">
      <c r="N1513" s="88" t="str">
        <f t="shared" si="29"/>
        <v>1w</v>
      </c>
      <c r="O1513" s="82">
        <f>_xll.qlCalendarAdvance(Calendar,O1512,N1513,"f",FALSE)</f>
        <v>49898</v>
      </c>
      <c r="P1513" s="92">
        <f>_xll.qlCalendarAdvance(Calendar,O1513,NDays&amp;"D")</f>
        <v>49900</v>
      </c>
      <c r="Q1513" s="81">
        <v>2.5509852900891455E-2</v>
      </c>
      <c r="R1513" s="85">
        <v>2.5499292961859155E-2</v>
      </c>
    </row>
    <row r="1514" spans="14:18" x14ac:dyDescent="0.2">
      <c r="N1514" s="88" t="str">
        <f t="shared" si="29"/>
        <v>1w</v>
      </c>
      <c r="O1514" s="82">
        <f>_xll.qlCalendarAdvance(Calendar,O1513,N1514,"f",FALSE)</f>
        <v>49905</v>
      </c>
      <c r="P1514" s="92">
        <f>_xll.qlCalendarAdvance(Calendar,O1514,NDays&amp;"D")</f>
        <v>49907</v>
      </c>
      <c r="Q1514" s="81">
        <v>2.5500929874106119E-2</v>
      </c>
      <c r="R1514" s="85">
        <v>2.5490412112256777E-2</v>
      </c>
    </row>
    <row r="1515" spans="14:18" x14ac:dyDescent="0.2">
      <c r="N1515" s="88" t="str">
        <f t="shared" si="29"/>
        <v>1w</v>
      </c>
      <c r="O1515" s="82">
        <f>_xll.qlCalendarAdvance(Calendar,O1514,N1515,"f",FALSE)</f>
        <v>49912</v>
      </c>
      <c r="P1515" s="92">
        <f>_xll.qlCalendarAdvance(Calendar,O1515,NDays&amp;"D")</f>
        <v>49914</v>
      </c>
      <c r="Q1515" s="81">
        <v>2.5491994305971006E-2</v>
      </c>
      <c r="R1515" s="85">
        <v>2.5481518741283793E-2</v>
      </c>
    </row>
    <row r="1516" spans="14:18" x14ac:dyDescent="0.2">
      <c r="N1516" s="88" t="str">
        <f t="shared" si="29"/>
        <v>1w</v>
      </c>
      <c r="O1516" s="82">
        <f>_xll.qlCalendarAdvance(Calendar,O1515,N1516,"f",FALSE)</f>
        <v>49919</v>
      </c>
      <c r="P1516" s="92">
        <f>_xll.qlCalendarAdvance(Calendar,O1516,NDays&amp;"D")</f>
        <v>49921</v>
      </c>
      <c r="Q1516" s="81">
        <v>2.5482262835787139E-2</v>
      </c>
      <c r="R1516" s="85">
        <v>2.5472612848940202E-2</v>
      </c>
    </row>
    <row r="1517" spans="14:18" x14ac:dyDescent="0.2">
      <c r="N1517" s="88" t="str">
        <f t="shared" si="29"/>
        <v>1w</v>
      </c>
      <c r="O1517" s="82">
        <f>_xll.qlCalendarAdvance(Calendar,O1516,N1517,"f",FALSE)</f>
        <v>49926</v>
      </c>
      <c r="P1517" s="92">
        <f>_xll.qlCalendarAdvance(Calendar,O1517,NDays&amp;"D")</f>
        <v>49928</v>
      </c>
      <c r="Q1517" s="81">
        <v>2.5473306772165749E-2</v>
      </c>
      <c r="R1517" s="85">
        <v>2.5463694435199358E-2</v>
      </c>
    </row>
    <row r="1518" spans="14:18" x14ac:dyDescent="0.2">
      <c r="N1518" s="88" t="str">
        <f t="shared" si="29"/>
        <v>1w</v>
      </c>
      <c r="O1518" s="82">
        <f>_xll.qlCalendarAdvance(Calendar,O1517,N1518,"f",FALSE)</f>
        <v>49933</v>
      </c>
      <c r="P1518" s="92">
        <f>_xll.qlCalendarAdvance(Calendar,O1518,NDays&amp;"D")</f>
        <v>49935</v>
      </c>
      <c r="Q1518" s="81">
        <v>2.5464338169273404E-2</v>
      </c>
      <c r="R1518" s="85">
        <v>2.5454763500141198E-2</v>
      </c>
    </row>
    <row r="1519" spans="14:18" x14ac:dyDescent="0.2">
      <c r="N1519" s="88" t="str">
        <f t="shared" si="29"/>
        <v>1w</v>
      </c>
      <c r="O1519" s="82">
        <f>_xll.qlCalendarAdvance(Calendar,O1518,N1519,"f",FALSE)</f>
        <v>49940</v>
      </c>
      <c r="P1519" s="92">
        <f>_xll.qlCalendarAdvance(Calendar,O1519,NDays&amp;"D")</f>
        <v>49942</v>
      </c>
      <c r="Q1519" s="81">
        <v>2.5455357027144743E-2</v>
      </c>
      <c r="R1519" s="85">
        <v>2.544582004371243E-2</v>
      </c>
    </row>
    <row r="1520" spans="14:18" x14ac:dyDescent="0.2">
      <c r="N1520" s="88" t="str">
        <f t="shared" si="29"/>
        <v>1w</v>
      </c>
      <c r="O1520" s="82">
        <f>_xll.qlCalendarAdvance(Calendar,O1519,N1520,"f",FALSE)</f>
        <v>49947</v>
      </c>
      <c r="P1520" s="92">
        <f>_xll.qlCalendarAdvance(Calendar,O1520,NDays&amp;"D")</f>
        <v>49949</v>
      </c>
      <c r="Q1520" s="81">
        <v>2.5447128346223608E-2</v>
      </c>
      <c r="R1520" s="85">
        <v>2.5436864065886411E-2</v>
      </c>
    </row>
    <row r="1521" spans="14:18" x14ac:dyDescent="0.2">
      <c r="N1521" s="88" t="str">
        <f t="shared" si="29"/>
        <v>1w</v>
      </c>
      <c r="O1521" s="82">
        <f>_xll.qlCalendarAdvance(Calendar,O1520,N1521,"f",FALSE)</f>
        <v>49954</v>
      </c>
      <c r="P1521" s="92">
        <f>_xll.qlCalendarAdvance(Calendar,O1521,NDays&amp;"D")</f>
        <v>49956</v>
      </c>
      <c r="Q1521" s="81">
        <v>2.5438117530677769E-2</v>
      </c>
      <c r="R1521" s="85">
        <v>2.542789556676972E-2</v>
      </c>
    </row>
    <row r="1522" spans="14:18" x14ac:dyDescent="0.2">
      <c r="N1522" s="88" t="str">
        <f t="shared" si="29"/>
        <v>1w</v>
      </c>
      <c r="O1522" s="82">
        <f>_xll.qlCalendarAdvance(Calendar,O1521,N1522,"f",FALSE)</f>
        <v>49961</v>
      </c>
      <c r="P1522" s="92">
        <f>_xll.qlCalendarAdvance(Calendar,O1522,NDays&amp;"D")</f>
        <v>49963</v>
      </c>
      <c r="Q1522" s="81">
        <v>2.5429094173997739E-2</v>
      </c>
      <c r="R1522" s="85">
        <v>2.5418914546255778E-2</v>
      </c>
    </row>
    <row r="1523" spans="14:18" x14ac:dyDescent="0.2">
      <c r="N1523" s="88" t="str">
        <f t="shared" si="29"/>
        <v>1w</v>
      </c>
      <c r="O1523" s="82">
        <f>_xll.qlCalendarAdvance(Calendar,O1522,N1523,"f",FALSE)</f>
        <v>49968</v>
      </c>
      <c r="P1523" s="92">
        <f>_xll.qlCalendarAdvance(Calendar,O1523,NDays&amp;"D")</f>
        <v>49970</v>
      </c>
      <c r="Q1523" s="81">
        <v>2.5420058276227116E-2</v>
      </c>
      <c r="R1523" s="85">
        <v>2.5409921004424518E-2</v>
      </c>
    </row>
    <row r="1524" spans="14:18" x14ac:dyDescent="0.2">
      <c r="N1524" s="88" t="str">
        <f t="shared" si="29"/>
        <v>1w</v>
      </c>
      <c r="O1524" s="82">
        <f>_xll.qlCalendarAdvance(Calendar,O1523,N1524,"f",FALSE)</f>
        <v>49975</v>
      </c>
      <c r="P1524" s="92">
        <f>_xll.qlCalendarAdvance(Calendar,O1524,NDays&amp;"D")</f>
        <v>49977</v>
      </c>
      <c r="Q1524" s="81">
        <v>2.5410263228897279E-2</v>
      </c>
      <c r="R1524" s="85">
        <v>2.5400914941196007E-2</v>
      </c>
    </row>
    <row r="1525" spans="14:18" x14ac:dyDescent="0.2">
      <c r="N1525" s="88" t="str">
        <f t="shared" si="29"/>
        <v>1w</v>
      </c>
      <c r="O1525" s="82">
        <f>_xll.qlCalendarAdvance(Calendar,O1524,N1525,"f",FALSE)</f>
        <v>49982</v>
      </c>
      <c r="P1525" s="92">
        <f>_xll.qlCalendarAdvance(Calendar,O1525,NDays&amp;"D")</f>
        <v>49984</v>
      </c>
      <c r="Q1525" s="81">
        <v>2.5401206851923597E-2</v>
      </c>
      <c r="R1525" s="85">
        <v>2.5391896356650179E-2</v>
      </c>
    </row>
    <row r="1526" spans="14:18" x14ac:dyDescent="0.2">
      <c r="N1526" s="88" t="str">
        <f t="shared" si="29"/>
        <v>1w</v>
      </c>
      <c r="O1526" s="82">
        <f>_xll.qlCalendarAdvance(Calendar,O1525,N1526,"f",FALSE)</f>
        <v>49989</v>
      </c>
      <c r="P1526" s="92">
        <f>_xll.qlCalendarAdvance(Calendar,O1526,NDays&amp;"D")</f>
        <v>49991</v>
      </c>
      <c r="Q1526" s="81">
        <v>2.5392137935913439E-2</v>
      </c>
      <c r="R1526" s="85">
        <v>2.5382865250787034E-2</v>
      </c>
    </row>
    <row r="1527" spans="14:18" x14ac:dyDescent="0.2">
      <c r="N1527" s="88" t="str">
        <f t="shared" si="29"/>
        <v>1w</v>
      </c>
      <c r="O1527" s="82">
        <f>_xll.qlCalendarAdvance(Calendar,O1526,N1527,"f",FALSE)</f>
        <v>49996</v>
      </c>
      <c r="P1527" s="92">
        <f>_xll.qlCalendarAdvance(Calendar,O1527,NDays&amp;"D")</f>
        <v>49998</v>
      </c>
      <c r="Q1527" s="81">
        <v>2.5383056480885458E-2</v>
      </c>
      <c r="R1527" s="85">
        <v>2.5373821623553283E-2</v>
      </c>
    </row>
    <row r="1528" spans="14:18" x14ac:dyDescent="0.2">
      <c r="N1528" s="88" t="str">
        <f t="shared" si="29"/>
        <v>1w</v>
      </c>
      <c r="O1528" s="82">
        <f>_xll.qlCalendarAdvance(Calendar,O1527,N1528,"f",FALSE)</f>
        <v>50003</v>
      </c>
      <c r="P1528" s="92">
        <f>_xll.qlCalendarAdvance(Calendar,O1528,NDays&amp;"D")</f>
        <v>50005</v>
      </c>
      <c r="Q1528" s="81">
        <v>2.5374690672001037E-2</v>
      </c>
      <c r="R1528" s="85">
        <v>2.536476547497557E-2</v>
      </c>
    </row>
    <row r="1529" spans="14:18" x14ac:dyDescent="0.2">
      <c r="N1529" s="88" t="str">
        <f t="shared" si="29"/>
        <v>1w</v>
      </c>
      <c r="O1529" s="82">
        <f>_xll.qlCalendarAdvance(Calendar,O1528,N1529,"f",FALSE)</f>
        <v>50010</v>
      </c>
      <c r="P1529" s="92">
        <f>_xll.qlCalendarAdvance(Calendar,O1529,NDays&amp;"D")</f>
        <v>50012</v>
      </c>
      <c r="Q1529" s="81">
        <v>2.5365579528297294E-2</v>
      </c>
      <c r="R1529" s="85">
        <v>2.5355696805107186E-2</v>
      </c>
    </row>
    <row r="1530" spans="14:18" x14ac:dyDescent="0.2">
      <c r="N1530" s="88" t="str">
        <f t="shared" si="29"/>
        <v>1w</v>
      </c>
      <c r="O1530" s="82">
        <f>_xll.qlCalendarAdvance(Calendar,O1529,N1530,"f",FALSE)</f>
        <v>50017</v>
      </c>
      <c r="P1530" s="92">
        <f>_xll.qlCalendarAdvance(Calendar,O1530,NDays&amp;"D")</f>
        <v>50019</v>
      </c>
      <c r="Q1530" s="81">
        <v>2.535645584372339E-2</v>
      </c>
      <c r="R1530" s="85">
        <v>2.5346615613868195E-2</v>
      </c>
    </row>
    <row r="1531" spans="14:18" x14ac:dyDescent="0.2">
      <c r="N1531" s="88" t="str">
        <f t="shared" si="29"/>
        <v>1w</v>
      </c>
      <c r="O1531" s="82">
        <f>_xll.qlCalendarAdvance(Calendar,O1530,N1531,"f",FALSE)</f>
        <v>50024</v>
      </c>
      <c r="P1531" s="92">
        <f>_xll.qlCalendarAdvance(Calendar,O1531,NDays&amp;"D")</f>
        <v>50026</v>
      </c>
      <c r="Q1531" s="81">
        <v>2.5347319618301129E-2</v>
      </c>
      <c r="R1531" s="85">
        <v>2.5337521901365179E-2</v>
      </c>
    </row>
    <row r="1532" spans="14:18" x14ac:dyDescent="0.2">
      <c r="N1532" s="88" t="str">
        <f t="shared" si="29"/>
        <v>1w</v>
      </c>
      <c r="O1532" s="82">
        <f>_xll.qlCalendarAdvance(Calendar,O1531,N1532,"f",FALSE)</f>
        <v>50031</v>
      </c>
      <c r="P1532" s="92">
        <f>_xll.qlCalendarAdvance(Calendar,O1532,NDays&amp;"D")</f>
        <v>50038</v>
      </c>
      <c r="Q1532" s="81">
        <v>2.5331157522156589E-2</v>
      </c>
      <c r="R1532" s="85">
        <v>2.531929691227397E-2</v>
      </c>
    </row>
    <row r="1533" spans="14:18" x14ac:dyDescent="0.2">
      <c r="N1533" s="88" t="str">
        <f t="shared" si="29"/>
        <v>1w</v>
      </c>
      <c r="O1533" s="82">
        <f>_xll.qlCalendarAdvance(Calendar,O1532,N1533,"f",FALSE)</f>
        <v>50038</v>
      </c>
      <c r="P1533" s="92">
        <f>_xll.qlCalendarAdvance(Calendar,O1533,NDays&amp;"D")</f>
        <v>50042</v>
      </c>
      <c r="Q1533" s="81">
        <v>2.5325920666381754E-2</v>
      </c>
      <c r="R1533" s="85">
        <v>2.5312300859496872E-2</v>
      </c>
    </row>
    <row r="1534" spans="14:18" x14ac:dyDescent="0.2">
      <c r="N1534" s="88" t="str">
        <f t="shared" si="29"/>
        <v>1w</v>
      </c>
      <c r="O1534" s="82">
        <f>_xll.qlCalendarAdvance(Calendar,O1533,N1534,"f",FALSE)</f>
        <v>50045</v>
      </c>
      <c r="P1534" s="92">
        <f>_xll.qlCalendarAdvance(Calendar,O1534,NDays&amp;"D")</f>
        <v>50048</v>
      </c>
      <c r="Q1534" s="81">
        <v>2.53182909826144E-2</v>
      </c>
      <c r="R1534" s="85">
        <v>2.5305775603641223E-2</v>
      </c>
    </row>
    <row r="1535" spans="14:18" x14ac:dyDescent="0.2">
      <c r="N1535" s="88" t="str">
        <f t="shared" si="29"/>
        <v>1w</v>
      </c>
      <c r="O1535" s="82">
        <f>_xll.qlCalendarAdvance(Calendar,O1534,N1535,"f",FALSE)</f>
        <v>50052</v>
      </c>
      <c r="P1535" s="92">
        <f>_xll.qlCalendarAdvance(Calendar,O1535,NDays&amp;"D")</f>
        <v>50054</v>
      </c>
      <c r="Q1535" s="81">
        <v>2.5310649308770392E-2</v>
      </c>
      <c r="R1535" s="85">
        <v>2.5301021837940141E-2</v>
      </c>
    </row>
    <row r="1536" spans="14:18" x14ac:dyDescent="0.2">
      <c r="N1536" s="88" t="str">
        <f t="shared" si="29"/>
        <v>1w</v>
      </c>
      <c r="O1536" s="82">
        <f>_xll.qlCalendarAdvance(Calendar,O1535,N1536,"f",FALSE)</f>
        <v>50059</v>
      </c>
      <c r="P1536" s="92">
        <f>_xll.qlCalendarAdvance(Calendar,O1536,NDays&amp;"D")</f>
        <v>50061</v>
      </c>
      <c r="Q1536" s="81">
        <v>2.5301450379588371E-2</v>
      </c>
      <c r="R1536" s="85">
        <v>2.5291865518823897E-2</v>
      </c>
    </row>
    <row r="1537" spans="14:18" x14ac:dyDescent="0.2">
      <c r="N1537" s="88" t="str">
        <f t="shared" si="29"/>
        <v>1w</v>
      </c>
      <c r="O1537" s="82">
        <f>_xll.qlCalendarAdvance(Calendar,O1536,N1537,"f",FALSE)</f>
        <v>50066</v>
      </c>
      <c r="P1537" s="92">
        <f>_xll.qlCalendarAdvance(Calendar,O1537,NDays&amp;"D")</f>
        <v>50068</v>
      </c>
      <c r="Q1537" s="81">
        <v>2.5291552291188069E-2</v>
      </c>
      <c r="R1537" s="85">
        <v>2.5282696678363692E-2</v>
      </c>
    </row>
    <row r="1538" spans="14:18" x14ac:dyDescent="0.2">
      <c r="N1538" s="88" t="str">
        <f t="shared" si="29"/>
        <v>1w</v>
      </c>
      <c r="O1538" s="82">
        <f>_xll.qlCalendarAdvance(Calendar,O1537,N1538,"f",FALSE)</f>
        <v>50073</v>
      </c>
      <c r="P1538" s="92">
        <f>_xll.qlCalendarAdvance(Calendar,O1538,NDays&amp;"D")</f>
        <v>50075</v>
      </c>
      <c r="Q1538" s="81">
        <v>2.5281877566817483E-2</v>
      </c>
      <c r="R1538" s="85">
        <v>2.5273515316612816E-2</v>
      </c>
    </row>
    <row r="1539" spans="14:18" x14ac:dyDescent="0.2">
      <c r="N1539" s="88" t="str">
        <f t="shared" si="29"/>
        <v>1w</v>
      </c>
      <c r="O1539" s="82">
        <f>_xll.qlCalendarAdvance(Calendar,O1538,N1539,"f",FALSE)</f>
        <v>50080</v>
      </c>
      <c r="P1539" s="92">
        <f>_xll.qlCalendarAdvance(Calendar,O1539,NDays&amp;"D")</f>
        <v>50082</v>
      </c>
      <c r="Q1539" s="81">
        <v>2.5272648731915481E-2</v>
      </c>
      <c r="R1539" s="85">
        <v>2.5264321433544623E-2</v>
      </c>
    </row>
    <row r="1540" spans="14:18" x14ac:dyDescent="0.2">
      <c r="N1540" s="88" t="str">
        <f t="shared" si="29"/>
        <v>1w</v>
      </c>
      <c r="O1540" s="82">
        <f>_xll.qlCalendarAdvance(Calendar,O1539,N1540,"f",FALSE)</f>
        <v>50087</v>
      </c>
      <c r="P1540" s="92">
        <f>_xll.qlCalendarAdvance(Calendar,O1540,NDays&amp;"D")</f>
        <v>50089</v>
      </c>
      <c r="Q1540" s="81">
        <v>2.5263407359656612E-2</v>
      </c>
      <c r="R1540" s="85">
        <v>2.525511502918576E-2</v>
      </c>
    </row>
    <row r="1541" spans="14:18" x14ac:dyDescent="0.2">
      <c r="N1541" s="88" t="str">
        <f t="shared" si="29"/>
        <v>1w</v>
      </c>
      <c r="O1541" s="82">
        <f>_xll.qlCalendarAdvance(Calendar,O1540,N1541,"f",FALSE)</f>
        <v>50094</v>
      </c>
      <c r="P1541" s="92">
        <f>_xll.qlCalendarAdvance(Calendar,O1541,NDays&amp;"D")</f>
        <v>50096</v>
      </c>
      <c r="Q1541" s="81">
        <v>2.5254153450066572E-2</v>
      </c>
      <c r="R1541" s="85">
        <v>2.5245896103536225E-2</v>
      </c>
    </row>
    <row r="1542" spans="14:18" x14ac:dyDescent="0.2">
      <c r="N1542" s="88" t="str">
        <f t="shared" si="29"/>
        <v>1w</v>
      </c>
      <c r="O1542" s="82">
        <f>_xll.qlCalendarAdvance(Calendar,O1541,N1542,"f",FALSE)</f>
        <v>50101</v>
      </c>
      <c r="P1542" s="92">
        <f>_xll.qlCalendarAdvance(Calendar,O1542,NDays&amp;"D")</f>
        <v>50103</v>
      </c>
      <c r="Q1542" s="81">
        <v>2.5246214330685173E-2</v>
      </c>
      <c r="R1542" s="85">
        <v>2.5236664656569374E-2</v>
      </c>
    </row>
    <row r="1543" spans="14:18" x14ac:dyDescent="0.2">
      <c r="N1543" s="88" t="str">
        <f t="shared" si="29"/>
        <v>1w</v>
      </c>
      <c r="O1543" s="82">
        <f>_xll.qlCalendarAdvance(Calendar,O1542,N1543,"f",FALSE)</f>
        <v>50108</v>
      </c>
      <c r="P1543" s="92">
        <f>_xll.qlCalendarAdvance(Calendar,O1543,NDays&amp;"D")</f>
        <v>50110</v>
      </c>
      <c r="Q1543" s="81">
        <v>2.5236706738676871E-2</v>
      </c>
      <c r="R1543" s="85">
        <v>2.5227420688338498E-2</v>
      </c>
    </row>
    <row r="1544" spans="14:18" x14ac:dyDescent="0.2">
      <c r="N1544" s="88" t="str">
        <f t="shared" si="29"/>
        <v>1w</v>
      </c>
      <c r="O1544" s="82">
        <f>_xll.qlCalendarAdvance(Calendar,O1543,N1544,"f",FALSE)</f>
        <v>50115</v>
      </c>
      <c r="P1544" s="92">
        <f>_xll.qlCalendarAdvance(Calendar,O1544,NDays&amp;"D")</f>
        <v>50117</v>
      </c>
      <c r="Q1544" s="81">
        <v>2.522740748512543E-2</v>
      </c>
      <c r="R1544" s="85">
        <v>2.5218164198790305E-2</v>
      </c>
    </row>
    <row r="1545" spans="14:18" x14ac:dyDescent="0.2">
      <c r="N1545" s="88" t="str">
        <f t="shared" si="29"/>
        <v>1w</v>
      </c>
      <c r="O1545" s="82">
        <f>_xll.qlCalendarAdvance(Calendar,O1544,N1545,"f",FALSE)</f>
        <v>50122</v>
      </c>
      <c r="P1545" s="92">
        <f>_xll.qlCalendarAdvance(Calendar,O1545,NDays&amp;"D")</f>
        <v>50124</v>
      </c>
      <c r="Q1545" s="81">
        <v>2.5218095691168913E-2</v>
      </c>
      <c r="R1545" s="85">
        <v>2.5208895187978086E-2</v>
      </c>
    </row>
    <row r="1546" spans="14:18" x14ac:dyDescent="0.2">
      <c r="N1546" s="88" t="str">
        <f t="shared" si="29"/>
        <v>1w</v>
      </c>
      <c r="O1546" s="82">
        <f>_xll.qlCalendarAdvance(Calendar,O1545,N1546,"f",FALSE)</f>
        <v>50129</v>
      </c>
      <c r="P1546" s="92">
        <f>_xll.qlCalendarAdvance(Calendar,O1546,NDays&amp;"D")</f>
        <v>50131</v>
      </c>
      <c r="Q1546" s="81">
        <v>2.5208771356846075E-2</v>
      </c>
      <c r="R1546" s="85">
        <v>2.519386892563702E-2</v>
      </c>
    </row>
    <row r="1547" spans="14:18" x14ac:dyDescent="0.2">
      <c r="N1547" s="88" t="str">
        <f t="shared" si="29"/>
        <v>1w</v>
      </c>
      <c r="O1547" s="82">
        <f>_xll.qlCalendarAdvance(Calendar,O1546,N1547,"f",FALSE)</f>
        <v>50137</v>
      </c>
      <c r="P1547" s="92">
        <f>_xll.qlCalendarAdvance(Calendar,O1547,NDays&amp;"D")</f>
        <v>50139</v>
      </c>
      <c r="Q1547" s="81">
        <v>2.5197886561326155E-2</v>
      </c>
      <c r="R1547" s="85">
        <v>2.5185899876376538E-2</v>
      </c>
    </row>
    <row r="1548" spans="14:18" x14ac:dyDescent="0.2">
      <c r="N1548" s="88" t="str">
        <f t="shared" si="29"/>
        <v>1w</v>
      </c>
      <c r="O1548" s="82">
        <f>_xll.qlCalendarAdvance(Calendar,O1547,N1548,"f",FALSE)</f>
        <v>50144</v>
      </c>
      <c r="P1548" s="92">
        <f>_xll.qlCalendarAdvance(Calendar,O1548,NDays&amp;"D")</f>
        <v>50146</v>
      </c>
      <c r="Q1548" s="81">
        <v>2.5188536904215131E-2</v>
      </c>
      <c r="R1548" s="85">
        <v>2.5176591026525585E-2</v>
      </c>
    </row>
    <row r="1549" spans="14:18" x14ac:dyDescent="0.2">
      <c r="N1549" s="88" t="str">
        <f t="shared" si="29"/>
        <v>1w</v>
      </c>
      <c r="O1549" s="82">
        <f>_xll.qlCalendarAdvance(Calendar,O1548,N1549,"f",FALSE)</f>
        <v>50151</v>
      </c>
      <c r="P1549" s="92">
        <f>_xll.qlCalendarAdvance(Calendar,O1549,NDays&amp;"D")</f>
        <v>50153</v>
      </c>
      <c r="Q1549" s="81">
        <v>2.5179384666099806E-2</v>
      </c>
      <c r="R1549" s="85">
        <v>2.5167269656689584E-2</v>
      </c>
    </row>
    <row r="1550" spans="14:18" x14ac:dyDescent="0.2">
      <c r="N1550" s="88" t="str">
        <f t="shared" si="29"/>
        <v>1w</v>
      </c>
      <c r="O1550" s="82">
        <f>_xll.qlCalendarAdvance(Calendar,O1549,N1550,"f",FALSE)</f>
        <v>50158</v>
      </c>
      <c r="P1550" s="92">
        <f>_xll.qlCalendarAdvance(Calendar,O1550,NDays&amp;"D")</f>
        <v>50160</v>
      </c>
      <c r="Q1550" s="81">
        <v>2.5169173918673543E-2</v>
      </c>
      <c r="R1550" s="85">
        <v>2.5156601331906003E-2</v>
      </c>
    </row>
    <row r="1551" spans="14:18" x14ac:dyDescent="0.2">
      <c r="N1551" s="88" t="str">
        <f t="shared" si="29"/>
        <v>1w</v>
      </c>
      <c r="O1551" s="82">
        <f>_xll.qlCalendarAdvance(Calendar,O1550,N1551,"f",FALSE)</f>
        <v>50165</v>
      </c>
      <c r="P1551" s="92">
        <f>_xll.qlCalendarAdvance(Calendar,O1551,NDays&amp;"D")</f>
        <v>50167</v>
      </c>
      <c r="Q1551" s="81">
        <v>2.5160412695173495E-2</v>
      </c>
      <c r="R1551" s="85">
        <v>2.5148589356902562E-2</v>
      </c>
    </row>
    <row r="1552" spans="14:18" x14ac:dyDescent="0.2">
      <c r="N1552" s="88" t="str">
        <f t="shared" si="29"/>
        <v>1w</v>
      </c>
      <c r="O1552" s="82">
        <f>_xll.qlCalendarAdvance(Calendar,O1551,N1552,"f",FALSE)</f>
        <v>50172</v>
      </c>
      <c r="P1552" s="92">
        <f>_xll.qlCalendarAdvance(Calendar,O1552,NDays&amp;"D")</f>
        <v>50175</v>
      </c>
      <c r="Q1552" s="81">
        <v>2.5149463803680775E-2</v>
      </c>
      <c r="R1552" s="85">
        <v>2.5137892415010299E-2</v>
      </c>
    </row>
    <row r="1553" spans="14:18" x14ac:dyDescent="0.2">
      <c r="N1553" s="88" t="str">
        <f t="shared" si="29"/>
        <v>1w</v>
      </c>
      <c r="O1553" s="82">
        <f>_xll.qlCalendarAdvance(Calendar,O1552,N1553,"f",FALSE)</f>
        <v>50179</v>
      </c>
      <c r="P1553" s="92">
        <f>_xll.qlCalendarAdvance(Calendar,O1553,NDays&amp;"D")</f>
        <v>50181</v>
      </c>
      <c r="Q1553" s="81">
        <v>2.5141600524704599E-2</v>
      </c>
      <c r="R1553" s="85">
        <v>2.512851917666481E-2</v>
      </c>
    </row>
    <row r="1554" spans="14:18" x14ac:dyDescent="0.2">
      <c r="N1554" s="88" t="str">
        <f t="shared" si="29"/>
        <v>1w</v>
      </c>
      <c r="O1554" s="82">
        <f>_xll.qlCalendarAdvance(Calendar,O1553,N1554,"f",FALSE)</f>
        <v>50186</v>
      </c>
      <c r="P1554" s="92">
        <f>_xll.qlCalendarAdvance(Calendar,O1554,NDays&amp;"D")</f>
        <v>50188</v>
      </c>
      <c r="Q1554" s="81">
        <v>2.5132175630234732E-2</v>
      </c>
      <c r="R1554" s="85">
        <v>2.5120475007334164E-2</v>
      </c>
    </row>
    <row r="1555" spans="14:18" x14ac:dyDescent="0.2">
      <c r="N1555" s="88" t="str">
        <f t="shared" si="29"/>
        <v>1w</v>
      </c>
      <c r="O1555" s="82">
        <f>_xll.qlCalendarAdvance(Calendar,O1554,N1555,"f",FALSE)</f>
        <v>50193</v>
      </c>
      <c r="P1555" s="92">
        <f>_xll.qlCalendarAdvance(Calendar,O1555,NDays&amp;"D")</f>
        <v>50195</v>
      </c>
      <c r="Q1555" s="81">
        <v>2.5122738196312888E-2</v>
      </c>
      <c r="R1555" s="85">
        <v>2.5111078517427998E-2</v>
      </c>
    </row>
    <row r="1556" spans="14:18" x14ac:dyDescent="0.2">
      <c r="N1556" s="88" t="str">
        <f t="shared" si="29"/>
        <v>1w</v>
      </c>
      <c r="O1556" s="82">
        <f>_xll.qlCalendarAdvance(Calendar,O1555,N1556,"f",FALSE)</f>
        <v>50200</v>
      </c>
      <c r="P1556" s="92">
        <f>_xll.qlCalendarAdvance(Calendar,O1556,NDays&amp;"D")</f>
        <v>50202</v>
      </c>
      <c r="Q1556" s="81">
        <v>2.5113288222976538E-2</v>
      </c>
      <c r="R1556" s="85">
        <v>2.510166950761672E-2</v>
      </c>
    </row>
    <row r="1557" spans="14:18" x14ac:dyDescent="0.2">
      <c r="N1557" s="88" t="str">
        <f t="shared" ref="N1557:N1620" si="30">N1556</f>
        <v>1w</v>
      </c>
      <c r="O1557" s="82">
        <f>_xll.qlCalendarAdvance(Calendar,O1556,N1557,"f",FALSE)</f>
        <v>50207</v>
      </c>
      <c r="P1557" s="92">
        <f>_xll.qlCalendarAdvance(Calendar,O1557,NDays&amp;"D")</f>
        <v>50209</v>
      </c>
      <c r="Q1557" s="81">
        <v>2.510382571025066E-2</v>
      </c>
      <c r="R1557" s="85">
        <v>2.5090901022792877E-2</v>
      </c>
    </row>
    <row r="1558" spans="14:18" x14ac:dyDescent="0.2">
      <c r="N1558" s="88" t="str">
        <f t="shared" si="30"/>
        <v>1w</v>
      </c>
      <c r="O1558" s="82">
        <f>_xll.qlCalendarAdvance(Calendar,O1557,N1558,"f",FALSE)</f>
        <v>50214</v>
      </c>
      <c r="P1558" s="92">
        <f>_xll.qlCalendarAdvance(Calendar,O1558,NDays&amp;"D")</f>
        <v>50216</v>
      </c>
      <c r="Q1558" s="81">
        <v>2.509435065816773E-2</v>
      </c>
      <c r="R1558" s="85">
        <v>2.5082813927799208E-2</v>
      </c>
    </row>
    <row r="1559" spans="14:18" x14ac:dyDescent="0.2">
      <c r="N1559" s="88" t="str">
        <f t="shared" si="30"/>
        <v>1w</v>
      </c>
      <c r="O1559" s="82">
        <f>_xll.qlCalendarAdvance(Calendar,O1558,N1559,"f",FALSE)</f>
        <v>50221</v>
      </c>
      <c r="P1559" s="92">
        <f>_xll.qlCalendarAdvance(Calendar,O1559,NDays&amp;"D")</f>
        <v>50223</v>
      </c>
      <c r="Q1559" s="81">
        <v>2.5084863066765217E-2</v>
      </c>
      <c r="R1559" s="85">
        <v>2.5073367358032783E-2</v>
      </c>
    </row>
    <row r="1560" spans="14:18" x14ac:dyDescent="0.2">
      <c r="N1560" s="88" t="str">
        <f t="shared" si="30"/>
        <v>1w</v>
      </c>
      <c r="O1560" s="82">
        <f>_xll.qlCalendarAdvance(Calendar,O1559,N1560,"f",FALSE)</f>
        <v>50228</v>
      </c>
      <c r="P1560" s="92">
        <f>_xll.qlCalendarAdvance(Calendar,O1560,NDays&amp;"D")</f>
        <v>50230</v>
      </c>
      <c r="Q1560" s="81">
        <v>2.50753629360706E-2</v>
      </c>
      <c r="R1560" s="85">
        <v>2.5063908268121438E-2</v>
      </c>
    </row>
    <row r="1561" spans="14:18" x14ac:dyDescent="0.2">
      <c r="N1561" s="88" t="str">
        <f t="shared" si="30"/>
        <v>1w</v>
      </c>
      <c r="O1561" s="82">
        <f>_xll.qlCalendarAdvance(Calendar,O1560,N1561,"f",FALSE)</f>
        <v>50235</v>
      </c>
      <c r="P1561" s="92">
        <f>_xll.qlCalendarAdvance(Calendar,O1561,NDays&amp;"D")</f>
        <v>50237</v>
      </c>
      <c r="Q1561" s="81">
        <v>2.5065850266113854E-2</v>
      </c>
      <c r="R1561" s="85">
        <v>2.5054436658304979E-2</v>
      </c>
    </row>
    <row r="1562" spans="14:18" x14ac:dyDescent="0.2">
      <c r="N1562" s="88" t="str">
        <f t="shared" si="30"/>
        <v>1w</v>
      </c>
      <c r="O1562" s="82">
        <f>_xll.qlCalendarAdvance(Calendar,O1561,N1562,"f",FALSE)</f>
        <v>50242</v>
      </c>
      <c r="P1562" s="92">
        <f>_xll.qlCalendarAdvance(Calendar,O1562,NDays&amp;"D")</f>
        <v>50244</v>
      </c>
      <c r="Q1562" s="81">
        <v>2.5056325056929951E-2</v>
      </c>
      <c r="R1562" s="85">
        <v>2.5044952528423536E-2</v>
      </c>
    </row>
    <row r="1563" spans="14:18" x14ac:dyDescent="0.2">
      <c r="N1563" s="88" t="str">
        <f t="shared" si="30"/>
        <v>1w</v>
      </c>
      <c r="O1563" s="82">
        <f>_xll.qlCalendarAdvance(Calendar,O1562,N1563,"f",FALSE)</f>
        <v>50249</v>
      </c>
      <c r="P1563" s="92">
        <f>_xll.qlCalendarAdvance(Calendar,O1563,NDays&amp;"D")</f>
        <v>50251</v>
      </c>
      <c r="Q1563" s="81">
        <v>2.5046787308548868E-2</v>
      </c>
      <c r="R1563" s="85">
        <v>2.5035455878557045E-2</v>
      </c>
    </row>
    <row r="1564" spans="14:18" x14ac:dyDescent="0.2">
      <c r="N1564" s="88" t="str">
        <f t="shared" si="30"/>
        <v>1w</v>
      </c>
      <c r="O1564" s="82">
        <f>_xll.qlCalendarAdvance(Calendar,O1563,N1564,"f",FALSE)</f>
        <v>50256</v>
      </c>
      <c r="P1564" s="92">
        <f>_xll.qlCalendarAdvance(Calendar,O1564,NDays&amp;"D")</f>
        <v>50258</v>
      </c>
      <c r="Q1564" s="81">
        <v>2.5037237021003078E-2</v>
      </c>
      <c r="R1564" s="85">
        <v>2.502594670878544E-2</v>
      </c>
    </row>
    <row r="1565" spans="14:18" x14ac:dyDescent="0.2">
      <c r="N1565" s="88" t="str">
        <f t="shared" si="30"/>
        <v>1w</v>
      </c>
      <c r="O1565" s="82">
        <f>_xll.qlCalendarAdvance(Calendar,O1564,N1565,"f",FALSE)</f>
        <v>50263</v>
      </c>
      <c r="P1565" s="92">
        <f>_xll.qlCalendarAdvance(Calendar,O1565,NDays&amp;"D")</f>
        <v>50265</v>
      </c>
      <c r="Q1565" s="81">
        <v>2.5027674194325056E-2</v>
      </c>
      <c r="R1565" s="85">
        <v>2.5016425018948851E-2</v>
      </c>
    </row>
    <row r="1566" spans="14:18" x14ac:dyDescent="0.2">
      <c r="N1566" s="88" t="str">
        <f t="shared" si="30"/>
        <v>1w</v>
      </c>
      <c r="O1566" s="82">
        <f>_xll.qlCalendarAdvance(Calendar,O1565,N1566,"f",FALSE)</f>
        <v>50270</v>
      </c>
      <c r="P1566" s="92">
        <f>_xll.qlCalendarAdvance(Calendar,O1566,NDays&amp;"D")</f>
        <v>50272</v>
      </c>
      <c r="Q1566" s="81">
        <v>2.5018098828547275E-2</v>
      </c>
      <c r="R1566" s="85">
        <v>2.500689080920715E-2</v>
      </c>
    </row>
    <row r="1567" spans="14:18" x14ac:dyDescent="0.2">
      <c r="N1567" s="88" t="str">
        <f t="shared" si="30"/>
        <v>1w</v>
      </c>
      <c r="O1567" s="82">
        <f>_xll.qlCalendarAdvance(Calendar,O1566,N1567,"f",FALSE)</f>
        <v>50277</v>
      </c>
      <c r="P1567" s="92">
        <f>_xll.qlCalendarAdvance(Calendar,O1567,NDays&amp;"D")</f>
        <v>50279</v>
      </c>
      <c r="Q1567" s="81">
        <v>2.5008510923697214E-2</v>
      </c>
      <c r="R1567" s="85">
        <v>2.4997344079320527E-2</v>
      </c>
    </row>
    <row r="1568" spans="14:18" x14ac:dyDescent="0.2">
      <c r="N1568" s="88" t="str">
        <f t="shared" si="30"/>
        <v>1w</v>
      </c>
      <c r="O1568" s="82">
        <f>_xll.qlCalendarAdvance(Calendar,O1567,N1568,"f",FALSE)</f>
        <v>50284</v>
      </c>
      <c r="P1568" s="92">
        <f>_xll.qlCalendarAdvance(Calendar,O1568,NDays&amp;"D")</f>
        <v>50286</v>
      </c>
      <c r="Q1568" s="81">
        <v>2.4998910479812342E-2</v>
      </c>
      <c r="R1568" s="85">
        <v>2.4987784829608728E-2</v>
      </c>
    </row>
    <row r="1569" spans="14:18" x14ac:dyDescent="0.2">
      <c r="N1569" s="88" t="str">
        <f t="shared" si="30"/>
        <v>1w</v>
      </c>
      <c r="O1569" s="82">
        <f>_xll.qlCalendarAdvance(Calendar,O1568,N1569,"f",FALSE)</f>
        <v>50291</v>
      </c>
      <c r="P1569" s="92">
        <f>_xll.qlCalendarAdvance(Calendar,O1569,NDays&amp;"D")</f>
        <v>50293</v>
      </c>
      <c r="Q1569" s="81">
        <v>2.4989297496922636E-2</v>
      </c>
      <c r="R1569" s="85">
        <v>2.4978213059831944E-2</v>
      </c>
    </row>
    <row r="1570" spans="14:18" x14ac:dyDescent="0.2">
      <c r="N1570" s="88" t="str">
        <f t="shared" si="30"/>
        <v>1w</v>
      </c>
      <c r="O1570" s="82">
        <f>_xll.qlCalendarAdvance(Calendar,O1569,N1570,"f",FALSE)</f>
        <v>50298</v>
      </c>
      <c r="P1570" s="92">
        <f>_xll.qlCalendarAdvance(Calendar,O1570,NDays&amp;"D")</f>
        <v>50300</v>
      </c>
      <c r="Q1570" s="81">
        <v>2.4979671975060569E-2</v>
      </c>
      <c r="R1570" s="85">
        <v>2.4968628770150048E-2</v>
      </c>
    </row>
    <row r="1571" spans="14:18" x14ac:dyDescent="0.2">
      <c r="N1571" s="88" t="str">
        <f t="shared" si="30"/>
        <v>1w</v>
      </c>
      <c r="O1571" s="82">
        <f>_xll.qlCalendarAdvance(Calendar,O1570,N1571,"f",FALSE)</f>
        <v>50305</v>
      </c>
      <c r="P1571" s="92">
        <f>_xll.qlCalendarAdvance(Calendar,O1571,NDays&amp;"D")</f>
        <v>50307</v>
      </c>
      <c r="Q1571" s="81">
        <v>2.4970033914256118E-2</v>
      </c>
      <c r="R1571" s="85">
        <v>2.4959031960403166E-2</v>
      </c>
    </row>
    <row r="1572" spans="14:18" x14ac:dyDescent="0.2">
      <c r="N1572" s="88" t="str">
        <f t="shared" si="30"/>
        <v>1w</v>
      </c>
      <c r="O1572" s="82">
        <f>_xll.qlCalendarAdvance(Calendar,O1571,N1572,"f",FALSE)</f>
        <v>50312</v>
      </c>
      <c r="P1572" s="92">
        <f>_xll.qlCalendarAdvance(Calendar,O1572,NDays&amp;"D")</f>
        <v>50314</v>
      </c>
      <c r="Q1572" s="81">
        <v>2.4960383314541756E-2</v>
      </c>
      <c r="R1572" s="85">
        <v>2.4949422630671236E-2</v>
      </c>
    </row>
    <row r="1573" spans="14:18" x14ac:dyDescent="0.2">
      <c r="N1573" s="88" t="str">
        <f t="shared" si="30"/>
        <v>1w</v>
      </c>
      <c r="O1573" s="82">
        <f>_xll.qlCalendarAdvance(Calendar,O1572,N1573,"f",FALSE)</f>
        <v>50319</v>
      </c>
      <c r="P1573" s="92">
        <f>_xll.qlCalendarAdvance(Calendar,O1573,NDays&amp;"D")</f>
        <v>50321</v>
      </c>
      <c r="Q1573" s="81">
        <v>2.4950720175954955E-2</v>
      </c>
      <c r="R1573" s="85">
        <v>2.4939800780954258E-2</v>
      </c>
    </row>
    <row r="1574" spans="14:18" x14ac:dyDescent="0.2">
      <c r="N1574" s="88" t="str">
        <f t="shared" si="30"/>
        <v>1w</v>
      </c>
      <c r="O1574" s="82">
        <f>_xll.qlCalendarAdvance(Calendar,O1573,N1574,"f",FALSE)</f>
        <v>50326</v>
      </c>
      <c r="P1574" s="92">
        <f>_xll.qlCalendarAdvance(Calendar,O1574,NDays&amp;"D")</f>
        <v>50328</v>
      </c>
      <c r="Q1574" s="81">
        <v>2.494104449852319E-2</v>
      </c>
      <c r="R1574" s="85">
        <v>2.493016641125223E-2</v>
      </c>
    </row>
    <row r="1575" spans="14:18" x14ac:dyDescent="0.2">
      <c r="N1575" s="88" t="str">
        <f t="shared" si="30"/>
        <v>1w</v>
      </c>
      <c r="O1575" s="82">
        <f>_xll.qlCalendarAdvance(Calendar,O1574,N1575,"f",FALSE)</f>
        <v>50333</v>
      </c>
      <c r="P1575" s="92">
        <f>_xll.qlCalendarAdvance(Calendar,O1575,NDays&amp;"D")</f>
        <v>50335</v>
      </c>
      <c r="Q1575" s="81">
        <v>2.4931356282278938E-2</v>
      </c>
      <c r="R1575" s="85">
        <v>2.4920519521725026E-2</v>
      </c>
    </row>
    <row r="1576" spans="14:18" x14ac:dyDescent="0.2">
      <c r="N1576" s="88" t="str">
        <f t="shared" si="30"/>
        <v>1w</v>
      </c>
      <c r="O1576" s="82">
        <f>_xll.qlCalendarAdvance(Calendar,O1575,N1576,"f",FALSE)</f>
        <v>50340</v>
      </c>
      <c r="P1576" s="92">
        <f>_xll.qlCalendarAdvance(Calendar,O1576,NDays&amp;"D")</f>
        <v>50342</v>
      </c>
      <c r="Q1576" s="81">
        <v>2.4921655527254671E-2</v>
      </c>
      <c r="R1576" s="85">
        <v>2.4910860112052902E-2</v>
      </c>
    </row>
    <row r="1577" spans="14:18" x14ac:dyDescent="0.2">
      <c r="N1577" s="88" t="str">
        <f t="shared" si="30"/>
        <v>1w</v>
      </c>
      <c r="O1577" s="82">
        <f>_xll.qlCalendarAdvance(Calendar,O1576,N1577,"f",FALSE)</f>
        <v>50347</v>
      </c>
      <c r="P1577" s="92">
        <f>_xll.qlCalendarAdvance(Calendar,O1577,NDays&amp;"D")</f>
        <v>50349</v>
      </c>
      <c r="Q1577" s="81">
        <v>2.4911942233485362E-2</v>
      </c>
      <c r="R1577" s="85">
        <v>2.4901188182475664E-2</v>
      </c>
    </row>
    <row r="1578" spans="14:18" x14ac:dyDescent="0.2">
      <c r="N1578" s="88" t="str">
        <f t="shared" si="30"/>
        <v>1w</v>
      </c>
      <c r="O1578" s="82">
        <f>_xll.qlCalendarAdvance(Calendar,O1577,N1578,"f",FALSE)</f>
        <v>50354</v>
      </c>
      <c r="P1578" s="92">
        <f>_xll.qlCalendarAdvance(Calendar,O1578,NDays&amp;"D")</f>
        <v>50356</v>
      </c>
      <c r="Q1578" s="81">
        <v>2.4902216400998489E-2</v>
      </c>
      <c r="R1578" s="85">
        <v>2.4891503732833442E-2</v>
      </c>
    </row>
    <row r="1579" spans="14:18" x14ac:dyDescent="0.2">
      <c r="N1579" s="88" t="str">
        <f t="shared" si="30"/>
        <v>1w</v>
      </c>
      <c r="O1579" s="82">
        <f>_xll.qlCalendarAdvance(Calendar,O1578,N1579,"f",FALSE)</f>
        <v>50361</v>
      </c>
      <c r="P1579" s="92">
        <f>_xll.qlCalendarAdvance(Calendar,O1579,NDays&amp;"D")</f>
        <v>50363</v>
      </c>
      <c r="Q1579" s="81">
        <v>2.4892478029831522E-2</v>
      </c>
      <c r="R1579" s="85">
        <v>2.4881806763286107E-2</v>
      </c>
    </row>
    <row r="1580" spans="14:18" x14ac:dyDescent="0.2">
      <c r="N1580" s="88" t="str">
        <f t="shared" si="30"/>
        <v>1w</v>
      </c>
      <c r="O1580" s="82">
        <f>_xll.qlCalendarAdvance(Calendar,O1579,N1580,"f",FALSE)</f>
        <v>50368</v>
      </c>
      <c r="P1580" s="92">
        <f>_xll.qlCalendarAdvance(Calendar,O1580,NDays&amp;"D")</f>
        <v>50370</v>
      </c>
      <c r="Q1580" s="81">
        <v>2.4882727120014436E-2</v>
      </c>
      <c r="R1580" s="85">
        <v>2.4872097273753724E-2</v>
      </c>
    </row>
    <row r="1581" spans="14:18" x14ac:dyDescent="0.2">
      <c r="N1581" s="88" t="str">
        <f t="shared" si="30"/>
        <v>1w</v>
      </c>
      <c r="O1581" s="82">
        <f>_xll.qlCalendarAdvance(Calendar,O1580,N1581,"f",FALSE)</f>
        <v>50375</v>
      </c>
      <c r="P1581" s="92">
        <f>_xll.qlCalendarAdvance(Calendar,O1581,NDays&amp;"D")</f>
        <v>50377</v>
      </c>
      <c r="Q1581" s="81">
        <v>2.4872963671579706E-2</v>
      </c>
      <c r="R1581" s="85">
        <v>2.4862375264236292E-2</v>
      </c>
    </row>
    <row r="1582" spans="14:18" x14ac:dyDescent="0.2">
      <c r="N1582" s="88" t="str">
        <f t="shared" si="30"/>
        <v>1w</v>
      </c>
      <c r="O1582" s="82">
        <f>_xll.qlCalendarAdvance(Calendar,O1581,N1582,"f",FALSE)</f>
        <v>50382</v>
      </c>
      <c r="P1582" s="92">
        <f>_xll.qlCalendarAdvance(Calendar,O1582,NDays&amp;"D")</f>
        <v>50384</v>
      </c>
      <c r="Q1582" s="81">
        <v>2.4863187684562305E-2</v>
      </c>
      <c r="R1582" s="85">
        <v>2.4852640734733811E-2</v>
      </c>
    </row>
    <row r="1583" spans="14:18" x14ac:dyDescent="0.2">
      <c r="N1583" s="88" t="str">
        <f t="shared" si="30"/>
        <v>1w</v>
      </c>
      <c r="O1583" s="82">
        <f>_xll.qlCalendarAdvance(Calendar,O1582,N1583,"f",FALSE)</f>
        <v>50389</v>
      </c>
      <c r="P1583" s="92">
        <f>_xll.qlCalendarAdvance(Calendar,O1583,NDays&amp;"D")</f>
        <v>50391</v>
      </c>
      <c r="Q1583" s="81">
        <v>2.4853399158992207E-2</v>
      </c>
      <c r="R1583" s="85">
        <v>2.4842893685406153E-2</v>
      </c>
    </row>
    <row r="1584" spans="14:18" x14ac:dyDescent="0.2">
      <c r="N1584" s="88" t="str">
        <f t="shared" si="30"/>
        <v>1w</v>
      </c>
      <c r="O1584" s="82">
        <f>_xll.qlCalendarAdvance(Calendar,O1583,N1584,"f",FALSE)</f>
        <v>50396</v>
      </c>
      <c r="P1584" s="92">
        <f>_xll.qlCalendarAdvance(Calendar,O1584,NDays&amp;"D")</f>
        <v>50402</v>
      </c>
      <c r="Q1584" s="81">
        <v>2.4837837292844726E-2</v>
      </c>
      <c r="R1584" s="85">
        <v>2.483097606358875E-2</v>
      </c>
    </row>
    <row r="1585" spans="14:18" x14ac:dyDescent="0.2">
      <c r="N1585" s="88" t="str">
        <f t="shared" si="30"/>
        <v>1w</v>
      </c>
      <c r="O1585" s="82">
        <f>_xll.qlCalendarAdvance(Calendar,O1584,N1585,"f",FALSE)</f>
        <v>50403</v>
      </c>
      <c r="P1585" s="92">
        <f>_xll.qlCalendarAdvance(Calendar,O1585,NDays&amp;"D")</f>
        <v>50409</v>
      </c>
      <c r="Q1585" s="81">
        <v>2.4828018097669064E-2</v>
      </c>
      <c r="R1585" s="85">
        <v>2.4819170155545578E-2</v>
      </c>
    </row>
    <row r="1586" spans="14:18" x14ac:dyDescent="0.2">
      <c r="N1586" s="88" t="str">
        <f t="shared" si="30"/>
        <v>1w</v>
      </c>
      <c r="O1586" s="82">
        <f>_xll.qlCalendarAdvance(Calendar,O1585,N1586,"f",FALSE)</f>
        <v>50410</v>
      </c>
      <c r="P1586" s="92">
        <f>_xll.qlCalendarAdvance(Calendar,O1586,NDays&amp;"D")</f>
        <v>50413</v>
      </c>
      <c r="Q1586" s="81">
        <v>2.4822401499759717E-2</v>
      </c>
      <c r="R1586" s="85">
        <v>2.4812178593736078E-2</v>
      </c>
    </row>
    <row r="1587" spans="14:18" x14ac:dyDescent="0.2">
      <c r="N1587" s="88" t="str">
        <f t="shared" si="30"/>
        <v>1w</v>
      </c>
      <c r="O1587" s="82">
        <f>_xll.qlCalendarAdvance(Calendar,O1586,N1587,"f",FALSE)</f>
        <v>50417</v>
      </c>
      <c r="P1587" s="92">
        <f>_xll.qlCalendarAdvance(Calendar,O1587,NDays&amp;"D")</f>
        <v>50419</v>
      </c>
      <c r="Q1587" s="81">
        <v>2.4814119671844326E-2</v>
      </c>
      <c r="R1587" s="85">
        <v>2.4803780287845356E-2</v>
      </c>
    </row>
    <row r="1588" spans="14:18" x14ac:dyDescent="0.2">
      <c r="N1588" s="88" t="str">
        <f t="shared" si="30"/>
        <v>1w</v>
      </c>
      <c r="O1588" s="82">
        <f>_xll.qlCalendarAdvance(Calendar,O1587,N1588,"f",FALSE)</f>
        <v>50424</v>
      </c>
      <c r="P1588" s="92">
        <f>_xll.qlCalendarAdvance(Calendar,O1588,NDays&amp;"D")</f>
        <v>50426</v>
      </c>
      <c r="Q1588" s="81">
        <v>2.4804268454002854E-2</v>
      </c>
      <c r="R1588" s="85">
        <v>2.4793970638592455E-2</v>
      </c>
    </row>
    <row r="1589" spans="14:18" x14ac:dyDescent="0.2">
      <c r="N1589" s="88" t="str">
        <f t="shared" si="30"/>
        <v>1w</v>
      </c>
      <c r="O1589" s="82">
        <f>_xll.qlCalendarAdvance(Calendar,O1588,N1589,"f",FALSE)</f>
        <v>50431</v>
      </c>
      <c r="P1589" s="92">
        <f>_xll.qlCalendarAdvance(Calendar,O1589,NDays&amp;"D")</f>
        <v>50433</v>
      </c>
      <c r="Q1589" s="81">
        <v>2.4793961476420743E-2</v>
      </c>
      <c r="R1589" s="85">
        <v>2.4784148469354506E-2</v>
      </c>
    </row>
    <row r="1590" spans="14:18" x14ac:dyDescent="0.2">
      <c r="N1590" s="88" t="str">
        <f t="shared" si="30"/>
        <v>1w</v>
      </c>
      <c r="O1590" s="82">
        <f>_xll.qlCalendarAdvance(Calendar,O1589,N1590,"f",FALSE)</f>
        <v>50438</v>
      </c>
      <c r="P1590" s="92">
        <f>_xll.qlCalendarAdvance(Calendar,O1590,NDays&amp;"D")</f>
        <v>50440</v>
      </c>
      <c r="Q1590" s="81">
        <v>2.4783943453647237E-2</v>
      </c>
      <c r="R1590" s="85">
        <v>2.4774313780051571E-2</v>
      </c>
    </row>
    <row r="1591" spans="14:18" x14ac:dyDescent="0.2">
      <c r="N1591" s="88" t="str">
        <f t="shared" si="30"/>
        <v>1w</v>
      </c>
      <c r="O1591" s="82">
        <f>_xll.qlCalendarAdvance(Calendar,O1590,N1591,"f",FALSE)</f>
        <v>50445</v>
      </c>
      <c r="P1591" s="92">
        <f>_xll.qlCalendarAdvance(Calendar,O1591,NDays&amp;"D")</f>
        <v>50447</v>
      </c>
      <c r="Q1591" s="81">
        <v>2.477406092184006E-2</v>
      </c>
      <c r="R1591" s="85">
        <v>2.476446657092346E-2</v>
      </c>
    </row>
    <row r="1592" spans="14:18" x14ac:dyDescent="0.2">
      <c r="N1592" s="88" t="str">
        <f t="shared" si="30"/>
        <v>1w</v>
      </c>
      <c r="O1592" s="82">
        <f>_xll.qlCalendarAdvance(Calendar,O1591,N1592,"f",FALSE)</f>
        <v>50452</v>
      </c>
      <c r="P1592" s="92">
        <f>_xll.qlCalendarAdvance(Calendar,O1592,NDays&amp;"D")</f>
        <v>50454</v>
      </c>
      <c r="Q1592" s="81">
        <v>2.4764165854129137E-2</v>
      </c>
      <c r="R1592" s="85">
        <v>2.4754606841730364E-2</v>
      </c>
    </row>
    <row r="1593" spans="14:18" x14ac:dyDescent="0.2">
      <c r="N1593" s="88" t="str">
        <f t="shared" si="30"/>
        <v>1w</v>
      </c>
      <c r="O1593" s="82">
        <f>_xll.qlCalendarAdvance(Calendar,O1592,N1593,"f",FALSE)</f>
        <v>50459</v>
      </c>
      <c r="P1593" s="92">
        <f>_xll.qlCalendarAdvance(Calendar,O1593,NDays&amp;"D")</f>
        <v>50461</v>
      </c>
      <c r="Q1593" s="81">
        <v>2.4754258250548729E-2</v>
      </c>
      <c r="R1593" s="85">
        <v>2.4744734592712092E-2</v>
      </c>
    </row>
    <row r="1594" spans="14:18" x14ac:dyDescent="0.2">
      <c r="N1594" s="88" t="str">
        <f t="shared" si="30"/>
        <v>1w</v>
      </c>
      <c r="O1594" s="82">
        <f>_xll.qlCalendarAdvance(Calendar,O1593,N1594,"f",FALSE)</f>
        <v>50466</v>
      </c>
      <c r="P1594" s="92">
        <f>_xll.qlCalendarAdvance(Calendar,O1594,NDays&amp;"D")</f>
        <v>50468</v>
      </c>
      <c r="Q1594" s="81">
        <v>2.4744897842660651E-2</v>
      </c>
      <c r="R1594" s="85">
        <v>2.4734849823548899E-2</v>
      </c>
    </row>
    <row r="1595" spans="14:18" x14ac:dyDescent="0.2">
      <c r="N1595" s="88" t="str">
        <f t="shared" si="30"/>
        <v>1w</v>
      </c>
      <c r="O1595" s="82">
        <f>_xll.qlCalendarAdvance(Calendar,O1594,N1595,"f",FALSE)</f>
        <v>50473</v>
      </c>
      <c r="P1595" s="92">
        <f>_xll.qlCalendarAdvance(Calendar,O1595,NDays&amp;"D")</f>
        <v>50475</v>
      </c>
      <c r="Q1595" s="81">
        <v>2.4734958857028644E-2</v>
      </c>
      <c r="R1595" s="85">
        <v>2.4724952534560529E-2</v>
      </c>
    </row>
    <row r="1596" spans="14:18" x14ac:dyDescent="0.2">
      <c r="N1596" s="88" t="str">
        <f t="shared" si="30"/>
        <v>1w</v>
      </c>
      <c r="O1596" s="82">
        <f>_xll.qlCalendarAdvance(Calendar,O1595,N1596,"f",FALSE)</f>
        <v>50480</v>
      </c>
      <c r="P1596" s="92">
        <f>_xll.qlCalendarAdvance(Calendar,O1596,NDays&amp;"D")</f>
        <v>50482</v>
      </c>
      <c r="Q1596" s="81">
        <v>2.4725007333271098E-2</v>
      </c>
      <c r="R1596" s="85">
        <v>2.4715042725507175E-2</v>
      </c>
    </row>
    <row r="1597" spans="14:18" x14ac:dyDescent="0.2">
      <c r="N1597" s="88" t="str">
        <f t="shared" si="30"/>
        <v>1w</v>
      </c>
      <c r="O1597" s="82">
        <f>_xll.qlCalendarAdvance(Calendar,O1596,N1597,"f",FALSE)</f>
        <v>50487</v>
      </c>
      <c r="P1597" s="92">
        <f>_xll.qlCalendarAdvance(Calendar,O1597,NDays&amp;"D")</f>
        <v>50489</v>
      </c>
      <c r="Q1597" s="81">
        <v>2.4715178109034595E-2</v>
      </c>
      <c r="R1597" s="85">
        <v>2.4705120396628644E-2</v>
      </c>
    </row>
    <row r="1598" spans="14:18" x14ac:dyDescent="0.2">
      <c r="N1598" s="88" t="str">
        <f t="shared" si="30"/>
        <v>1w</v>
      </c>
      <c r="O1598" s="82">
        <f>_xll.qlCalendarAdvance(Calendar,O1597,N1598,"f",FALSE)</f>
        <v>50494</v>
      </c>
      <c r="P1598" s="92">
        <f>_xll.qlCalendarAdvance(Calendar,O1598,NDays&amp;"D")</f>
        <v>50496</v>
      </c>
      <c r="Q1598" s="81">
        <v>2.4705066671519282E-2</v>
      </c>
      <c r="R1598" s="85">
        <v>2.4695185547765064E-2</v>
      </c>
    </row>
    <row r="1599" spans="14:18" x14ac:dyDescent="0.2">
      <c r="N1599" s="88" t="str">
        <f t="shared" si="30"/>
        <v>1w</v>
      </c>
      <c r="O1599" s="82">
        <f>_xll.qlCalendarAdvance(Calendar,O1598,N1599,"f",FALSE)</f>
        <v>50501</v>
      </c>
      <c r="P1599" s="92">
        <f>_xll.qlCalendarAdvance(Calendar,O1599,NDays&amp;"D")</f>
        <v>50503</v>
      </c>
      <c r="Q1599" s="81">
        <v>2.469507753358996E-2</v>
      </c>
      <c r="R1599" s="85">
        <v>2.4685238178836499E-2</v>
      </c>
    </row>
    <row r="1600" spans="14:18" x14ac:dyDescent="0.2">
      <c r="N1600" s="88" t="str">
        <f t="shared" si="30"/>
        <v>1w</v>
      </c>
      <c r="O1600" s="82">
        <f>_xll.qlCalendarAdvance(Calendar,O1599,N1600,"f",FALSE)</f>
        <v>50508</v>
      </c>
      <c r="P1600" s="92">
        <f>_xll.qlCalendarAdvance(Calendar,O1600,NDays&amp;"D")</f>
        <v>50510</v>
      </c>
      <c r="Q1600" s="81">
        <v>2.4685075857669991E-2</v>
      </c>
      <c r="R1600" s="85">
        <v>2.4675278290082758E-2</v>
      </c>
    </row>
    <row r="1601" spans="14:18" x14ac:dyDescent="0.2">
      <c r="N1601" s="88" t="str">
        <f t="shared" si="30"/>
        <v>1w</v>
      </c>
      <c r="O1601" s="82">
        <f>_xll.qlCalendarAdvance(Calendar,O1600,N1601,"f",FALSE)</f>
        <v>50515</v>
      </c>
      <c r="P1601" s="92">
        <f>_xll.qlCalendarAdvance(Calendar,O1601,NDays&amp;"D")</f>
        <v>50517</v>
      </c>
      <c r="Q1601" s="81">
        <v>2.4675061643794349E-2</v>
      </c>
      <c r="R1601" s="85">
        <v>2.4662454322115224E-2</v>
      </c>
    </row>
    <row r="1602" spans="14:18" x14ac:dyDescent="0.2">
      <c r="N1602" s="88" t="str">
        <f t="shared" si="30"/>
        <v>1w</v>
      </c>
      <c r="O1602" s="82">
        <f>_xll.qlCalendarAdvance(Calendar,O1601,N1602,"f",FALSE)</f>
        <v>50522</v>
      </c>
      <c r="P1602" s="92">
        <f>_xll.qlCalendarAdvance(Calendar,O1602,NDays&amp;"D")</f>
        <v>50524</v>
      </c>
      <c r="Q1602" s="81">
        <v>2.4665034891990512E-2</v>
      </c>
      <c r="R1602" s="85">
        <v>2.465532095262013E-2</v>
      </c>
    </row>
    <row r="1603" spans="14:18" x14ac:dyDescent="0.2">
      <c r="N1603" s="88" t="str">
        <f t="shared" si="30"/>
        <v>1w</v>
      </c>
      <c r="O1603" s="82">
        <f>_xll.qlCalendarAdvance(Calendar,O1602,N1603,"f",FALSE)</f>
        <v>50529</v>
      </c>
      <c r="P1603" s="92">
        <f>_xll.qlCalendarAdvance(Calendar,O1603,NDays&amp;"D")</f>
        <v>50531</v>
      </c>
      <c r="Q1603" s="81">
        <v>2.4654995602298446E-2</v>
      </c>
      <c r="R1603" s="85">
        <v>2.4645323503911243E-2</v>
      </c>
    </row>
    <row r="1604" spans="14:18" x14ac:dyDescent="0.2">
      <c r="N1604" s="88" t="str">
        <f t="shared" si="30"/>
        <v>1w</v>
      </c>
      <c r="O1604" s="82">
        <f>_xll.qlCalendarAdvance(Calendar,O1603,N1604,"f",FALSE)</f>
        <v>50536</v>
      </c>
      <c r="P1604" s="92">
        <f>_xll.qlCalendarAdvance(Calendar,O1604,NDays&amp;"D")</f>
        <v>50538</v>
      </c>
      <c r="Q1604" s="81">
        <v>2.4645067542496756E-2</v>
      </c>
      <c r="R1604" s="85">
        <v>2.4635313535377179E-2</v>
      </c>
    </row>
    <row r="1605" spans="14:18" x14ac:dyDescent="0.2">
      <c r="N1605" s="88" t="str">
        <f t="shared" si="30"/>
        <v>1w</v>
      </c>
      <c r="O1605" s="82">
        <f>_xll.qlCalendarAdvance(Calendar,O1604,N1605,"f",FALSE)</f>
        <v>50543</v>
      </c>
      <c r="P1605" s="92">
        <f>_xll.qlCalendarAdvance(Calendar,O1605,NDays&amp;"D")</f>
        <v>50545</v>
      </c>
      <c r="Q1605" s="81">
        <v>2.4634879409377031E-2</v>
      </c>
      <c r="R1605" s="85">
        <v>2.4625291046778131E-2</v>
      </c>
    </row>
    <row r="1606" spans="14:18" x14ac:dyDescent="0.2">
      <c r="N1606" s="88" t="str">
        <f t="shared" si="30"/>
        <v>1w</v>
      </c>
      <c r="O1606" s="82">
        <f>_xll.qlCalendarAdvance(Calendar,O1605,N1606,"f",FALSE)</f>
        <v>50550</v>
      </c>
      <c r="P1606" s="92">
        <f>_xll.qlCalendarAdvance(Calendar,O1606,NDays&amp;"D")</f>
        <v>50552</v>
      </c>
      <c r="Q1606" s="81">
        <v>2.4624802506212629E-2</v>
      </c>
      <c r="R1606" s="85">
        <v>2.4615256038273969E-2</v>
      </c>
    </row>
    <row r="1607" spans="14:18" x14ac:dyDescent="0.2">
      <c r="N1607" s="88" t="str">
        <f t="shared" si="30"/>
        <v>1w</v>
      </c>
      <c r="O1607" s="82">
        <f>_xll.qlCalendarAdvance(Calendar,O1606,N1607,"f",FALSE)</f>
        <v>50557</v>
      </c>
      <c r="P1607" s="92">
        <f>_xll.qlCalendarAdvance(Calendar,O1607,NDays&amp;"D")</f>
        <v>50560</v>
      </c>
      <c r="Q1607" s="81">
        <v>2.4613151759053421E-2</v>
      </c>
      <c r="R1607" s="85">
        <v>2.4603772126612355E-2</v>
      </c>
    </row>
    <row r="1608" spans="14:18" x14ac:dyDescent="0.2">
      <c r="N1608" s="88" t="str">
        <f t="shared" si="30"/>
        <v>1w</v>
      </c>
      <c r="O1608" s="82">
        <f>_xll.qlCalendarAdvance(Calendar,O1607,N1608,"f",FALSE)</f>
        <v>50564</v>
      </c>
      <c r="P1608" s="92">
        <f>_xll.qlCalendarAdvance(Calendar,O1608,NDays&amp;"D")</f>
        <v>50566</v>
      </c>
      <c r="Q1608" s="81">
        <v>2.4604611086656292E-2</v>
      </c>
      <c r="R1608" s="85">
        <v>2.4593710289568804E-2</v>
      </c>
    </row>
    <row r="1609" spans="14:18" x14ac:dyDescent="0.2">
      <c r="N1609" s="88" t="str">
        <f t="shared" si="30"/>
        <v>1w</v>
      </c>
      <c r="O1609" s="82">
        <f>_xll.qlCalendarAdvance(Calendar,O1608,N1609,"f",FALSE)</f>
        <v>50571</v>
      </c>
      <c r="P1609" s="92">
        <f>_xll.qlCalendarAdvance(Calendar,O1609,NDays&amp;"D")</f>
        <v>50573</v>
      </c>
      <c r="Q1609" s="81">
        <v>2.4594496570324309E-2</v>
      </c>
      <c r="R1609" s="85">
        <v>2.4585075893091002E-2</v>
      </c>
    </row>
    <row r="1610" spans="14:18" x14ac:dyDescent="0.2">
      <c r="N1610" s="88" t="str">
        <f t="shared" si="30"/>
        <v>1w</v>
      </c>
      <c r="O1610" s="82">
        <f>_xll.qlCalendarAdvance(Calendar,O1609,N1610,"f",FALSE)</f>
        <v>50578</v>
      </c>
      <c r="P1610" s="92">
        <f>_xll.qlCalendarAdvance(Calendar,O1610,NDays&amp;"D")</f>
        <v>50580</v>
      </c>
      <c r="Q1610" s="81">
        <v>2.4584369516338911E-2</v>
      </c>
      <c r="R1610" s="85">
        <v>2.45735490558463E-2</v>
      </c>
    </row>
    <row r="1611" spans="14:18" x14ac:dyDescent="0.2">
      <c r="N1611" s="88" t="str">
        <f t="shared" si="30"/>
        <v>1w</v>
      </c>
      <c r="O1611" s="82">
        <f>_xll.qlCalendarAdvance(Calendar,O1610,N1611,"f",FALSE)</f>
        <v>50585</v>
      </c>
      <c r="P1611" s="92">
        <f>_xll.qlCalendarAdvance(Calendar,O1611,NDays&amp;"D")</f>
        <v>50587</v>
      </c>
      <c r="Q1611" s="81">
        <v>2.4574229924732571E-2</v>
      </c>
      <c r="R1611" s="85">
        <v>2.4564893196536985E-2</v>
      </c>
    </row>
    <row r="1612" spans="14:18" x14ac:dyDescent="0.2">
      <c r="N1612" s="88" t="str">
        <f t="shared" si="30"/>
        <v>1w</v>
      </c>
      <c r="O1612" s="82">
        <f>_xll.qlCalendarAdvance(Calendar,O1611,N1612,"f",FALSE)</f>
        <v>50592</v>
      </c>
      <c r="P1612" s="92">
        <f>_xll.qlCalendarAdvance(Calendar,O1612,NDays&amp;"D")</f>
        <v>50594</v>
      </c>
      <c r="Q1612" s="81">
        <v>2.4564077795540262E-2</v>
      </c>
      <c r="R1612" s="85">
        <v>2.4554783068442276E-2</v>
      </c>
    </row>
    <row r="1613" spans="14:18" x14ac:dyDescent="0.2">
      <c r="N1613" s="88" t="str">
        <f t="shared" si="30"/>
        <v>1w</v>
      </c>
      <c r="O1613" s="82">
        <f>_xll.qlCalendarAdvance(Calendar,O1612,N1613,"f",FALSE)</f>
        <v>50599</v>
      </c>
      <c r="P1613" s="92">
        <f>_xll.qlCalendarAdvance(Calendar,O1613,NDays&amp;"D")</f>
        <v>50601</v>
      </c>
      <c r="Q1613" s="81">
        <v>2.4553913128794458E-2</v>
      </c>
      <c r="R1613" s="85">
        <v>2.4544660420362518E-2</v>
      </c>
    </row>
    <row r="1614" spans="14:18" x14ac:dyDescent="0.2">
      <c r="N1614" s="88" t="str">
        <f t="shared" si="30"/>
        <v>1w</v>
      </c>
      <c r="O1614" s="82">
        <f>_xll.qlCalendarAdvance(Calendar,O1613,N1614,"f",FALSE)</f>
        <v>50606</v>
      </c>
      <c r="P1614" s="92">
        <f>_xll.qlCalendarAdvance(Calendar,O1614,NDays&amp;"D")</f>
        <v>50608</v>
      </c>
      <c r="Q1614" s="81">
        <v>2.4543735924525134E-2</v>
      </c>
      <c r="R1614" s="85">
        <v>2.4534525252297712E-2</v>
      </c>
    </row>
    <row r="1615" spans="14:18" x14ac:dyDescent="0.2">
      <c r="N1615" s="88" t="str">
        <f t="shared" si="30"/>
        <v>1w</v>
      </c>
      <c r="O1615" s="82">
        <f>_xll.qlCalendarAdvance(Calendar,O1614,N1615,"f",FALSE)</f>
        <v>50613</v>
      </c>
      <c r="P1615" s="92">
        <f>_xll.qlCalendarAdvance(Calendar,O1615,NDays&amp;"D")</f>
        <v>50615</v>
      </c>
      <c r="Q1615" s="81">
        <v>2.4533546182774757E-2</v>
      </c>
      <c r="R1615" s="85">
        <v>2.4524377564247857E-2</v>
      </c>
    </row>
    <row r="1616" spans="14:18" x14ac:dyDescent="0.2">
      <c r="N1616" s="88" t="str">
        <f t="shared" si="30"/>
        <v>1w</v>
      </c>
      <c r="O1616" s="82">
        <f>_xll.qlCalendarAdvance(Calendar,O1615,N1616,"f",FALSE)</f>
        <v>50620</v>
      </c>
      <c r="P1616" s="92">
        <f>_xll.qlCalendarAdvance(Calendar,O1616,NDays&amp;"D")</f>
        <v>50622</v>
      </c>
      <c r="Q1616" s="81">
        <v>2.4523343903568307E-2</v>
      </c>
      <c r="R1616" s="85">
        <v>2.4514217356372825E-2</v>
      </c>
    </row>
    <row r="1617" spans="14:18" x14ac:dyDescent="0.2">
      <c r="N1617" s="88" t="str">
        <f t="shared" si="30"/>
        <v>1w</v>
      </c>
      <c r="O1617" s="82">
        <f>_xll.qlCalendarAdvance(Calendar,O1616,N1617,"f",FALSE)</f>
        <v>50627</v>
      </c>
      <c r="P1617" s="92">
        <f>_xll.qlCalendarAdvance(Calendar,O1617,NDays&amp;"D")</f>
        <v>50629</v>
      </c>
      <c r="Q1617" s="81">
        <v>2.4513129086948249E-2</v>
      </c>
      <c r="R1617" s="85">
        <v>2.4504044628432808E-2</v>
      </c>
    </row>
    <row r="1618" spans="14:18" x14ac:dyDescent="0.2">
      <c r="N1618" s="88" t="str">
        <f t="shared" si="30"/>
        <v>1w</v>
      </c>
      <c r="O1618" s="82">
        <f>_xll.qlCalendarAdvance(Calendar,O1617,N1618,"f",FALSE)</f>
        <v>50634</v>
      </c>
      <c r="P1618" s="92">
        <f>_xll.qlCalendarAdvance(Calendar,O1618,NDays&amp;"D")</f>
        <v>50636</v>
      </c>
      <c r="Q1618" s="81">
        <v>2.4502901732942062E-2</v>
      </c>
      <c r="R1618" s="85">
        <v>2.4493859380667615E-2</v>
      </c>
    </row>
    <row r="1619" spans="14:18" x14ac:dyDescent="0.2">
      <c r="N1619" s="88" t="str">
        <f t="shared" si="30"/>
        <v>1w</v>
      </c>
      <c r="O1619" s="82">
        <f>_xll.qlCalendarAdvance(Calendar,O1618,N1619,"f",FALSE)</f>
        <v>50641</v>
      </c>
      <c r="P1619" s="92">
        <f>_xll.qlCalendarAdvance(Calendar,O1619,NDays&amp;"D")</f>
        <v>50643</v>
      </c>
      <c r="Q1619" s="81">
        <v>2.4492661841589713E-2</v>
      </c>
      <c r="R1619" s="85">
        <v>2.4483661612997309E-2</v>
      </c>
    </row>
    <row r="1620" spans="14:18" x14ac:dyDescent="0.2">
      <c r="N1620" s="88" t="str">
        <f t="shared" si="30"/>
        <v>1w</v>
      </c>
      <c r="O1620" s="82">
        <f>_xll.qlCalendarAdvance(Calendar,O1619,N1620,"f",FALSE)</f>
        <v>50648</v>
      </c>
      <c r="P1620" s="92">
        <f>_xll.qlCalendarAdvance(Calendar,O1620,NDays&amp;"D")</f>
        <v>50650</v>
      </c>
      <c r="Q1620" s="81">
        <v>2.4482409412916184E-2</v>
      </c>
      <c r="R1620" s="85">
        <v>2.4473451325262019E-2</v>
      </c>
    </row>
    <row r="1621" spans="14:18" x14ac:dyDescent="0.2">
      <c r="N1621" s="88" t="str">
        <f t="shared" ref="N1621:N1684" si="31">N1620</f>
        <v>1w</v>
      </c>
      <c r="O1621" s="82">
        <f>_xll.qlCalendarAdvance(Calendar,O1620,N1621,"f",FALSE)</f>
        <v>50655</v>
      </c>
      <c r="P1621" s="92">
        <f>_xll.qlCalendarAdvance(Calendar,O1621,NDays&amp;"D")</f>
        <v>50657</v>
      </c>
      <c r="Q1621" s="81">
        <v>2.4472144446963939E-2</v>
      </c>
      <c r="R1621" s="85">
        <v>2.4463228517701552E-2</v>
      </c>
    </row>
    <row r="1622" spans="14:18" x14ac:dyDescent="0.2">
      <c r="N1622" s="88" t="str">
        <f t="shared" si="31"/>
        <v>1w</v>
      </c>
      <c r="O1622" s="82">
        <f>_xll.qlCalendarAdvance(Calendar,O1621,N1622,"f",FALSE)</f>
        <v>50662</v>
      </c>
      <c r="P1622" s="92">
        <f>_xll.qlCalendarAdvance(Calendar,O1622,NDays&amp;"D")</f>
        <v>50664</v>
      </c>
      <c r="Q1622" s="81">
        <v>2.4461866943767951E-2</v>
      </c>
      <c r="R1622" s="85">
        <v>2.4452993190156036E-2</v>
      </c>
    </row>
    <row r="1623" spans="14:18" x14ac:dyDescent="0.2">
      <c r="N1623" s="88" t="str">
        <f t="shared" si="31"/>
        <v>1w</v>
      </c>
      <c r="O1623" s="82">
        <f>_xll.qlCalendarAdvance(Calendar,O1622,N1623,"f",FALSE)</f>
        <v>50669</v>
      </c>
      <c r="P1623" s="92">
        <f>_xll.qlCalendarAdvance(Calendar,O1623,NDays&amp;"D")</f>
        <v>50671</v>
      </c>
      <c r="Q1623" s="81">
        <v>2.4451576903358196E-2</v>
      </c>
      <c r="R1623" s="85">
        <v>2.4442745342705408E-2</v>
      </c>
    </row>
    <row r="1624" spans="14:18" x14ac:dyDescent="0.2">
      <c r="N1624" s="88" t="str">
        <f t="shared" si="31"/>
        <v>1w</v>
      </c>
      <c r="O1624" s="82">
        <f>_xll.qlCalendarAdvance(Calendar,O1623,N1624,"f",FALSE)</f>
        <v>50676</v>
      </c>
      <c r="P1624" s="92">
        <f>_xll.qlCalendarAdvance(Calendar,O1624,NDays&amp;"D")</f>
        <v>50678</v>
      </c>
      <c r="Q1624" s="81">
        <v>2.4440997482120863E-2</v>
      </c>
      <c r="R1624" s="85">
        <v>2.4432484975349666E-2</v>
      </c>
    </row>
    <row r="1625" spans="14:18" x14ac:dyDescent="0.2">
      <c r="N1625" s="88" t="str">
        <f t="shared" si="31"/>
        <v>1w</v>
      </c>
      <c r="O1625" s="82">
        <f>_xll.qlCalendarAdvance(Calendar,O1624,N1625,"f",FALSE)</f>
        <v>50683</v>
      </c>
      <c r="P1625" s="92">
        <f>_xll.qlCalendarAdvance(Calendar,O1625,NDays&amp;"D")</f>
        <v>50685</v>
      </c>
      <c r="Q1625" s="81">
        <v>2.4430959211037273E-2</v>
      </c>
      <c r="R1625" s="85">
        <v>2.4422212088008877E-2</v>
      </c>
    </row>
    <row r="1626" spans="14:18" x14ac:dyDescent="0.2">
      <c r="N1626" s="88" t="str">
        <f t="shared" si="31"/>
        <v>1w</v>
      </c>
      <c r="O1626" s="82">
        <f>_xll.qlCalendarAdvance(Calendar,O1625,N1626,"f",FALSE)</f>
        <v>50690</v>
      </c>
      <c r="P1626" s="92">
        <f>_xll.qlCalendarAdvance(Calendar,O1626,NDays&amp;"D")</f>
        <v>50692</v>
      </c>
      <c r="Q1626" s="81">
        <v>2.4420631559198547E-2</v>
      </c>
      <c r="R1626" s="85">
        <v>2.441192668084291E-2</v>
      </c>
    </row>
    <row r="1627" spans="14:18" x14ac:dyDescent="0.2">
      <c r="N1627" s="88" t="str">
        <f t="shared" si="31"/>
        <v>1w</v>
      </c>
      <c r="O1627" s="82">
        <f>_xll.qlCalendarAdvance(Calendar,O1626,N1627,"f",FALSE)</f>
        <v>50697</v>
      </c>
      <c r="P1627" s="92">
        <f>_xll.qlCalendarAdvance(Calendar,O1627,NDays&amp;"D")</f>
        <v>50699</v>
      </c>
      <c r="Q1627" s="81">
        <v>2.4410291370283443E-2</v>
      </c>
      <c r="R1627" s="85">
        <v>2.4401628753611959E-2</v>
      </c>
    </row>
    <row r="1628" spans="14:18" x14ac:dyDescent="0.2">
      <c r="N1628" s="88" t="str">
        <f t="shared" si="31"/>
        <v>1w</v>
      </c>
      <c r="O1628" s="82">
        <f>_xll.qlCalendarAdvance(Calendar,O1627,N1628,"f",FALSE)</f>
        <v>50704</v>
      </c>
      <c r="P1628" s="92">
        <f>_xll.qlCalendarAdvance(Calendar,O1628,NDays&amp;"D")</f>
        <v>50706</v>
      </c>
      <c r="Q1628" s="81">
        <v>2.4399938644326935E-2</v>
      </c>
      <c r="R1628" s="85">
        <v>2.4391318306555831E-2</v>
      </c>
    </row>
    <row r="1629" spans="14:18" x14ac:dyDescent="0.2">
      <c r="N1629" s="88" t="str">
        <f t="shared" si="31"/>
        <v>1w</v>
      </c>
      <c r="O1629" s="82">
        <f>_xll.qlCalendarAdvance(Calendar,O1628,N1629,"f",FALSE)</f>
        <v>50711</v>
      </c>
      <c r="P1629" s="92">
        <f>_xll.qlCalendarAdvance(Calendar,O1629,NDays&amp;"D")</f>
        <v>50713</v>
      </c>
      <c r="Q1629" s="81">
        <v>2.4389573381363994E-2</v>
      </c>
      <c r="R1629" s="85">
        <v>2.4380995339594591E-2</v>
      </c>
    </row>
    <row r="1630" spans="14:18" x14ac:dyDescent="0.2">
      <c r="N1630" s="88" t="str">
        <f t="shared" si="31"/>
        <v>1w</v>
      </c>
      <c r="O1630" s="82">
        <f>_xll.qlCalendarAdvance(Calendar,O1629,N1630,"f",FALSE)</f>
        <v>50718</v>
      </c>
      <c r="P1630" s="92">
        <f>_xll.qlCalendarAdvance(Calendar,O1630,NDays&amp;"D")</f>
        <v>50720</v>
      </c>
      <c r="Q1630" s="81">
        <v>2.4379195581432089E-2</v>
      </c>
      <c r="R1630" s="85">
        <v>2.4370659852568366E-2</v>
      </c>
    </row>
    <row r="1631" spans="14:18" x14ac:dyDescent="0.2">
      <c r="N1631" s="88" t="str">
        <f t="shared" si="31"/>
        <v>1w</v>
      </c>
      <c r="O1631" s="82">
        <f>_xll.qlCalendarAdvance(Calendar,O1630,N1631,"f",FALSE)</f>
        <v>50725</v>
      </c>
      <c r="P1631" s="92">
        <f>_xll.qlCalendarAdvance(Calendar,O1631,NDays&amp;"D")</f>
        <v>50727</v>
      </c>
      <c r="Q1631" s="81">
        <v>2.4368805244563696E-2</v>
      </c>
      <c r="R1631" s="85">
        <v>2.43603118457969E-2</v>
      </c>
    </row>
    <row r="1632" spans="14:18" x14ac:dyDescent="0.2">
      <c r="N1632" s="88" t="str">
        <f t="shared" si="31"/>
        <v>1w</v>
      </c>
      <c r="O1632" s="82">
        <f>_xll.qlCalendarAdvance(Calendar,O1631,N1632,"f",FALSE)</f>
        <v>50732</v>
      </c>
      <c r="P1632" s="92">
        <f>_xll.qlCalendarAdvance(Calendar,O1632,NDays&amp;"D")</f>
        <v>50734</v>
      </c>
      <c r="Q1632" s="81">
        <v>2.4358402370791288E-2</v>
      </c>
      <c r="R1632" s="85">
        <v>2.4349951319040386E-2</v>
      </c>
    </row>
    <row r="1633" spans="14:18" x14ac:dyDescent="0.2">
      <c r="N1633" s="88" t="str">
        <f t="shared" si="31"/>
        <v>1w</v>
      </c>
      <c r="O1633" s="82">
        <f>_xll.qlCalendarAdvance(Calendar,O1632,N1633,"f",FALSE)</f>
        <v>50739</v>
      </c>
      <c r="P1633" s="92">
        <f>_xll.qlCalendarAdvance(Calendar,O1633,NDays&amp;"D")</f>
        <v>50741</v>
      </c>
      <c r="Q1633" s="81">
        <v>2.4347986960152335E-2</v>
      </c>
      <c r="R1633" s="85">
        <v>2.4339578272298823E-2</v>
      </c>
    </row>
    <row r="1634" spans="14:18" x14ac:dyDescent="0.2">
      <c r="N1634" s="88" t="str">
        <f t="shared" si="31"/>
        <v>1w</v>
      </c>
      <c r="O1634" s="82">
        <f>_xll.qlCalendarAdvance(Calendar,O1633,N1634,"f",FALSE)</f>
        <v>50746</v>
      </c>
      <c r="P1634" s="92">
        <f>_xll.qlCalendarAdvance(Calendar,O1634,NDays&amp;"D")</f>
        <v>50748</v>
      </c>
      <c r="Q1634" s="81">
        <v>2.4337559012681809E-2</v>
      </c>
      <c r="R1634" s="85">
        <v>2.4329192705652147E-2</v>
      </c>
    </row>
    <row r="1635" spans="14:18" x14ac:dyDescent="0.2">
      <c r="N1635" s="88" t="str">
        <f t="shared" si="31"/>
        <v>1w</v>
      </c>
      <c r="O1635" s="82">
        <f>_xll.qlCalendarAdvance(Calendar,O1634,N1635,"f",FALSE)</f>
        <v>50753</v>
      </c>
      <c r="P1635" s="92">
        <f>_xll.qlCalendarAdvance(Calendar,O1635,NDays&amp;"D")</f>
        <v>50755</v>
      </c>
      <c r="Q1635" s="81">
        <v>2.4327118528414682E-2</v>
      </c>
      <c r="R1635" s="85">
        <v>2.4318794619100359E-2</v>
      </c>
    </row>
    <row r="1636" spans="14:18" x14ac:dyDescent="0.2">
      <c r="N1636" s="88" t="str">
        <f t="shared" si="31"/>
        <v>1w</v>
      </c>
      <c r="O1636" s="82">
        <f>_xll.qlCalendarAdvance(Calendar,O1635,N1636,"f",FALSE)</f>
        <v>50760</v>
      </c>
      <c r="P1636" s="92">
        <f>_xll.qlCalendarAdvance(Calendar,O1636,NDays&amp;"D")</f>
        <v>50762</v>
      </c>
      <c r="Q1636" s="81">
        <v>2.4316665507383428E-2</v>
      </c>
      <c r="R1636" s="85">
        <v>2.4306895761281311E-2</v>
      </c>
    </row>
    <row r="1637" spans="14:18" x14ac:dyDescent="0.2">
      <c r="N1637" s="88" t="str">
        <f t="shared" si="31"/>
        <v>1w</v>
      </c>
      <c r="O1637" s="82">
        <f>_xll.qlCalendarAdvance(Calendar,O1636,N1637,"f",FALSE)</f>
        <v>50767</v>
      </c>
      <c r="P1637" s="92">
        <f>_xll.qlCalendarAdvance(Calendar,O1637,NDays&amp;"D")</f>
        <v>50769</v>
      </c>
      <c r="Q1637" s="81">
        <v>2.4306199949625518E-2</v>
      </c>
      <c r="R1637" s="85">
        <v>2.4296470846270068E-2</v>
      </c>
    </row>
    <row r="1638" spans="14:18" x14ac:dyDescent="0.2">
      <c r="N1638" s="88" t="str">
        <f t="shared" si="31"/>
        <v>1w</v>
      </c>
      <c r="O1638" s="82">
        <f>_xll.qlCalendarAdvance(Calendar,O1637,N1638,"f",FALSE)</f>
        <v>50774</v>
      </c>
      <c r="P1638" s="92">
        <f>_xll.qlCalendarAdvance(Calendar,O1638,NDays&amp;"D")</f>
        <v>50777</v>
      </c>
      <c r="Q1638" s="81">
        <v>2.4294154434410322E-2</v>
      </c>
      <c r="R1638" s="85">
        <v>2.428603341143365E-2</v>
      </c>
    </row>
    <row r="1639" spans="14:18" x14ac:dyDescent="0.2">
      <c r="N1639" s="88" t="str">
        <f t="shared" si="31"/>
        <v>1w</v>
      </c>
      <c r="O1639" s="82">
        <f>_xll.qlCalendarAdvance(Calendar,O1638,N1639,"f",FALSE)</f>
        <v>50781</v>
      </c>
      <c r="P1639" s="92">
        <f>_xll.qlCalendarAdvance(Calendar,O1639,NDays&amp;"D")</f>
        <v>50783</v>
      </c>
      <c r="Q1639" s="81">
        <v>2.4285231224064618E-2</v>
      </c>
      <c r="R1639" s="85">
        <v>2.4277077073922015E-2</v>
      </c>
    </row>
    <row r="1640" spans="14:18" x14ac:dyDescent="0.2">
      <c r="N1640" s="88" t="str">
        <f t="shared" si="31"/>
        <v>1w</v>
      </c>
      <c r="O1640" s="82">
        <f>_xll.qlCalendarAdvance(Calendar,O1639,N1640,"f",FALSE)</f>
        <v>50788</v>
      </c>
      <c r="P1640" s="92">
        <f>_xll.qlCalendarAdvance(Calendar,O1640,NDays&amp;"D")</f>
        <v>50790</v>
      </c>
      <c r="Q1640" s="81">
        <v>2.4274728056334072E-2</v>
      </c>
      <c r="R1640" s="85">
        <v>2.42666163879246E-2</v>
      </c>
    </row>
    <row r="1641" spans="14:18" x14ac:dyDescent="0.2">
      <c r="N1641" s="88" t="str">
        <f t="shared" si="31"/>
        <v>1w</v>
      </c>
      <c r="O1641" s="82">
        <f>_xll.qlCalendarAdvance(Calendar,O1640,N1641,"f",FALSE)</f>
        <v>50795</v>
      </c>
      <c r="P1641" s="92">
        <f>_xll.qlCalendarAdvance(Calendar,O1641,NDays&amp;"D")</f>
        <v>50797</v>
      </c>
      <c r="Q1641" s="81">
        <v>2.4264212352014258E-2</v>
      </c>
      <c r="R1641" s="85">
        <v>2.42561431818622E-2</v>
      </c>
    </row>
    <row r="1642" spans="14:18" x14ac:dyDescent="0.2">
      <c r="N1642" s="88" t="str">
        <f t="shared" si="31"/>
        <v>1w</v>
      </c>
      <c r="O1642" s="82">
        <f>_xll.qlCalendarAdvance(Calendar,O1641,N1642,"f",FALSE)</f>
        <v>50802</v>
      </c>
      <c r="P1642" s="92">
        <f>_xll.qlCalendarAdvance(Calendar,O1642,NDays&amp;"D")</f>
        <v>50804</v>
      </c>
      <c r="Q1642" s="81">
        <v>2.4253429841341361E-2</v>
      </c>
      <c r="R1642" s="85">
        <v>2.4245657455974623E-2</v>
      </c>
    </row>
    <row r="1643" spans="14:18" x14ac:dyDescent="0.2">
      <c r="N1643" s="88" t="str">
        <f t="shared" si="31"/>
        <v>1w</v>
      </c>
      <c r="O1643" s="82">
        <f>_xll.qlCalendarAdvance(Calendar,O1642,N1643,"f",FALSE)</f>
        <v>50809</v>
      </c>
      <c r="P1643" s="92">
        <f>_xll.qlCalendarAdvance(Calendar,O1643,NDays&amp;"D")</f>
        <v>50811</v>
      </c>
      <c r="Q1643" s="81">
        <v>2.4242895481725313E-2</v>
      </c>
      <c r="R1643" s="85">
        <v>2.4235159210101997E-2</v>
      </c>
    </row>
    <row r="1644" spans="14:18" x14ac:dyDescent="0.2">
      <c r="N1644" s="88" t="str">
        <f t="shared" si="31"/>
        <v>1w</v>
      </c>
      <c r="O1644" s="82">
        <f>_xll.qlCalendarAdvance(Calendar,O1643,N1644,"f",FALSE)</f>
        <v>50816</v>
      </c>
      <c r="P1644" s="92">
        <f>_xll.qlCalendarAdvance(Calendar,O1644,NDays&amp;"D")</f>
        <v>50818</v>
      </c>
      <c r="Q1644" s="81">
        <v>2.4232348587755706E-2</v>
      </c>
      <c r="R1644" s="85">
        <v>2.4224648444404195E-2</v>
      </c>
    </row>
    <row r="1645" spans="14:18" x14ac:dyDescent="0.2">
      <c r="N1645" s="88" t="str">
        <f t="shared" si="31"/>
        <v>1w</v>
      </c>
      <c r="O1645" s="82">
        <f>_xll.qlCalendarAdvance(Calendar,O1644,N1645,"f",FALSE)</f>
        <v>50823</v>
      </c>
      <c r="P1645" s="92">
        <f>_xll.qlCalendarAdvance(Calendar,O1645,NDays&amp;"D")</f>
        <v>50825</v>
      </c>
      <c r="Q1645" s="81">
        <v>2.422178915946966E-2</v>
      </c>
      <c r="R1645" s="85">
        <v>2.4214125158721345E-2</v>
      </c>
    </row>
    <row r="1646" spans="14:18" x14ac:dyDescent="0.2">
      <c r="N1646" s="88" t="str">
        <f t="shared" si="31"/>
        <v>1w</v>
      </c>
      <c r="O1646" s="82">
        <f>_xll.qlCalendarAdvance(Calendar,O1645,N1646,"f",FALSE)</f>
        <v>50830</v>
      </c>
      <c r="P1646" s="92">
        <f>_xll.qlCalendarAdvance(Calendar,O1646,NDays&amp;"D")</f>
        <v>50832</v>
      </c>
      <c r="Q1646" s="81">
        <v>2.421144578282769E-2</v>
      </c>
      <c r="R1646" s="85">
        <v>2.4203589353213317E-2</v>
      </c>
    </row>
    <row r="1647" spans="14:18" x14ac:dyDescent="0.2">
      <c r="N1647" s="88" t="str">
        <f t="shared" si="31"/>
        <v>1w</v>
      </c>
      <c r="O1647" s="82">
        <f>_xll.qlCalendarAdvance(Calendar,O1646,N1647,"f",FALSE)</f>
        <v>50837</v>
      </c>
      <c r="P1647" s="92">
        <f>_xll.qlCalendarAdvance(Calendar,O1647,NDays&amp;"D")</f>
        <v>50839</v>
      </c>
      <c r="Q1647" s="81">
        <v>2.4200910023054367E-2</v>
      </c>
      <c r="R1647" s="85">
        <v>2.4193041027720241E-2</v>
      </c>
    </row>
    <row r="1648" spans="14:18" x14ac:dyDescent="0.2">
      <c r="N1648" s="88" t="str">
        <f t="shared" si="31"/>
        <v>1w</v>
      </c>
      <c r="O1648" s="82">
        <f>_xll.qlCalendarAdvance(Calendar,O1647,N1648,"f",FALSE)</f>
        <v>50844</v>
      </c>
      <c r="P1648" s="92">
        <f>_xll.qlCalendarAdvance(Calendar,O1648,NDays&amp;"D")</f>
        <v>50846</v>
      </c>
      <c r="Q1648" s="81">
        <v>2.4190251400271201E-2</v>
      </c>
      <c r="R1648" s="85">
        <v>2.4182480182401989E-2</v>
      </c>
    </row>
    <row r="1649" spans="14:18" x14ac:dyDescent="0.2">
      <c r="N1649" s="88" t="str">
        <f t="shared" si="31"/>
        <v>1w</v>
      </c>
      <c r="O1649" s="82">
        <f>_xll.qlCalendarAdvance(Calendar,O1648,N1649,"f",FALSE)</f>
        <v>50851</v>
      </c>
      <c r="P1649" s="92">
        <f>_xll.qlCalendarAdvance(Calendar,O1649,NDays&amp;"D")</f>
        <v>50853</v>
      </c>
      <c r="Q1649" s="81">
        <v>2.4179635404513733E-2</v>
      </c>
      <c r="R1649" s="85">
        <v>2.4171906817178623E-2</v>
      </c>
    </row>
    <row r="1650" spans="14:18" x14ac:dyDescent="0.2">
      <c r="N1650" s="88" t="str">
        <f t="shared" si="31"/>
        <v>1w</v>
      </c>
      <c r="O1650" s="82">
        <f>_xll.qlCalendarAdvance(Calendar,O1649,N1650,"f",FALSE)</f>
        <v>50858</v>
      </c>
      <c r="P1650" s="92">
        <f>_xll.qlCalendarAdvance(Calendar,O1650,NDays&amp;"D")</f>
        <v>50860</v>
      </c>
      <c r="Q1650" s="81">
        <v>2.4168854947811746E-2</v>
      </c>
      <c r="R1650" s="85">
        <v>2.4161320932050145E-2</v>
      </c>
    </row>
    <row r="1651" spans="14:18" x14ac:dyDescent="0.2">
      <c r="N1651" s="88" t="str">
        <f t="shared" si="31"/>
        <v>1w</v>
      </c>
      <c r="O1651" s="82">
        <f>_xll.qlCalendarAdvance(Calendar,O1650,N1651,"f",FALSE)</f>
        <v>50865</v>
      </c>
      <c r="P1651" s="92">
        <f>_xll.qlCalendarAdvance(Calendar,O1651,NDays&amp;"D")</f>
        <v>50867</v>
      </c>
      <c r="Q1651" s="81">
        <v>2.4158365804230197E-2</v>
      </c>
      <c r="R1651" s="85">
        <v>2.4147692111657904E-2</v>
      </c>
    </row>
    <row r="1652" spans="14:18" x14ac:dyDescent="0.2">
      <c r="N1652" s="88" t="str">
        <f t="shared" si="31"/>
        <v>1w</v>
      </c>
      <c r="O1652" s="82">
        <f>_xll.qlCalendarAdvance(Calendar,O1651,N1652,"f",FALSE)</f>
        <v>50872</v>
      </c>
      <c r="P1652" s="92">
        <f>_xll.qlCalendarAdvance(Calendar,O1652,NDays&amp;"D")</f>
        <v>50874</v>
      </c>
      <c r="Q1652" s="81">
        <v>2.4147712199769078E-2</v>
      </c>
      <c r="R1652" s="85">
        <v>2.4140111602077852E-2</v>
      </c>
    </row>
    <row r="1653" spans="14:18" x14ac:dyDescent="0.2">
      <c r="N1653" s="88" t="str">
        <f t="shared" si="31"/>
        <v>1w</v>
      </c>
      <c r="O1653" s="82">
        <f>_xll.qlCalendarAdvance(Calendar,O1652,N1653,"f",FALSE)</f>
        <v>50879</v>
      </c>
      <c r="P1653" s="92">
        <f>_xll.qlCalendarAdvance(Calendar,O1653,NDays&amp;"D")</f>
        <v>50881</v>
      </c>
      <c r="Q1653" s="81">
        <v>2.413704605914585E-2</v>
      </c>
      <c r="R1653" s="85">
        <v>2.4129488157234036E-2</v>
      </c>
    </row>
    <row r="1654" spans="14:18" x14ac:dyDescent="0.2">
      <c r="N1654" s="88" t="str">
        <f t="shared" si="31"/>
        <v>1w</v>
      </c>
      <c r="O1654" s="82">
        <f>_xll.qlCalendarAdvance(Calendar,O1653,N1654,"f",FALSE)</f>
        <v>50886</v>
      </c>
      <c r="P1654" s="92">
        <f>_xll.qlCalendarAdvance(Calendar,O1654,NDays&amp;"D")</f>
        <v>50888</v>
      </c>
      <c r="Q1654" s="81">
        <v>2.4126411282869048E-2</v>
      </c>
      <c r="R1654" s="85">
        <v>2.4118852192405171E-2</v>
      </c>
    </row>
    <row r="1655" spans="14:18" x14ac:dyDescent="0.2">
      <c r="N1655" s="88" t="str">
        <f t="shared" si="31"/>
        <v>1w</v>
      </c>
      <c r="O1655" s="82">
        <f>_xll.qlCalendarAdvance(Calendar,O1654,N1655,"f",FALSE)</f>
        <v>50893</v>
      </c>
      <c r="P1655" s="92">
        <f>_xll.qlCalendarAdvance(Calendar,O1655,NDays&amp;"D")</f>
        <v>50895</v>
      </c>
      <c r="Q1655" s="81">
        <v>2.4115676169545464E-2</v>
      </c>
      <c r="R1655" s="85">
        <v>2.4108203707911002E-2</v>
      </c>
    </row>
    <row r="1656" spans="14:18" x14ac:dyDescent="0.2">
      <c r="N1656" s="88" t="str">
        <f t="shared" si="31"/>
        <v>1w</v>
      </c>
      <c r="O1656" s="82">
        <f>_xll.qlCalendarAdvance(Calendar,O1655,N1656,"f",FALSE)</f>
        <v>50900</v>
      </c>
      <c r="P1656" s="92">
        <f>_xll.qlCalendarAdvance(Calendar,O1656,NDays&amp;"D")</f>
        <v>50902</v>
      </c>
      <c r="Q1656" s="81">
        <v>2.4104972420645743E-2</v>
      </c>
      <c r="R1656" s="85">
        <v>2.4097542703351849E-2</v>
      </c>
    </row>
    <row r="1657" spans="14:18" x14ac:dyDescent="0.2">
      <c r="N1657" s="88" t="str">
        <f t="shared" si="31"/>
        <v>1w</v>
      </c>
      <c r="O1657" s="82">
        <f>_xll.qlCalendarAdvance(Calendar,O1656,N1657,"f",FALSE)</f>
        <v>50907</v>
      </c>
      <c r="P1657" s="92">
        <f>_xll.qlCalendarAdvance(Calendar,O1657,NDays&amp;"D")</f>
        <v>50910</v>
      </c>
      <c r="Q1657" s="81">
        <v>2.4092685227263391E-2</v>
      </c>
      <c r="R1657" s="85">
        <v>2.4085343367730161E-2</v>
      </c>
    </row>
    <row r="1658" spans="14:18" x14ac:dyDescent="0.2">
      <c r="N1658" s="88" t="str">
        <f t="shared" si="31"/>
        <v>1w</v>
      </c>
      <c r="O1658" s="82">
        <f>_xll.qlCalendarAdvance(Calendar,O1657,N1658,"f",FALSE)</f>
        <v>50914</v>
      </c>
      <c r="P1658" s="92">
        <f>_xll.qlCalendarAdvance(Calendar,O1658,NDays&amp;"D")</f>
        <v>50916</v>
      </c>
      <c r="Q1658" s="81">
        <v>2.4083527314814612E-2</v>
      </c>
      <c r="R1658" s="85">
        <v>2.4074655534871425E-2</v>
      </c>
    </row>
    <row r="1659" spans="14:18" x14ac:dyDescent="0.2">
      <c r="N1659" s="88" t="str">
        <f t="shared" si="31"/>
        <v>1w</v>
      </c>
      <c r="O1659" s="82">
        <f>_xll.qlCalendarAdvance(Calendar,O1658,N1659,"f",FALSE)</f>
        <v>50921</v>
      </c>
      <c r="P1659" s="92">
        <f>_xll.qlCalendarAdvance(Calendar,O1659,NDays&amp;"D")</f>
        <v>50923</v>
      </c>
      <c r="Q1659" s="81">
        <v>2.4072785957958143E-2</v>
      </c>
      <c r="R1659" s="85">
        <v>2.4065484570403584E-2</v>
      </c>
    </row>
    <row r="1660" spans="14:18" x14ac:dyDescent="0.2">
      <c r="N1660" s="88" t="str">
        <f t="shared" si="31"/>
        <v>1w</v>
      </c>
      <c r="O1660" s="82">
        <f>_xll.qlCalendarAdvance(Calendar,O1659,N1660,"f",FALSE)</f>
        <v>50928</v>
      </c>
      <c r="P1660" s="92">
        <f>_xll.qlCalendarAdvance(Calendar,O1660,NDays&amp;"D")</f>
        <v>50930</v>
      </c>
      <c r="Q1660" s="81">
        <v>2.4062032065186867E-2</v>
      </c>
      <c r="R1660" s="85">
        <v>2.4054773486303915E-2</v>
      </c>
    </row>
    <row r="1661" spans="14:18" x14ac:dyDescent="0.2">
      <c r="N1661" s="88" t="str">
        <f t="shared" si="31"/>
        <v>1w</v>
      </c>
      <c r="O1661" s="82">
        <f>_xll.qlCalendarAdvance(Calendar,O1660,N1661,"f",FALSE)</f>
        <v>50935</v>
      </c>
      <c r="P1661" s="92">
        <f>_xll.qlCalendarAdvance(Calendar,O1661,NDays&amp;"D")</f>
        <v>50937</v>
      </c>
      <c r="Q1661" s="81">
        <v>2.4051265636533259E-2</v>
      </c>
      <c r="R1661" s="85">
        <v>2.404404988237907E-2</v>
      </c>
    </row>
    <row r="1662" spans="14:18" x14ac:dyDescent="0.2">
      <c r="N1662" s="88" t="str">
        <f t="shared" si="31"/>
        <v>1w</v>
      </c>
      <c r="O1662" s="82">
        <f>_xll.qlCalendarAdvance(Calendar,O1661,N1662,"f",FALSE)</f>
        <v>50942</v>
      </c>
      <c r="P1662" s="92">
        <f>_xll.qlCalendarAdvance(Calendar,O1662,NDays&amp;"D")</f>
        <v>50944</v>
      </c>
      <c r="Q1662" s="81">
        <v>2.4040486672042283E-2</v>
      </c>
      <c r="R1662" s="85">
        <v>2.4031779004545228E-2</v>
      </c>
    </row>
    <row r="1663" spans="14:18" x14ac:dyDescent="0.2">
      <c r="N1663" s="88" t="str">
        <f t="shared" si="31"/>
        <v>1w</v>
      </c>
      <c r="O1663" s="82">
        <f>_xll.qlCalendarAdvance(Calendar,O1662,N1663,"f",FALSE)</f>
        <v>50949</v>
      </c>
      <c r="P1663" s="92">
        <f>_xll.qlCalendarAdvance(Calendar,O1663,NDays&amp;"D")</f>
        <v>50951</v>
      </c>
      <c r="Q1663" s="81">
        <v>2.4029606109387629E-2</v>
      </c>
      <c r="R1663" s="85">
        <v>2.4022565114734107E-2</v>
      </c>
    </row>
    <row r="1664" spans="14:18" x14ac:dyDescent="0.2">
      <c r="N1664" s="88" t="str">
        <f t="shared" si="31"/>
        <v>1w</v>
      </c>
      <c r="O1664" s="82">
        <f>_xll.qlCalendarAdvance(Calendar,O1663,N1664,"f",FALSE)</f>
        <v>50956</v>
      </c>
      <c r="P1664" s="92">
        <f>_xll.qlCalendarAdvance(Calendar,O1664,NDays&amp;"D")</f>
        <v>50958</v>
      </c>
      <c r="Q1664" s="81">
        <v>2.4018891135675624E-2</v>
      </c>
      <c r="R1664" s="85">
        <v>2.4011803951093924E-2</v>
      </c>
    </row>
    <row r="1665" spans="14:18" x14ac:dyDescent="0.2">
      <c r="N1665" s="88" t="str">
        <f t="shared" si="31"/>
        <v>1w</v>
      </c>
      <c r="O1665" s="82">
        <f>_xll.qlCalendarAdvance(Calendar,O1664,N1665,"f",FALSE)</f>
        <v>50963</v>
      </c>
      <c r="P1665" s="92">
        <f>_xll.qlCalendarAdvance(Calendar,O1665,NDays&amp;"D")</f>
        <v>50965</v>
      </c>
      <c r="Q1665" s="81">
        <v>2.4008074563874882E-2</v>
      </c>
      <c r="R1665" s="85">
        <v>2.4001030267628565E-2</v>
      </c>
    </row>
    <row r="1666" spans="14:18" x14ac:dyDescent="0.2">
      <c r="N1666" s="88" t="str">
        <f t="shared" si="31"/>
        <v>1w</v>
      </c>
      <c r="O1666" s="82">
        <f>_xll.qlCalendarAdvance(Calendar,O1665,N1666,"f",FALSE)</f>
        <v>50970</v>
      </c>
      <c r="P1666" s="92">
        <f>_xll.qlCalendarAdvance(Calendar,O1666,NDays&amp;"D")</f>
        <v>50972</v>
      </c>
      <c r="Q1666" s="81">
        <v>2.3997245456376659E-2</v>
      </c>
      <c r="R1666" s="85">
        <v>2.3990244064178157E-2</v>
      </c>
    </row>
    <row r="1667" spans="14:18" x14ac:dyDescent="0.2">
      <c r="N1667" s="88" t="str">
        <f t="shared" si="31"/>
        <v>1w</v>
      </c>
      <c r="O1667" s="82">
        <f>_xll.qlCalendarAdvance(Calendar,O1666,N1667,"f",FALSE)</f>
        <v>50977</v>
      </c>
      <c r="P1667" s="92">
        <f>_xll.qlCalendarAdvance(Calendar,O1667,NDays&amp;"D")</f>
        <v>50979</v>
      </c>
      <c r="Q1667" s="81">
        <v>2.3986403813215929E-2</v>
      </c>
      <c r="R1667" s="85">
        <v>2.3979445340902572E-2</v>
      </c>
    </row>
    <row r="1668" spans="14:18" x14ac:dyDescent="0.2">
      <c r="N1668" s="88" t="str">
        <f t="shared" si="31"/>
        <v>1w</v>
      </c>
      <c r="O1668" s="82">
        <f>_xll.qlCalendarAdvance(Calendar,O1667,N1668,"f",FALSE)</f>
        <v>50984</v>
      </c>
      <c r="P1668" s="92">
        <f>_xll.qlCalendarAdvance(Calendar,O1668,NDays&amp;"D")</f>
        <v>50986</v>
      </c>
      <c r="Q1668" s="81">
        <v>2.3975549634427662E-2</v>
      </c>
      <c r="R1668" s="85">
        <v>2.3968634097721875E-2</v>
      </c>
    </row>
    <row r="1669" spans="14:18" x14ac:dyDescent="0.2">
      <c r="N1669" s="88" t="str">
        <f t="shared" si="31"/>
        <v>1w</v>
      </c>
      <c r="O1669" s="82">
        <f>_xll.qlCalendarAdvance(Calendar,O1668,N1669,"f",FALSE)</f>
        <v>50991</v>
      </c>
      <c r="P1669" s="92">
        <f>_xll.qlCalendarAdvance(Calendar,O1669,NDays&amp;"D")</f>
        <v>50993</v>
      </c>
      <c r="Q1669" s="81">
        <v>2.3964682920054325E-2</v>
      </c>
      <c r="R1669" s="85">
        <v>2.3957810334795937E-2</v>
      </c>
    </row>
    <row r="1670" spans="14:18" x14ac:dyDescent="0.2">
      <c r="N1670" s="88" t="str">
        <f t="shared" si="31"/>
        <v>1w</v>
      </c>
      <c r="O1670" s="82">
        <f>_xll.qlCalendarAdvance(Calendar,O1669,N1670,"f",FALSE)</f>
        <v>50998</v>
      </c>
      <c r="P1670" s="92">
        <f>_xll.qlCalendarAdvance(Calendar,O1670,NDays&amp;"D")</f>
        <v>51000</v>
      </c>
      <c r="Q1670" s="81">
        <v>2.3953803670123397E-2</v>
      </c>
      <c r="R1670" s="85">
        <v>2.3946974051884951E-2</v>
      </c>
    </row>
    <row r="1671" spans="14:18" x14ac:dyDescent="0.2">
      <c r="N1671" s="88" t="str">
        <f t="shared" si="31"/>
        <v>1w</v>
      </c>
      <c r="O1671" s="82">
        <f>_xll.qlCalendarAdvance(Calendar,O1670,N1671,"f",FALSE)</f>
        <v>51005</v>
      </c>
      <c r="P1671" s="92">
        <f>_xll.qlCalendarAdvance(Calendar,O1671,NDays&amp;"D")</f>
        <v>51007</v>
      </c>
      <c r="Q1671" s="81">
        <v>2.3942911884677343E-2</v>
      </c>
      <c r="R1671" s="85">
        <v>2.3936125248988915E-2</v>
      </c>
    </row>
    <row r="1672" spans="14:18" x14ac:dyDescent="0.2">
      <c r="N1672" s="88" t="str">
        <f t="shared" si="31"/>
        <v>1w</v>
      </c>
      <c r="O1672" s="82">
        <f>_xll.qlCalendarAdvance(Calendar,O1671,N1672,"f",FALSE)</f>
        <v>51012</v>
      </c>
      <c r="P1672" s="92">
        <f>_xll.qlCalendarAdvance(Calendar,O1672,NDays&amp;"D")</f>
        <v>51014</v>
      </c>
      <c r="Q1672" s="81">
        <v>2.3932007563751134E-2</v>
      </c>
      <c r="R1672" s="85">
        <v>2.392526392634764E-2</v>
      </c>
    </row>
    <row r="1673" spans="14:18" x14ac:dyDescent="0.2">
      <c r="N1673" s="88" t="str">
        <f t="shared" si="31"/>
        <v>1w</v>
      </c>
      <c r="O1673" s="82">
        <f>_xll.qlCalendarAdvance(Calendar,O1672,N1673,"f",FALSE)</f>
        <v>51019</v>
      </c>
      <c r="P1673" s="92">
        <f>_xll.qlCalendarAdvance(Calendar,O1673,NDays&amp;"D")</f>
        <v>51021</v>
      </c>
      <c r="Q1673" s="81">
        <v>2.3921090707382242E-2</v>
      </c>
      <c r="R1673" s="85">
        <v>2.3914390083801251E-2</v>
      </c>
    </row>
    <row r="1674" spans="14:18" x14ac:dyDescent="0.2">
      <c r="N1674" s="88" t="str">
        <f t="shared" si="31"/>
        <v>1w</v>
      </c>
      <c r="O1674" s="82">
        <f>_xll.qlCalendarAdvance(Calendar,O1673,N1674,"f",FALSE)</f>
        <v>51026</v>
      </c>
      <c r="P1674" s="92">
        <f>_xll.qlCalendarAdvance(Calendar,O1674,NDays&amp;"D")</f>
        <v>51028</v>
      </c>
      <c r="Q1674" s="81">
        <v>2.3910161315605638E-2</v>
      </c>
      <c r="R1674" s="85">
        <v>2.390350372134975E-2</v>
      </c>
    </row>
    <row r="1675" spans="14:18" x14ac:dyDescent="0.2">
      <c r="N1675" s="88" t="str">
        <f t="shared" si="31"/>
        <v>1w</v>
      </c>
      <c r="O1675" s="82">
        <f>_xll.qlCalendarAdvance(Calendar,O1674,N1675,"f",FALSE)</f>
        <v>51033</v>
      </c>
      <c r="P1675" s="92">
        <f>_xll.qlCalendarAdvance(Calendar,O1675,NDays&amp;"D")</f>
        <v>51035</v>
      </c>
      <c r="Q1675" s="81">
        <v>2.3899219388456294E-2</v>
      </c>
      <c r="R1675" s="85">
        <v>2.3892604839073073E-2</v>
      </c>
    </row>
    <row r="1676" spans="14:18" x14ac:dyDescent="0.2">
      <c r="N1676" s="88" t="str">
        <f t="shared" si="31"/>
        <v>1w</v>
      </c>
      <c r="O1676" s="82">
        <f>_xll.qlCalendarAdvance(Calendar,O1675,N1676,"f",FALSE)</f>
        <v>51040</v>
      </c>
      <c r="P1676" s="92">
        <f>_xll.qlCalendarAdvance(Calendar,O1676,NDays&amp;"D")</f>
        <v>51042</v>
      </c>
      <c r="Q1676" s="81">
        <v>2.3888264925974179E-2</v>
      </c>
      <c r="R1676" s="85">
        <v>2.3881693436971219E-2</v>
      </c>
    </row>
    <row r="1677" spans="14:18" x14ac:dyDescent="0.2">
      <c r="N1677" s="88" t="str">
        <f t="shared" si="31"/>
        <v>1w</v>
      </c>
      <c r="O1677" s="82">
        <f>_xll.qlCalendarAdvance(Calendar,O1676,N1677,"f",FALSE)</f>
        <v>51047</v>
      </c>
      <c r="P1677" s="92">
        <f>_xll.qlCalendarAdvance(Calendar,O1677,NDays&amp;"D")</f>
        <v>51049</v>
      </c>
      <c r="Q1677" s="81">
        <v>2.3877297928194263E-2</v>
      </c>
      <c r="R1677" s="85">
        <v>2.3870769514884316E-2</v>
      </c>
    </row>
    <row r="1678" spans="14:18" x14ac:dyDescent="0.2">
      <c r="N1678" s="88" t="str">
        <f t="shared" si="31"/>
        <v>1w</v>
      </c>
      <c r="O1678" s="82">
        <f>_xll.qlCalendarAdvance(Calendar,O1677,N1678,"f",FALSE)</f>
        <v>51054</v>
      </c>
      <c r="P1678" s="92">
        <f>_xll.qlCalendarAdvance(Calendar,O1678,NDays&amp;"D")</f>
        <v>51056</v>
      </c>
      <c r="Q1678" s="81">
        <v>2.386631839515152E-2</v>
      </c>
      <c r="R1678" s="85">
        <v>2.3859833072972236E-2</v>
      </c>
    </row>
    <row r="1679" spans="14:18" x14ac:dyDescent="0.2">
      <c r="N1679" s="88" t="str">
        <f t="shared" si="31"/>
        <v>1w</v>
      </c>
      <c r="O1679" s="82">
        <f>_xll.qlCalendarAdvance(Calendar,O1678,N1679,"f",FALSE)</f>
        <v>51061</v>
      </c>
      <c r="P1679" s="92">
        <f>_xll.qlCalendarAdvance(Calendar,O1679,NDays&amp;"D")</f>
        <v>51063</v>
      </c>
      <c r="Q1679" s="81">
        <v>2.3855326326883419E-2</v>
      </c>
      <c r="R1679" s="85">
        <v>2.384888411123498E-2</v>
      </c>
    </row>
    <row r="1680" spans="14:18" x14ac:dyDescent="0.2">
      <c r="N1680" s="88" t="str">
        <f t="shared" si="31"/>
        <v>1w</v>
      </c>
      <c r="O1680" s="82">
        <f>_xll.qlCalendarAdvance(Calendar,O1679,N1680,"f",FALSE)</f>
        <v>51068</v>
      </c>
      <c r="P1680" s="92">
        <f>_xll.qlCalendarAdvance(Calendar,O1680,NDays&amp;"D")</f>
        <v>51070</v>
      </c>
      <c r="Q1680" s="81">
        <v>2.3844321723429929E-2</v>
      </c>
      <c r="R1680" s="85">
        <v>2.3837922629672548E-2</v>
      </c>
    </row>
    <row r="1681" spans="14:18" x14ac:dyDescent="0.2">
      <c r="N1681" s="88" t="str">
        <f t="shared" si="31"/>
        <v>1w</v>
      </c>
      <c r="O1681" s="82">
        <f>_xll.qlCalendarAdvance(Calendar,O1680,N1681,"f",FALSE)</f>
        <v>51075</v>
      </c>
      <c r="P1681" s="92">
        <f>_xll.qlCalendarAdvance(Calendar,O1681,NDays&amp;"D")</f>
        <v>51077</v>
      </c>
      <c r="Q1681" s="81">
        <v>2.3833304584821025E-2</v>
      </c>
      <c r="R1681" s="85">
        <v>2.382694862804513E-2</v>
      </c>
    </row>
    <row r="1682" spans="14:18" x14ac:dyDescent="0.2">
      <c r="N1682" s="88" t="str">
        <f t="shared" si="31"/>
        <v>1w</v>
      </c>
      <c r="O1682" s="82">
        <f>_xll.qlCalendarAdvance(Calendar,O1681,N1682,"f",FALSE)</f>
        <v>51082</v>
      </c>
      <c r="P1682" s="92">
        <f>_xll.qlCalendarAdvance(Calendar,O1682,NDays&amp;"D")</f>
        <v>51084</v>
      </c>
      <c r="Q1682" s="81">
        <v>2.3822274911101671E-2</v>
      </c>
      <c r="R1682" s="85">
        <v>2.3815962106752409E-2</v>
      </c>
    </row>
    <row r="1683" spans="14:18" x14ac:dyDescent="0.2">
      <c r="N1683" s="88" t="str">
        <f t="shared" si="31"/>
        <v>1w</v>
      </c>
      <c r="O1683" s="82">
        <f>_xll.qlCalendarAdvance(Calendar,O1682,N1683,"f",FALSE)</f>
        <v>51089</v>
      </c>
      <c r="P1683" s="92">
        <f>_xll.qlCalendarAdvance(Calendar,O1683,NDays&amp;"D")</f>
        <v>51091</v>
      </c>
      <c r="Q1683" s="81">
        <v>2.3811232702304341E-2</v>
      </c>
      <c r="R1683" s="85">
        <v>2.3804963065554574E-2</v>
      </c>
    </row>
    <row r="1684" spans="14:18" x14ac:dyDescent="0.2">
      <c r="N1684" s="88" t="str">
        <f t="shared" si="31"/>
        <v>1w</v>
      </c>
      <c r="O1684" s="82">
        <f>_xll.qlCalendarAdvance(Calendar,O1683,N1684,"f",FALSE)</f>
        <v>51096</v>
      </c>
      <c r="P1684" s="92">
        <f>_xll.qlCalendarAdvance(Calendar,O1684,NDays&amp;"D")</f>
        <v>51098</v>
      </c>
      <c r="Q1684" s="81">
        <v>2.3800173305671312E-2</v>
      </c>
      <c r="R1684" s="85">
        <v>2.3793951504371691E-2</v>
      </c>
    </row>
    <row r="1685" spans="14:18" x14ac:dyDescent="0.2">
      <c r="N1685" s="88" t="str">
        <f t="shared" ref="N1685:N1748" si="32">N1684</f>
        <v>1w</v>
      </c>
      <c r="O1685" s="82">
        <f>_xll.qlCalendarAdvance(Calendar,O1684,N1685,"f",FALSE)</f>
        <v>51103</v>
      </c>
      <c r="P1685" s="92">
        <f>_xll.qlCalendarAdvance(Calendar,O1685,NDays&amp;"D")</f>
        <v>51105</v>
      </c>
      <c r="Q1685" s="81">
        <v>2.3789110679623138E-2</v>
      </c>
      <c r="R1685" s="85">
        <v>2.3782927423523503E-2</v>
      </c>
    </row>
    <row r="1686" spans="14:18" x14ac:dyDescent="0.2">
      <c r="N1686" s="88" t="str">
        <f t="shared" si="32"/>
        <v>1w</v>
      </c>
      <c r="O1686" s="82">
        <f>_xll.qlCalendarAdvance(Calendar,O1685,N1686,"f",FALSE)</f>
        <v>51110</v>
      </c>
      <c r="P1686" s="92">
        <f>_xll.qlCalendarAdvance(Calendar,O1686,NDays&amp;"D")</f>
        <v>51112</v>
      </c>
      <c r="Q1686" s="81">
        <v>2.3778030865809208E-2</v>
      </c>
      <c r="R1686" s="85">
        <v>2.3771890822690267E-2</v>
      </c>
    </row>
    <row r="1687" spans="14:18" x14ac:dyDescent="0.2">
      <c r="N1687" s="88" t="str">
        <f t="shared" si="32"/>
        <v>1w</v>
      </c>
      <c r="O1687" s="82">
        <f>_xll.qlCalendarAdvance(Calendar,O1686,N1687,"f",FALSE)</f>
        <v>51117</v>
      </c>
      <c r="P1687" s="92">
        <f>_xll.qlCalendarAdvance(Calendar,O1687,NDays&amp;"D")</f>
        <v>51119</v>
      </c>
      <c r="Q1687" s="81">
        <v>2.3766938517072178E-2</v>
      </c>
      <c r="R1687" s="85">
        <v>2.3760841702031854E-2</v>
      </c>
    </row>
    <row r="1688" spans="14:18" x14ac:dyDescent="0.2">
      <c r="N1688" s="88" t="str">
        <f t="shared" si="32"/>
        <v>1w</v>
      </c>
      <c r="O1688" s="82">
        <f>_xll.qlCalendarAdvance(Calendar,O1687,N1688,"f",FALSE)</f>
        <v>51124</v>
      </c>
      <c r="P1688" s="92">
        <f>_xll.qlCalendarAdvance(Calendar,O1688,NDays&amp;"D")</f>
        <v>51126</v>
      </c>
      <c r="Q1688" s="81">
        <v>2.3755833633437029E-2</v>
      </c>
      <c r="R1688" s="85">
        <v>2.3748198805142451E-2</v>
      </c>
    </row>
    <row r="1689" spans="14:18" x14ac:dyDescent="0.2">
      <c r="N1689" s="88" t="str">
        <f t="shared" si="32"/>
        <v>1w</v>
      </c>
      <c r="O1689" s="82">
        <f>_xll.qlCalendarAdvance(Calendar,O1688,N1689,"f",FALSE)</f>
        <v>51131</v>
      </c>
      <c r="P1689" s="92">
        <f>_xll.qlCalendarAdvance(Calendar,O1689,NDays&amp;"D")</f>
        <v>51133</v>
      </c>
      <c r="Q1689" s="81">
        <v>2.3744716214946227E-2</v>
      </c>
      <c r="R1689" s="85">
        <v>2.3738705901079626E-2</v>
      </c>
    </row>
    <row r="1690" spans="14:18" x14ac:dyDescent="0.2">
      <c r="N1690" s="88" t="str">
        <f t="shared" si="32"/>
        <v>1w</v>
      </c>
      <c r="O1690" s="82">
        <f>_xll.qlCalendarAdvance(Calendar,O1689,N1690,"f",FALSE)</f>
        <v>51138</v>
      </c>
      <c r="P1690" s="92">
        <f>_xll.qlCalendarAdvance(Calendar,O1690,NDays&amp;"D")</f>
        <v>51140</v>
      </c>
      <c r="Q1690" s="81">
        <v>2.3733586261639739E-2</v>
      </c>
      <c r="R1690" s="85">
        <v>2.3726034387321349E-2</v>
      </c>
    </row>
    <row r="1691" spans="14:18" x14ac:dyDescent="0.2">
      <c r="N1691" s="88" t="str">
        <f t="shared" si="32"/>
        <v>1w</v>
      </c>
      <c r="O1691" s="82">
        <f>_xll.qlCalendarAdvance(Calendar,O1690,N1691,"f",FALSE)</f>
        <v>51145</v>
      </c>
      <c r="P1691" s="92">
        <f>_xll.qlCalendarAdvance(Calendar,O1691,NDays&amp;"D")</f>
        <v>51147</v>
      </c>
      <c r="Q1691" s="81">
        <v>2.3722443773550039E-2</v>
      </c>
      <c r="R1691" s="85">
        <v>2.3716520020746756E-2</v>
      </c>
    </row>
    <row r="1692" spans="14:18" x14ac:dyDescent="0.2">
      <c r="N1692" s="88" t="str">
        <f t="shared" si="32"/>
        <v>1w</v>
      </c>
      <c r="O1692" s="82">
        <f>_xll.qlCalendarAdvance(Calendar,O1691,N1692,"f",FALSE)</f>
        <v>51152</v>
      </c>
      <c r="P1692" s="92">
        <f>_xll.qlCalendarAdvance(Calendar,O1692,NDays&amp;"D")</f>
        <v>51154</v>
      </c>
      <c r="Q1692" s="81">
        <v>2.3711288750717097E-2</v>
      </c>
      <c r="R1692" s="85">
        <v>2.3705408300802588E-2</v>
      </c>
    </row>
    <row r="1693" spans="14:18" x14ac:dyDescent="0.2">
      <c r="N1693" s="88" t="str">
        <f t="shared" si="32"/>
        <v>1w</v>
      </c>
      <c r="O1693" s="82">
        <f>_xll.qlCalendarAdvance(Calendar,O1692,N1693,"f",FALSE)</f>
        <v>51159</v>
      </c>
      <c r="P1693" s="92">
        <f>_xll.qlCalendarAdvance(Calendar,O1693,NDays&amp;"D")</f>
        <v>51161</v>
      </c>
      <c r="Q1693" s="81">
        <v>2.3700121193173385E-2</v>
      </c>
      <c r="R1693" s="85">
        <v>2.369428406111318E-2</v>
      </c>
    </row>
    <row r="1694" spans="14:18" x14ac:dyDescent="0.2">
      <c r="N1694" s="88" t="str">
        <f t="shared" si="32"/>
        <v>1w</v>
      </c>
      <c r="O1694" s="82">
        <f>_xll.qlCalendarAdvance(Calendar,O1693,N1694,"f",FALSE)</f>
        <v>51166</v>
      </c>
      <c r="P1694" s="92">
        <f>_xll.qlCalendarAdvance(Calendar,O1694,NDays&amp;"D")</f>
        <v>51168</v>
      </c>
      <c r="Q1694" s="81">
        <v>2.3689002971150598E-2</v>
      </c>
      <c r="R1694" s="85">
        <v>2.3683147301358787E-2</v>
      </c>
    </row>
    <row r="1695" spans="14:18" x14ac:dyDescent="0.2">
      <c r="N1695" s="88" t="str">
        <f t="shared" si="32"/>
        <v>1w</v>
      </c>
      <c r="O1695" s="82">
        <f>_xll.qlCalendarAdvance(Calendar,O1694,N1695,"f",FALSE)</f>
        <v>51173</v>
      </c>
      <c r="P1695" s="92">
        <f>_xll.qlCalendarAdvance(Calendar,O1695,NDays&amp;"D")</f>
        <v>51175</v>
      </c>
      <c r="Q1695" s="81">
        <v>2.3677815236439536E-2</v>
      </c>
      <c r="R1695" s="85">
        <v>2.3671998021859153E-2</v>
      </c>
    </row>
    <row r="1696" spans="14:18" x14ac:dyDescent="0.2">
      <c r="N1696" s="88" t="str">
        <f t="shared" si="32"/>
        <v>1w</v>
      </c>
      <c r="O1696" s="82">
        <f>_xll.qlCalendarAdvance(Calendar,O1695,N1696,"f",FALSE)</f>
        <v>51180</v>
      </c>
      <c r="P1696" s="92">
        <f>_xll.qlCalendarAdvance(Calendar,O1696,NDays&amp;"D")</f>
        <v>51182</v>
      </c>
      <c r="Q1696" s="81">
        <v>2.3666614968553976E-2</v>
      </c>
      <c r="R1696" s="85">
        <v>2.3660836222534343E-2</v>
      </c>
    </row>
    <row r="1697" spans="14:18" x14ac:dyDescent="0.2">
      <c r="N1697" s="88" t="str">
        <f t="shared" si="32"/>
        <v>1w</v>
      </c>
      <c r="O1697" s="82">
        <f>_xll.qlCalendarAdvance(Calendar,O1696,N1697,"f",FALSE)</f>
        <v>51187</v>
      </c>
      <c r="P1697" s="92">
        <f>_xll.qlCalendarAdvance(Calendar,O1697,NDays&amp;"D")</f>
        <v>51189</v>
      </c>
      <c r="Q1697" s="81">
        <v>2.3655402167524237E-2</v>
      </c>
      <c r="R1697" s="85">
        <v>2.3649661903384356E-2</v>
      </c>
    </row>
    <row r="1698" spans="14:18" x14ac:dyDescent="0.2">
      <c r="N1698" s="88" t="str">
        <f t="shared" si="32"/>
        <v>1w</v>
      </c>
      <c r="O1698" s="82">
        <f>_xll.qlCalendarAdvance(Calendar,O1697,N1698,"f",FALSE)</f>
        <v>51194</v>
      </c>
      <c r="P1698" s="92">
        <f>_xll.qlCalendarAdvance(Calendar,O1698,NDays&amp;"D")</f>
        <v>51196</v>
      </c>
      <c r="Q1698" s="81">
        <v>2.3644067923615258E-2</v>
      </c>
      <c r="R1698" s="85">
        <v>2.3638475064409192E-2</v>
      </c>
    </row>
    <row r="1699" spans="14:18" x14ac:dyDescent="0.2">
      <c r="N1699" s="88" t="str">
        <f t="shared" si="32"/>
        <v>1w</v>
      </c>
      <c r="O1699" s="82">
        <f>_xll.qlCalendarAdvance(Calendar,O1698,N1699,"f",FALSE)</f>
        <v>51201</v>
      </c>
      <c r="P1699" s="92">
        <f>_xll.qlCalendarAdvance(Calendar,O1699,NDays&amp;"D")</f>
        <v>51203</v>
      </c>
      <c r="Q1699" s="81">
        <v>2.3632852621163214E-2</v>
      </c>
      <c r="R1699" s="85">
        <v>2.362727570544898E-2</v>
      </c>
    </row>
    <row r="1700" spans="14:18" x14ac:dyDescent="0.2">
      <c r="N1700" s="88" t="str">
        <f t="shared" si="32"/>
        <v>1w</v>
      </c>
      <c r="O1700" s="82">
        <f>_xll.qlCalendarAdvance(Calendar,O1699,N1700,"f",FALSE)</f>
        <v>51208</v>
      </c>
      <c r="P1700" s="92">
        <f>_xll.qlCalendarAdvance(Calendar,O1700,NDays&amp;"D")</f>
        <v>51210</v>
      </c>
      <c r="Q1700" s="81">
        <v>2.3621597321715759E-2</v>
      </c>
      <c r="R1700" s="85">
        <v>2.3616063826663591E-2</v>
      </c>
    </row>
    <row r="1701" spans="14:18" x14ac:dyDescent="0.2">
      <c r="N1701" s="88" t="str">
        <f t="shared" si="32"/>
        <v>1w</v>
      </c>
      <c r="O1701" s="82">
        <f>_xll.qlCalendarAdvance(Calendar,O1700,N1701,"f",FALSE)</f>
        <v>51215</v>
      </c>
      <c r="P1701" s="92">
        <f>_xll.qlCalendarAdvance(Calendar,O1701,NDays&amp;"D")</f>
        <v>51217</v>
      </c>
      <c r="Q1701" s="81">
        <v>2.3610329487859794E-2</v>
      </c>
      <c r="R1701" s="85">
        <v>2.3604839428212898E-2</v>
      </c>
    </row>
    <row r="1702" spans="14:18" x14ac:dyDescent="0.2">
      <c r="N1702" s="88" t="str">
        <f t="shared" si="32"/>
        <v>1w</v>
      </c>
      <c r="O1702" s="82">
        <f>_xll.qlCalendarAdvance(Calendar,O1701,N1702,"f",FALSE)</f>
        <v>51222</v>
      </c>
      <c r="P1702" s="92">
        <f>_xll.qlCalendarAdvance(Calendar,O1702,NDays&amp;"D")</f>
        <v>51224</v>
      </c>
      <c r="Q1702" s="81">
        <v>2.3599049119635285E-2</v>
      </c>
      <c r="R1702" s="85">
        <v>2.3590389662109246E-2</v>
      </c>
    </row>
    <row r="1703" spans="14:18" x14ac:dyDescent="0.2">
      <c r="N1703" s="88" t="str">
        <f t="shared" si="32"/>
        <v>1w</v>
      </c>
      <c r="O1703" s="82">
        <f>_xll.qlCalendarAdvance(Calendar,O1702,N1703,"f",FALSE)</f>
        <v>51229</v>
      </c>
      <c r="P1703" s="92">
        <f>_xll.qlCalendarAdvance(Calendar,O1703,NDays&amp;"D")</f>
        <v>51231</v>
      </c>
      <c r="Q1703" s="81">
        <v>2.3587756217079703E-2</v>
      </c>
      <c r="R1703" s="85">
        <v>2.3582353071516238E-2</v>
      </c>
    </row>
    <row r="1704" spans="14:18" x14ac:dyDescent="0.2">
      <c r="N1704" s="88" t="str">
        <f t="shared" si="32"/>
        <v>1w</v>
      </c>
      <c r="O1704" s="82">
        <f>_xll.qlCalendarAdvance(Calendar,O1703,N1704,"f",FALSE)</f>
        <v>51236</v>
      </c>
      <c r="P1704" s="92">
        <f>_xll.qlCalendarAdvance(Calendar,O1704,NDays&amp;"D")</f>
        <v>51238</v>
      </c>
      <c r="Q1704" s="81">
        <v>2.3576450780225522E-2</v>
      </c>
      <c r="R1704" s="85">
        <v>2.3571091113430143E-2</v>
      </c>
    </row>
    <row r="1705" spans="14:18" x14ac:dyDescent="0.2">
      <c r="N1705" s="88" t="str">
        <f t="shared" si="32"/>
        <v>1w</v>
      </c>
      <c r="O1705" s="82">
        <f>_xll.qlCalendarAdvance(Calendar,O1704,N1705,"f",FALSE)</f>
        <v>51243</v>
      </c>
      <c r="P1705" s="92">
        <f>_xll.qlCalendarAdvance(Calendar,O1705,NDays&amp;"D")</f>
        <v>51245</v>
      </c>
      <c r="Q1705" s="81">
        <v>2.356509390697022E-2</v>
      </c>
      <c r="R1705" s="85">
        <v>2.3559816635518871E-2</v>
      </c>
    </row>
    <row r="1706" spans="14:18" x14ac:dyDescent="0.2">
      <c r="N1706" s="88" t="str">
        <f t="shared" si="32"/>
        <v>1w</v>
      </c>
      <c r="O1706" s="82">
        <f>_xll.qlCalendarAdvance(Calendar,O1705,N1706,"f",FALSE)</f>
        <v>51250</v>
      </c>
      <c r="P1706" s="92">
        <f>_xll.qlCalendarAdvance(Calendar,O1706,NDays&amp;"D")</f>
        <v>51252</v>
      </c>
      <c r="Q1706" s="81">
        <v>2.3553802303786231E-2</v>
      </c>
      <c r="R1706" s="85">
        <v>2.3548493044893704E-2</v>
      </c>
    </row>
    <row r="1707" spans="14:18" x14ac:dyDescent="0.2">
      <c r="N1707" s="88" t="str">
        <f t="shared" si="32"/>
        <v>1w</v>
      </c>
      <c r="O1707" s="82">
        <f>_xll.qlCalendarAdvance(Calendar,O1706,N1707,"f",FALSE)</f>
        <v>51258</v>
      </c>
      <c r="P1707" s="92">
        <f>_xll.qlCalendarAdvance(Calendar,O1707,NDays&amp;"D")</f>
        <v>51260</v>
      </c>
      <c r="Q1707" s="81">
        <v>2.3540880057664696E-2</v>
      </c>
      <c r="R1707" s="85">
        <v>2.3535614881318168E-2</v>
      </c>
    </row>
    <row r="1708" spans="14:18" x14ac:dyDescent="0.2">
      <c r="N1708" s="88" t="str">
        <f t="shared" si="32"/>
        <v>1w</v>
      </c>
      <c r="O1708" s="82">
        <f>_xll.qlCalendarAdvance(Calendar,O1707,N1708,"f",FALSE)</f>
        <v>51265</v>
      </c>
      <c r="P1708" s="92">
        <f>_xll.qlCalendarAdvance(Calendar,O1708,NDays&amp;"D")</f>
        <v>51270</v>
      </c>
      <c r="Q1708" s="81">
        <v>2.3524653753279397E-2</v>
      </c>
      <c r="R1708" s="85">
        <v>2.3522683772494446E-2</v>
      </c>
    </row>
    <row r="1709" spans="14:18" x14ac:dyDescent="0.2">
      <c r="N1709" s="88" t="str">
        <f t="shared" si="32"/>
        <v>1w</v>
      </c>
      <c r="O1709" s="82">
        <f>_xll.qlCalendarAdvance(Calendar,O1708,N1709,"f",FALSE)</f>
        <v>51272</v>
      </c>
      <c r="P1709" s="92">
        <f>_xll.qlCalendarAdvance(Calendar,O1709,NDays&amp;"D")</f>
        <v>51274</v>
      </c>
      <c r="Q1709" s="81">
        <v>2.3518156069440674E-2</v>
      </c>
      <c r="R1709" s="85">
        <v>2.3511355638143883E-2</v>
      </c>
    </row>
    <row r="1710" spans="14:18" x14ac:dyDescent="0.2">
      <c r="N1710" s="88" t="str">
        <f t="shared" si="32"/>
        <v>1w</v>
      </c>
      <c r="O1710" s="82">
        <f>_xll.qlCalendarAdvance(Calendar,O1709,N1710,"f",FALSE)</f>
        <v>51279</v>
      </c>
      <c r="P1710" s="92">
        <f>_xll.qlCalendarAdvance(Calendar,O1710,NDays&amp;"D")</f>
        <v>51281</v>
      </c>
      <c r="Q1710" s="81">
        <v>2.3506775274904222E-2</v>
      </c>
      <c r="R1710" s="85">
        <v>2.350163584389442E-2</v>
      </c>
    </row>
    <row r="1711" spans="14:18" x14ac:dyDescent="0.2">
      <c r="N1711" s="88" t="str">
        <f t="shared" si="32"/>
        <v>1w</v>
      </c>
      <c r="O1711" s="82">
        <f>_xll.qlCalendarAdvance(Calendar,O1710,N1711,"f",FALSE)</f>
        <v>51286</v>
      </c>
      <c r="P1711" s="92">
        <f>_xll.qlCalendarAdvance(Calendar,O1711,NDays&amp;"D")</f>
        <v>51288</v>
      </c>
      <c r="Q1711" s="81">
        <v>2.3495381946796168E-2</v>
      </c>
      <c r="R1711" s="85">
        <v>2.3490284458462796E-2</v>
      </c>
    </row>
    <row r="1712" spans="14:18" x14ac:dyDescent="0.2">
      <c r="N1712" s="88" t="str">
        <f t="shared" si="32"/>
        <v>1w</v>
      </c>
      <c r="O1712" s="82">
        <f>_xll.qlCalendarAdvance(Calendar,O1711,N1712,"f",FALSE)</f>
        <v>51293</v>
      </c>
      <c r="P1712" s="92">
        <f>_xll.qlCalendarAdvance(Calendar,O1712,NDays&amp;"D")</f>
        <v>51295</v>
      </c>
      <c r="Q1712" s="81">
        <v>2.3483976085155196E-2</v>
      </c>
      <c r="R1712" s="85">
        <v>2.3478920553126059E-2</v>
      </c>
    </row>
    <row r="1713" spans="14:18" x14ac:dyDescent="0.2">
      <c r="N1713" s="88" t="str">
        <f t="shared" si="32"/>
        <v>1w</v>
      </c>
      <c r="O1713" s="82">
        <f>_xll.qlCalendarAdvance(Calendar,O1712,N1713,"f",FALSE)</f>
        <v>51300</v>
      </c>
      <c r="P1713" s="92">
        <f>_xll.qlCalendarAdvance(Calendar,O1713,NDays&amp;"D")</f>
        <v>51302</v>
      </c>
      <c r="Q1713" s="81">
        <v>2.3472557690022558E-2</v>
      </c>
      <c r="R1713" s="85">
        <v>2.3467544127964146E-2</v>
      </c>
    </row>
    <row r="1714" spans="14:18" x14ac:dyDescent="0.2">
      <c r="N1714" s="88" t="str">
        <f t="shared" si="32"/>
        <v>1w</v>
      </c>
      <c r="O1714" s="82">
        <f>_xll.qlCalendarAdvance(Calendar,O1713,N1714,"f",FALSE)</f>
        <v>51307</v>
      </c>
      <c r="P1714" s="92">
        <f>_xll.qlCalendarAdvance(Calendar,O1714,NDays&amp;"D")</f>
        <v>51312</v>
      </c>
      <c r="Q1714" s="81">
        <v>2.3456278218550786E-2</v>
      </c>
      <c r="R1714" s="85">
        <v>2.3454527168933481E-2</v>
      </c>
    </row>
    <row r="1715" spans="14:18" x14ac:dyDescent="0.2">
      <c r="N1715" s="88" t="str">
        <f t="shared" si="32"/>
        <v>1w</v>
      </c>
      <c r="O1715" s="82">
        <f>_xll.qlCalendarAdvance(Calendar,O1714,N1715,"f",FALSE)</f>
        <v>51314</v>
      </c>
      <c r="P1715" s="92">
        <f>_xll.qlCalendarAdvance(Calendar,O1715,NDays&amp;"D")</f>
        <v>51316</v>
      </c>
      <c r="Q1715" s="81">
        <v>2.3449627940230755E-2</v>
      </c>
      <c r="R1715" s="85">
        <v>2.3444753718244726E-2</v>
      </c>
    </row>
    <row r="1716" spans="14:18" x14ac:dyDescent="0.2">
      <c r="N1716" s="88" t="str">
        <f t="shared" si="32"/>
        <v>1w</v>
      </c>
      <c r="O1716" s="82">
        <f>_xll.qlCalendarAdvance(Calendar,O1715,N1716,"f",FALSE)</f>
        <v>51321</v>
      </c>
      <c r="P1716" s="92">
        <f>_xll.qlCalendarAdvance(Calendar,O1716,NDays&amp;"D")</f>
        <v>51323</v>
      </c>
      <c r="Q1716" s="81">
        <v>2.3438227304012457E-2</v>
      </c>
      <c r="R1716" s="85">
        <v>2.343333973368722E-2</v>
      </c>
    </row>
    <row r="1717" spans="14:18" x14ac:dyDescent="0.2">
      <c r="N1717" s="88" t="str">
        <f t="shared" si="32"/>
        <v>1w</v>
      </c>
      <c r="O1717" s="82">
        <f>_xll.qlCalendarAdvance(Calendar,O1716,N1717,"f",FALSE)</f>
        <v>51328</v>
      </c>
      <c r="P1717" s="92">
        <f>_xll.qlCalendarAdvance(Calendar,O1717,NDays&amp;"D")</f>
        <v>51330</v>
      </c>
      <c r="Q1717" s="81">
        <v>2.3426758775263852E-2</v>
      </c>
      <c r="R1717" s="85">
        <v>2.34219132292246E-2</v>
      </c>
    </row>
    <row r="1718" spans="14:18" x14ac:dyDescent="0.2">
      <c r="N1718" s="88" t="str">
        <f t="shared" si="32"/>
        <v>1w</v>
      </c>
      <c r="O1718" s="82">
        <f>_xll.qlCalendarAdvance(Calendar,O1717,N1718,"f",FALSE)</f>
        <v>51335</v>
      </c>
      <c r="P1718" s="92">
        <f>_xll.qlCalendarAdvance(Calendar,O1718,NDays&amp;"D")</f>
        <v>51337</v>
      </c>
      <c r="Q1718" s="81">
        <v>2.3415277713206659E-2</v>
      </c>
      <c r="R1718" s="85">
        <v>2.3410474204936804E-2</v>
      </c>
    </row>
    <row r="1719" spans="14:18" x14ac:dyDescent="0.2">
      <c r="N1719" s="88" t="str">
        <f t="shared" si="32"/>
        <v>1w</v>
      </c>
      <c r="O1719" s="82">
        <f>_xll.qlCalendarAdvance(Calendar,O1718,N1719,"f",FALSE)</f>
        <v>51342</v>
      </c>
      <c r="P1719" s="92">
        <f>_xll.qlCalendarAdvance(Calendar,O1719,NDays&amp;"D")</f>
        <v>51344</v>
      </c>
      <c r="Q1719" s="81">
        <v>2.3403784117874405E-2</v>
      </c>
      <c r="R1719" s="85">
        <v>2.3399022660903768E-2</v>
      </c>
    </row>
    <row r="1720" spans="14:18" x14ac:dyDescent="0.2">
      <c r="N1720" s="88" t="str">
        <f t="shared" si="32"/>
        <v>1w</v>
      </c>
      <c r="O1720" s="82">
        <f>_xll.qlCalendarAdvance(Calendar,O1719,N1720,"f",FALSE)</f>
        <v>51349</v>
      </c>
      <c r="P1720" s="92">
        <f>_xll.qlCalendarAdvance(Calendar,O1720,NDays&amp;"D")</f>
        <v>51351</v>
      </c>
      <c r="Q1720" s="81">
        <v>2.3392277989308347E-2</v>
      </c>
      <c r="R1720" s="85">
        <v>2.3387558597045555E-2</v>
      </c>
    </row>
    <row r="1721" spans="14:18" x14ac:dyDescent="0.2">
      <c r="N1721" s="88" t="str">
        <f t="shared" si="32"/>
        <v>1w</v>
      </c>
      <c r="O1721" s="82">
        <f>_xll.qlCalendarAdvance(Calendar,O1720,N1721,"f",FALSE)</f>
        <v>51356</v>
      </c>
      <c r="P1721" s="92">
        <f>_xll.qlCalendarAdvance(Calendar,O1721,NDays&amp;"D")</f>
        <v>51358</v>
      </c>
      <c r="Q1721" s="81">
        <v>2.3380759327539427E-2</v>
      </c>
      <c r="R1721" s="85">
        <v>2.3376082013282229E-2</v>
      </c>
    </row>
    <row r="1722" spans="14:18" x14ac:dyDescent="0.2">
      <c r="N1722" s="88" t="str">
        <f t="shared" si="32"/>
        <v>1w</v>
      </c>
      <c r="O1722" s="82">
        <f>_xll.qlCalendarAdvance(Calendar,O1721,N1722,"f",FALSE)</f>
        <v>51363</v>
      </c>
      <c r="P1722" s="92">
        <f>_xll.qlCalendarAdvance(Calendar,O1722,NDays&amp;"D")</f>
        <v>51365</v>
      </c>
      <c r="Q1722" s="81">
        <v>2.3369228132611476E-2</v>
      </c>
      <c r="R1722" s="85">
        <v>2.3364592909773663E-2</v>
      </c>
    </row>
    <row r="1723" spans="14:18" x14ac:dyDescent="0.2">
      <c r="N1723" s="88" t="str">
        <f t="shared" si="32"/>
        <v>1w</v>
      </c>
      <c r="O1723" s="82">
        <f>_xll.qlCalendarAdvance(Calendar,O1722,N1723,"f",FALSE)</f>
        <v>51370</v>
      </c>
      <c r="P1723" s="92">
        <f>_xll.qlCalendarAdvance(Calendar,O1723,NDays&amp;"D")</f>
        <v>51372</v>
      </c>
      <c r="Q1723" s="81">
        <v>2.3357684404558023E-2</v>
      </c>
      <c r="R1723" s="85">
        <v>2.335309128643992E-2</v>
      </c>
    </row>
    <row r="1724" spans="14:18" x14ac:dyDescent="0.2">
      <c r="N1724" s="88" t="str">
        <f t="shared" si="32"/>
        <v>1w</v>
      </c>
      <c r="O1724" s="82">
        <f>_xll.qlCalendarAdvance(Calendar,O1723,N1724,"f",FALSE)</f>
        <v>51377</v>
      </c>
      <c r="P1724" s="92">
        <f>_xll.qlCalendarAdvance(Calendar,O1724,NDays&amp;"D")</f>
        <v>51379</v>
      </c>
      <c r="Q1724" s="81">
        <v>2.3346337606695893E-2</v>
      </c>
      <c r="R1724" s="85">
        <v>2.3341577143281E-2</v>
      </c>
    </row>
    <row r="1725" spans="14:18" x14ac:dyDescent="0.2">
      <c r="N1725" s="88" t="str">
        <f t="shared" si="32"/>
        <v>1w</v>
      </c>
      <c r="O1725" s="82">
        <f>_xll.qlCalendarAdvance(Calendar,O1724,N1725,"f",FALSE)</f>
        <v>51384</v>
      </c>
      <c r="P1725" s="92">
        <f>_xll.qlCalendarAdvance(Calendar,O1725,NDays&amp;"D")</f>
        <v>51386</v>
      </c>
      <c r="Q1725" s="81">
        <v>2.3334565595796452E-2</v>
      </c>
      <c r="R1725" s="85">
        <v>2.3330050480296904E-2</v>
      </c>
    </row>
    <row r="1726" spans="14:18" x14ac:dyDescent="0.2">
      <c r="N1726" s="88" t="str">
        <f t="shared" si="32"/>
        <v>1w</v>
      </c>
      <c r="O1726" s="82">
        <f>_xll.qlCalendarAdvance(Calendar,O1725,N1726,"f",FALSE)</f>
        <v>51391</v>
      </c>
      <c r="P1726" s="92">
        <f>_xll.qlCalendarAdvance(Calendar,O1726,NDays&amp;"D")</f>
        <v>51393</v>
      </c>
      <c r="Q1726" s="81">
        <v>2.3323008711366364E-2</v>
      </c>
      <c r="R1726" s="85">
        <v>2.3318511297487632E-2</v>
      </c>
    </row>
    <row r="1727" spans="14:18" x14ac:dyDescent="0.2">
      <c r="N1727" s="88" t="str">
        <f t="shared" si="32"/>
        <v>1w</v>
      </c>
      <c r="O1727" s="82">
        <f>_xll.qlCalendarAdvance(Calendar,O1726,N1727,"f",FALSE)</f>
        <v>51398</v>
      </c>
      <c r="P1727" s="92">
        <f>_xll.qlCalendarAdvance(Calendar,O1727,NDays&amp;"D")</f>
        <v>51400</v>
      </c>
      <c r="Q1727" s="81">
        <v>2.331147051417384E-2</v>
      </c>
      <c r="R1727" s="85">
        <v>2.3306959594933119E-2</v>
      </c>
    </row>
    <row r="1728" spans="14:18" x14ac:dyDescent="0.2">
      <c r="N1728" s="88" t="str">
        <f t="shared" si="32"/>
        <v>1w</v>
      </c>
      <c r="O1728" s="82">
        <f>_xll.qlCalendarAdvance(Calendar,O1727,N1728,"f",FALSE)</f>
        <v>51405</v>
      </c>
      <c r="P1728" s="92">
        <f>_xll.qlCalendarAdvance(Calendar,O1728,NDays&amp;"D")</f>
        <v>51407</v>
      </c>
      <c r="Q1728" s="81">
        <v>2.3299835070188412E-2</v>
      </c>
      <c r="R1728" s="85">
        <v>2.3295407161763038E-2</v>
      </c>
    </row>
    <row r="1729" spans="14:18" x14ac:dyDescent="0.2">
      <c r="N1729" s="88" t="str">
        <f t="shared" si="32"/>
        <v>1w</v>
      </c>
      <c r="O1729" s="82">
        <f>_xll.qlCalendarAdvance(Calendar,O1728,N1729,"f",FALSE)</f>
        <v>51412</v>
      </c>
      <c r="P1729" s="92">
        <f>_xll.qlCalendarAdvance(Calendar,O1729,NDays&amp;"D")</f>
        <v>51414</v>
      </c>
      <c r="Q1729" s="81">
        <v>2.328849946024773E-2</v>
      </c>
      <c r="R1729" s="85">
        <v>2.3283895357533169E-2</v>
      </c>
    </row>
    <row r="1730" spans="14:18" x14ac:dyDescent="0.2">
      <c r="N1730" s="88" t="str">
        <f t="shared" si="32"/>
        <v>1w</v>
      </c>
      <c r="O1730" s="82">
        <f>_xll.qlCalendarAdvance(Calendar,O1729,N1730,"f",FALSE)</f>
        <v>51419</v>
      </c>
      <c r="P1730" s="92">
        <f>_xll.qlCalendarAdvance(Calendar,O1730,NDays&amp;"D")</f>
        <v>51421</v>
      </c>
      <c r="Q1730" s="81">
        <v>2.327707945865819E-2</v>
      </c>
      <c r="R1730" s="85">
        <v>2.3272427854266198E-2</v>
      </c>
    </row>
    <row r="1731" spans="14:18" x14ac:dyDescent="0.2">
      <c r="N1731" s="88" t="str">
        <f t="shared" si="32"/>
        <v>1w</v>
      </c>
      <c r="O1731" s="82">
        <f>_xll.qlCalendarAdvance(Calendar,O1730,N1731,"f",FALSE)</f>
        <v>51426</v>
      </c>
      <c r="P1731" s="92">
        <f>_xll.qlCalendarAdvance(Calendar,O1731,NDays&amp;"D")</f>
        <v>51428</v>
      </c>
      <c r="Q1731" s="81">
        <v>2.326570385467424E-2</v>
      </c>
      <c r="R1731" s="85">
        <v>2.3261004651642381E-2</v>
      </c>
    </row>
    <row r="1732" spans="14:18" x14ac:dyDescent="0.2">
      <c r="N1732" s="88" t="str">
        <f t="shared" si="32"/>
        <v>1w</v>
      </c>
      <c r="O1732" s="82">
        <f>_xll.qlCalendarAdvance(Calendar,O1731,N1732,"f",FALSE)</f>
        <v>51433</v>
      </c>
      <c r="P1732" s="92">
        <f>_xll.qlCalendarAdvance(Calendar,O1732,NDays&amp;"D")</f>
        <v>51435</v>
      </c>
      <c r="Q1732" s="81">
        <v>2.3254372648154064E-2</v>
      </c>
      <c r="R1732" s="85">
        <v>2.3249625750061398E-2</v>
      </c>
    </row>
    <row r="1733" spans="14:18" x14ac:dyDescent="0.2">
      <c r="N1733" s="88" t="str">
        <f t="shared" si="32"/>
        <v>1w</v>
      </c>
      <c r="O1733" s="82">
        <f>_xll.qlCalendarAdvance(Calendar,O1732,N1733,"f",FALSE)</f>
        <v>51440</v>
      </c>
      <c r="P1733" s="92">
        <f>_xll.qlCalendarAdvance(Calendar,O1733,NDays&amp;"D")</f>
        <v>51442</v>
      </c>
      <c r="Q1733" s="81">
        <v>2.3243085838981617E-2</v>
      </c>
      <c r="R1733" s="85">
        <v>2.3238291149123569E-2</v>
      </c>
    </row>
    <row r="1734" spans="14:18" x14ac:dyDescent="0.2">
      <c r="N1734" s="88" t="str">
        <f t="shared" si="32"/>
        <v>1w</v>
      </c>
      <c r="O1734" s="82">
        <f>_xll.qlCalendarAdvance(Calendar,O1733,N1734,"f",FALSE)</f>
        <v>51447</v>
      </c>
      <c r="P1734" s="92">
        <f>_xll.qlCalendarAdvance(Calendar,O1734,NDays&amp;"D")</f>
        <v>51449</v>
      </c>
      <c r="Q1734" s="81">
        <v>2.3231843427020241E-2</v>
      </c>
      <c r="R1734" s="85">
        <v>2.3227000849228574E-2</v>
      </c>
    </row>
    <row r="1735" spans="14:18" x14ac:dyDescent="0.2">
      <c r="N1735" s="88" t="str">
        <f t="shared" si="32"/>
        <v>1w</v>
      </c>
      <c r="O1735" s="82">
        <f>_xll.qlCalendarAdvance(Calendar,O1734,N1735,"f",FALSE)</f>
        <v>51454</v>
      </c>
      <c r="P1735" s="92">
        <f>_xll.qlCalendarAdvance(Calendar,O1735,NDays&amp;"D")</f>
        <v>51456</v>
      </c>
      <c r="Q1735" s="81">
        <v>2.3220645412138426E-2</v>
      </c>
      <c r="R1735" s="85">
        <v>2.3215754850136605E-2</v>
      </c>
    </row>
    <row r="1736" spans="14:18" x14ac:dyDescent="0.2">
      <c r="N1736" s="88" t="str">
        <f t="shared" si="32"/>
        <v>1w</v>
      </c>
      <c r="O1736" s="82">
        <f>_xll.qlCalendarAdvance(Calendar,O1735,N1736,"f",FALSE)</f>
        <v>51461</v>
      </c>
      <c r="P1736" s="92">
        <f>_xll.qlCalendarAdvance(Calendar,O1736,NDays&amp;"D")</f>
        <v>51463</v>
      </c>
      <c r="Q1736" s="81">
        <v>2.320935756283906E-2</v>
      </c>
      <c r="R1736" s="85">
        <v>2.3204553151847662E-2</v>
      </c>
    </row>
    <row r="1737" spans="14:18" x14ac:dyDescent="0.2">
      <c r="N1737" s="88" t="str">
        <f t="shared" si="32"/>
        <v>1w</v>
      </c>
      <c r="O1737" s="82">
        <f>_xll.qlCalendarAdvance(Calendar,O1736,N1737,"f",FALSE)</f>
        <v>51468</v>
      </c>
      <c r="P1737" s="92">
        <f>_xll.qlCalendarAdvance(Calendar,O1737,NDays&amp;"D")</f>
        <v>51470</v>
      </c>
      <c r="Q1737" s="81">
        <v>2.3198511526676083E-2</v>
      </c>
      <c r="R1737" s="85">
        <v>2.3193395754521617E-2</v>
      </c>
    </row>
    <row r="1738" spans="14:18" x14ac:dyDescent="0.2">
      <c r="N1738" s="88" t="str">
        <f t="shared" si="32"/>
        <v>1w</v>
      </c>
      <c r="O1738" s="82">
        <f>_xll.qlCalendarAdvance(Calendar,O1737,N1738,"f",FALSE)</f>
        <v>51475</v>
      </c>
      <c r="P1738" s="92">
        <f>_xll.qlCalendarAdvance(Calendar,O1738,NDays&amp;"D")</f>
        <v>51477</v>
      </c>
      <c r="Q1738" s="81">
        <v>2.3187317748717157E-2</v>
      </c>
      <c r="R1738" s="85">
        <v>2.3182282658078535E-2</v>
      </c>
    </row>
    <row r="1739" spans="14:18" x14ac:dyDescent="0.2">
      <c r="N1739" s="88" t="str">
        <f t="shared" si="32"/>
        <v>1w</v>
      </c>
      <c r="O1739" s="82">
        <f>_xll.qlCalendarAdvance(Calendar,O1738,N1739,"f",FALSE)</f>
        <v>51482</v>
      </c>
      <c r="P1739" s="92">
        <f>_xll.qlCalendarAdvance(Calendar,O1739,NDays&amp;"D")</f>
        <v>51484</v>
      </c>
      <c r="Q1739" s="81">
        <v>2.3176297320892658E-2</v>
      </c>
      <c r="R1739" s="85">
        <v>2.3171213862278606E-2</v>
      </c>
    </row>
    <row r="1740" spans="14:18" x14ac:dyDescent="0.2">
      <c r="N1740" s="88" t="str">
        <f t="shared" si="32"/>
        <v>1w</v>
      </c>
      <c r="O1740" s="82">
        <f>_xll.qlCalendarAdvance(Calendar,O1739,N1740,"f",FALSE)</f>
        <v>51489</v>
      </c>
      <c r="P1740" s="92">
        <f>_xll.qlCalendarAdvance(Calendar,O1740,NDays&amp;"D")</f>
        <v>51491</v>
      </c>
      <c r="Q1740" s="81">
        <v>2.3165321289515969E-2</v>
      </c>
      <c r="R1740" s="85">
        <v>2.3155320896711018E-2</v>
      </c>
    </row>
    <row r="1741" spans="14:18" x14ac:dyDescent="0.2">
      <c r="N1741" s="88" t="str">
        <f t="shared" si="32"/>
        <v>1w</v>
      </c>
      <c r="O1741" s="82">
        <f>_xll.qlCalendarAdvance(Calendar,O1740,N1741,"f",FALSE)</f>
        <v>51497</v>
      </c>
      <c r="P1741" s="92">
        <f>_xll.qlCalendarAdvance(Calendar,O1741,NDays&amp;"D")</f>
        <v>51503</v>
      </c>
      <c r="Q1741" s="81">
        <v>2.3146546962841637E-2</v>
      </c>
      <c r="R1741" s="85">
        <v>2.3144442767923934E-2</v>
      </c>
    </row>
    <row r="1742" spans="14:18" x14ac:dyDescent="0.2">
      <c r="N1742" s="88" t="str">
        <f t="shared" si="32"/>
        <v>1w</v>
      </c>
      <c r="O1742" s="82">
        <f>_xll.qlCalendarAdvance(Calendar,O1741,N1742,"f",FALSE)</f>
        <v>51504</v>
      </c>
      <c r="P1742" s="92">
        <f>_xll.qlCalendarAdvance(Calendar,O1742,NDays&amp;"D")</f>
        <v>51508</v>
      </c>
      <c r="Q1742" s="81">
        <v>2.3138850046731108E-2</v>
      </c>
      <c r="R1742" s="85">
        <v>2.3136714626170729E-2</v>
      </c>
    </row>
    <row r="1743" spans="14:18" x14ac:dyDescent="0.2">
      <c r="N1743" s="88" t="str">
        <f t="shared" si="32"/>
        <v>1w</v>
      </c>
      <c r="O1743" s="82">
        <f>_xll.qlCalendarAdvance(Calendar,O1742,N1743,"f",FALSE)</f>
        <v>51511</v>
      </c>
      <c r="P1743" s="92">
        <f>_xll.qlCalendarAdvance(Calendar,O1743,NDays&amp;"D")</f>
        <v>51515</v>
      </c>
      <c r="Q1743" s="81">
        <v>2.3128026230794671E-2</v>
      </c>
      <c r="R1743" s="85">
        <v>2.3125829362520278E-2</v>
      </c>
    </row>
    <row r="1744" spans="14:18" x14ac:dyDescent="0.2">
      <c r="N1744" s="88" t="str">
        <f t="shared" si="32"/>
        <v>1w</v>
      </c>
      <c r="O1744" s="82">
        <f>_xll.qlCalendarAdvance(Calendar,O1743,N1744,"f",FALSE)</f>
        <v>51518</v>
      </c>
      <c r="P1744" s="92">
        <f>_xll.qlCalendarAdvance(Calendar,O1744,NDays&amp;"D")</f>
        <v>51522</v>
      </c>
      <c r="Q1744" s="81">
        <v>2.3117246810751647E-2</v>
      </c>
      <c r="R1744" s="85">
        <v>2.3114988399672853E-2</v>
      </c>
    </row>
    <row r="1745" spans="14:18" x14ac:dyDescent="0.2">
      <c r="N1745" s="88" t="str">
        <f t="shared" si="32"/>
        <v>1w</v>
      </c>
      <c r="O1745" s="82">
        <f>_xll.qlCalendarAdvance(Calendar,O1744,N1745,"f",FALSE)</f>
        <v>51525</v>
      </c>
      <c r="P1745" s="92">
        <f>_xll.qlCalendarAdvance(Calendar,O1745,NDays&amp;"D")</f>
        <v>51529</v>
      </c>
      <c r="Q1745" s="81">
        <v>2.3106511786478264E-2</v>
      </c>
      <c r="R1745" s="85">
        <v>2.3104191737548518E-2</v>
      </c>
    </row>
    <row r="1746" spans="14:18" x14ac:dyDescent="0.2">
      <c r="N1746" s="88" t="str">
        <f t="shared" si="32"/>
        <v>1w</v>
      </c>
      <c r="O1746" s="82">
        <f>_xll.qlCalendarAdvance(Calendar,O1745,N1746,"f",FALSE)</f>
        <v>51532</v>
      </c>
      <c r="P1746" s="92">
        <f>_xll.qlCalendarAdvance(Calendar,O1746,NDays&amp;"D")</f>
        <v>51536</v>
      </c>
      <c r="Q1746" s="81">
        <v>2.3095880194192096E-2</v>
      </c>
      <c r="R1746" s="85">
        <v>2.3093439376307145E-2</v>
      </c>
    </row>
    <row r="1747" spans="14:18" x14ac:dyDescent="0.2">
      <c r="N1747" s="88" t="str">
        <f t="shared" si="32"/>
        <v>1w</v>
      </c>
      <c r="O1747" s="82">
        <f>_xll.qlCalendarAdvance(Calendar,O1746,N1747,"f",FALSE)</f>
        <v>51539</v>
      </c>
      <c r="P1747" s="92">
        <f>_xll.qlCalendarAdvance(Calendar,O1747,NDays&amp;"D")</f>
        <v>51543</v>
      </c>
      <c r="Q1747" s="81">
        <v>2.3085226496142624E-2</v>
      </c>
      <c r="R1747" s="85">
        <v>2.3082731315868799E-2</v>
      </c>
    </row>
    <row r="1748" spans="14:18" x14ac:dyDescent="0.2">
      <c r="N1748" s="88" t="str">
        <f t="shared" si="32"/>
        <v>1w</v>
      </c>
      <c r="O1748" s="82">
        <f>_xll.qlCalendarAdvance(Calendar,O1747,N1748,"f",FALSE)</f>
        <v>51546</v>
      </c>
      <c r="P1748" s="92">
        <f>_xll.qlCalendarAdvance(Calendar,O1748,NDays&amp;"D")</f>
        <v>51550</v>
      </c>
      <c r="Q1748" s="81">
        <v>2.3074617184050919E-2</v>
      </c>
      <c r="R1748" s="85">
        <v>2.3072067556233478E-2</v>
      </c>
    </row>
    <row r="1749" spans="14:18" x14ac:dyDescent="0.2">
      <c r="N1749" s="88" t="str">
        <f t="shared" ref="N1749:N1812" si="33">N1748</f>
        <v>1w</v>
      </c>
      <c r="O1749" s="82">
        <f>_xll.qlCalendarAdvance(Calendar,O1748,N1749,"f",FALSE)</f>
        <v>51553</v>
      </c>
      <c r="P1749" s="92">
        <f>_xll.qlCalendarAdvance(Calendar,O1749,NDays&amp;"D")</f>
        <v>51557</v>
      </c>
      <c r="Q1749" s="81">
        <v>2.3064052257808498E-2</v>
      </c>
      <c r="R1749" s="85">
        <v>2.3061448097321247E-2</v>
      </c>
    </row>
    <row r="1750" spans="14:18" x14ac:dyDescent="0.2">
      <c r="N1750" s="88" t="str">
        <f t="shared" si="33"/>
        <v>1w</v>
      </c>
      <c r="O1750" s="82">
        <f>_xll.qlCalendarAdvance(Calendar,O1749,N1750,"f",FALSE)</f>
        <v>51560</v>
      </c>
      <c r="P1750" s="92">
        <f>_xll.qlCalendarAdvance(Calendar,O1750,NDays&amp;"D")</f>
        <v>51564</v>
      </c>
      <c r="Q1750" s="81">
        <v>2.3053502597419357E-2</v>
      </c>
      <c r="R1750" s="85">
        <v>2.3050872939291978E-2</v>
      </c>
    </row>
    <row r="1751" spans="14:18" x14ac:dyDescent="0.2">
      <c r="N1751" s="88" t="str">
        <f t="shared" si="33"/>
        <v>1w</v>
      </c>
      <c r="O1751" s="82">
        <f>_xll.qlCalendarAdvance(Calendar,O1750,N1751,"f",FALSE)</f>
        <v>51567</v>
      </c>
      <c r="P1751" s="92">
        <f>_xll.qlCalendarAdvance(Calendar,O1751,NDays&amp;"D")</f>
        <v>51571</v>
      </c>
      <c r="Q1751" s="81">
        <v>2.3043033945216184E-2</v>
      </c>
      <c r="R1751" s="85">
        <v>2.3040342082065735E-2</v>
      </c>
    </row>
    <row r="1752" spans="14:18" x14ac:dyDescent="0.2">
      <c r="N1752" s="88" t="str">
        <f t="shared" si="33"/>
        <v>1w</v>
      </c>
      <c r="O1752" s="82">
        <f>_xll.qlCalendarAdvance(Calendar,O1751,N1752,"f",FALSE)</f>
        <v>51574</v>
      </c>
      <c r="P1752" s="92">
        <f>_xll.qlCalendarAdvance(Calendar,O1752,NDays&amp;"D")</f>
        <v>51578</v>
      </c>
      <c r="Q1752" s="81">
        <v>2.3032609687934295E-2</v>
      </c>
      <c r="R1752" s="85">
        <v>2.3029855525642517E-2</v>
      </c>
    </row>
    <row r="1753" spans="14:18" x14ac:dyDescent="0.2">
      <c r="N1753" s="88" t="str">
        <f t="shared" si="33"/>
        <v>1w</v>
      </c>
      <c r="O1753" s="82">
        <f>_xll.qlCalendarAdvance(Calendar,O1752,N1753,"f",FALSE)</f>
        <v>51581</v>
      </c>
      <c r="P1753" s="92">
        <f>_xll.qlCalendarAdvance(Calendar,O1753,NDays&amp;"D")</f>
        <v>51585</v>
      </c>
      <c r="Q1753" s="81">
        <v>2.3022229825455081E-2</v>
      </c>
      <c r="R1753" s="85">
        <v>2.301941326994239E-2</v>
      </c>
    </row>
    <row r="1754" spans="14:18" x14ac:dyDescent="0.2">
      <c r="N1754" s="88" t="str">
        <f t="shared" si="33"/>
        <v>1w</v>
      </c>
      <c r="O1754" s="82">
        <f>_xll.qlCalendarAdvance(Calendar,O1753,N1754,"f",FALSE)</f>
        <v>51588</v>
      </c>
      <c r="P1754" s="92">
        <f>_xll.qlCalendarAdvance(Calendar,O1754,NDays&amp;"D")</f>
        <v>51592</v>
      </c>
      <c r="Q1754" s="81">
        <v>2.3011894357659924E-2</v>
      </c>
      <c r="R1754" s="85">
        <v>2.3009015315045289E-2</v>
      </c>
    </row>
    <row r="1755" spans="14:18" x14ac:dyDescent="0.2">
      <c r="N1755" s="88" t="str">
        <f t="shared" si="33"/>
        <v>1w</v>
      </c>
      <c r="O1755" s="82">
        <f>_xll.qlCalendarAdvance(Calendar,O1754,N1755,"f",FALSE)</f>
        <v>51595</v>
      </c>
      <c r="P1755" s="92">
        <f>_xll.qlCalendarAdvance(Calendar,O1755,NDays&amp;"D")</f>
        <v>51599</v>
      </c>
      <c r="Q1755" s="81">
        <v>2.3001600215484252E-2</v>
      </c>
      <c r="R1755" s="85">
        <v>2.2998661660951214E-2</v>
      </c>
    </row>
    <row r="1756" spans="14:18" x14ac:dyDescent="0.2">
      <c r="N1756" s="88" t="str">
        <f t="shared" si="33"/>
        <v>1w</v>
      </c>
      <c r="O1756" s="82">
        <f>_xll.qlCalendarAdvance(Calendar,O1755,N1756,"f",FALSE)</f>
        <v>51602</v>
      </c>
      <c r="P1756" s="92">
        <f>_xll.qlCalendarAdvance(Calendar,O1756,NDays&amp;"D")</f>
        <v>51606</v>
      </c>
      <c r="Q1756" s="81">
        <v>2.2991351019781447E-2</v>
      </c>
      <c r="R1756" s="85">
        <v>2.2988352307580229E-2</v>
      </c>
    </row>
    <row r="1757" spans="14:18" x14ac:dyDescent="0.2">
      <c r="N1757" s="88" t="str">
        <f t="shared" si="33"/>
        <v>1w</v>
      </c>
      <c r="O1757" s="82">
        <f>_xll.qlCalendarAdvance(Calendar,O1756,N1757,"f",FALSE)</f>
        <v>51609</v>
      </c>
      <c r="P1757" s="92">
        <f>_xll.qlCalendarAdvance(Calendar,O1757,NDays&amp;"D")</f>
        <v>51615</v>
      </c>
      <c r="Q1757" s="81">
        <v>2.2978238710345877E-2</v>
      </c>
      <c r="R1757" s="85">
        <v>2.297516792676646E-2</v>
      </c>
    </row>
    <row r="1758" spans="14:18" x14ac:dyDescent="0.2">
      <c r="N1758" s="88" t="str">
        <f t="shared" si="33"/>
        <v>1w</v>
      </c>
      <c r="O1758" s="82">
        <f>_xll.qlCalendarAdvance(Calendar,O1757,N1758,"f",FALSE)</f>
        <v>51616</v>
      </c>
      <c r="P1758" s="92">
        <f>_xll.qlCalendarAdvance(Calendar,O1758,NDays&amp;"D")</f>
        <v>51620</v>
      </c>
      <c r="Q1758" s="81">
        <v>2.2970985801912036E-2</v>
      </c>
      <c r="R1758" s="85">
        <v>2.2966410012159599E-2</v>
      </c>
    </row>
    <row r="1759" spans="14:18" x14ac:dyDescent="0.2">
      <c r="N1759" s="88" t="str">
        <f t="shared" si="33"/>
        <v>1w</v>
      </c>
      <c r="O1759" s="82">
        <f>_xll.qlCalendarAdvance(Calendar,O1758,N1759,"f",FALSE)</f>
        <v>51623</v>
      </c>
      <c r="P1759" s="92">
        <f>_xll.qlCalendarAdvance(Calendar,O1759,NDays&amp;"D")</f>
        <v>51627</v>
      </c>
      <c r="Q1759" s="81">
        <v>2.2960882934827013E-2</v>
      </c>
      <c r="R1759" s="85">
        <v>2.2957690052045621E-2</v>
      </c>
    </row>
    <row r="1760" spans="14:18" x14ac:dyDescent="0.2">
      <c r="N1760" s="88" t="str">
        <f t="shared" si="33"/>
        <v>1w</v>
      </c>
      <c r="O1760" s="82">
        <f>_xll.qlCalendarAdvance(Calendar,O1759,N1760,"f",FALSE)</f>
        <v>51630</v>
      </c>
      <c r="P1760" s="92">
        <f>_xll.qlCalendarAdvance(Calendar,O1760,NDays&amp;"D")</f>
        <v>51634</v>
      </c>
      <c r="Q1760" s="81">
        <v>2.2950813832671078E-2</v>
      </c>
      <c r="R1760" s="85">
        <v>2.2947557901806803E-2</v>
      </c>
    </row>
    <row r="1761" spans="14:18" x14ac:dyDescent="0.2">
      <c r="N1761" s="88" t="str">
        <f t="shared" si="33"/>
        <v>1w</v>
      </c>
      <c r="O1761" s="82">
        <f>_xll.qlCalendarAdvance(Calendar,O1760,N1761,"f",FALSE)</f>
        <v>51637</v>
      </c>
      <c r="P1761" s="92">
        <f>_xll.qlCalendarAdvance(Calendar,O1761,NDays&amp;"D")</f>
        <v>51641</v>
      </c>
      <c r="Q1761" s="81">
        <v>2.2940789124381793E-2</v>
      </c>
      <c r="R1761" s="85">
        <v>2.2937470052291076E-2</v>
      </c>
    </row>
    <row r="1762" spans="14:18" x14ac:dyDescent="0.2">
      <c r="N1762" s="88" t="str">
        <f t="shared" si="33"/>
        <v>1w</v>
      </c>
      <c r="O1762" s="82">
        <f>_xll.qlCalendarAdvance(Calendar,O1761,N1762,"f",FALSE)</f>
        <v>51644</v>
      </c>
      <c r="P1762" s="92">
        <f>_xll.qlCalendarAdvance(Calendar,O1762,NDays&amp;"D")</f>
        <v>51648</v>
      </c>
      <c r="Q1762" s="81">
        <v>2.2930808809843117E-2</v>
      </c>
      <c r="R1762" s="85">
        <v>2.2927440962652312E-2</v>
      </c>
    </row>
    <row r="1763" spans="14:18" x14ac:dyDescent="0.2">
      <c r="N1763" s="88" t="str">
        <f t="shared" si="33"/>
        <v>1w</v>
      </c>
      <c r="O1763" s="82">
        <f>_xll.qlCalendarAdvance(Calendar,O1762,N1763,"f",FALSE)</f>
        <v>51652</v>
      </c>
      <c r="P1763" s="92">
        <f>_xll.qlCalendarAdvance(Calendar,O1763,NDays&amp;"D")</f>
        <v>51656</v>
      </c>
      <c r="Q1763" s="81">
        <v>2.2919433441411563E-2</v>
      </c>
      <c r="R1763" s="85">
        <v>2.2916002407749048E-2</v>
      </c>
    </row>
    <row r="1764" spans="14:18" x14ac:dyDescent="0.2">
      <c r="N1764" s="88" t="str">
        <f t="shared" si="33"/>
        <v>1w</v>
      </c>
      <c r="O1764" s="82">
        <f>_xll.qlCalendarAdvance(Calendar,O1763,N1764,"f",FALSE)</f>
        <v>51659</v>
      </c>
      <c r="P1764" s="92">
        <f>_xll.qlCalendarAdvance(Calendar,O1764,NDays&amp;"D")</f>
        <v>51664</v>
      </c>
      <c r="Q1764" s="81">
        <v>2.2908136804971946E-2</v>
      </c>
      <c r="R1764" s="85">
        <v>2.2904676899857535E-2</v>
      </c>
    </row>
    <row r="1765" spans="14:18" x14ac:dyDescent="0.2">
      <c r="N1765" s="88" t="str">
        <f t="shared" si="33"/>
        <v>1w</v>
      </c>
      <c r="O1765" s="82">
        <f>_xll.qlCalendarAdvance(Calendar,O1764,N1765,"f",FALSE)</f>
        <v>51666</v>
      </c>
      <c r="P1765" s="92">
        <f>_xll.qlCalendarAdvance(Calendar,O1765,NDays&amp;"D")</f>
        <v>51670</v>
      </c>
      <c r="Q1765" s="81">
        <v>2.289970237647232E-2</v>
      </c>
      <c r="R1765" s="85">
        <v>2.2896217441863431E-2</v>
      </c>
    </row>
    <row r="1766" spans="14:18" x14ac:dyDescent="0.2">
      <c r="N1766" s="88" t="str">
        <f t="shared" si="33"/>
        <v>1w</v>
      </c>
      <c r="O1766" s="82">
        <f>_xll.qlCalendarAdvance(Calendar,O1765,N1766,"f",FALSE)</f>
        <v>51676</v>
      </c>
      <c r="P1766" s="92">
        <f>_xll.qlCalendarAdvance(Calendar,O1766,NDays&amp;"D")</f>
        <v>51678</v>
      </c>
      <c r="Q1766" s="81">
        <v>2.2888507203457031E-2</v>
      </c>
      <c r="R1766" s="85">
        <v>2.2884935368940873E-2</v>
      </c>
    </row>
    <row r="1767" spans="14:18" x14ac:dyDescent="0.2">
      <c r="N1767" s="88" t="str">
        <f t="shared" si="33"/>
        <v>1w</v>
      </c>
      <c r="O1767" s="82">
        <f>_xll.qlCalendarAdvance(Calendar,O1766,N1767,"f",FALSE)</f>
        <v>51683</v>
      </c>
      <c r="P1767" s="92">
        <f>_xll.qlCalendarAdvance(Calendar,O1767,NDays&amp;"D")</f>
        <v>51685</v>
      </c>
      <c r="Q1767" s="81">
        <v>2.2878862340874988E-2</v>
      </c>
      <c r="R1767" s="85">
        <v>2.287513106383976E-2</v>
      </c>
    </row>
    <row r="1768" spans="14:18" x14ac:dyDescent="0.2">
      <c r="N1768" s="88" t="str">
        <f t="shared" si="33"/>
        <v>1w</v>
      </c>
      <c r="O1768" s="82">
        <f>_xll.qlCalendarAdvance(Calendar,O1767,N1768,"f",FALSE)</f>
        <v>51690</v>
      </c>
      <c r="P1768" s="92">
        <f>_xll.qlCalendarAdvance(Calendar,O1768,NDays&amp;"D")</f>
        <v>51692</v>
      </c>
      <c r="Q1768" s="81">
        <v>2.2869166181237365E-2</v>
      </c>
      <c r="R1768" s="85">
        <v>2.2865371065590168E-2</v>
      </c>
    </row>
    <row r="1769" spans="14:18" x14ac:dyDescent="0.2">
      <c r="N1769" s="88" t="str">
        <f t="shared" si="33"/>
        <v>1w</v>
      </c>
      <c r="O1769" s="82">
        <f>_xll.qlCalendarAdvance(Calendar,O1768,N1769,"f",FALSE)</f>
        <v>51697</v>
      </c>
      <c r="P1769" s="92">
        <f>_xll.qlCalendarAdvance(Calendar,O1769,NDays&amp;"D")</f>
        <v>51699</v>
      </c>
      <c r="Q1769" s="81">
        <v>2.2859514420665989E-2</v>
      </c>
      <c r="R1769" s="85">
        <v>2.2855655374192096E-2</v>
      </c>
    </row>
    <row r="1770" spans="14:18" x14ac:dyDescent="0.2">
      <c r="N1770" s="88" t="str">
        <f t="shared" si="33"/>
        <v>1w</v>
      </c>
      <c r="O1770" s="82">
        <f>_xll.qlCalendarAdvance(Calendar,O1769,N1770,"f",FALSE)</f>
        <v>51704</v>
      </c>
      <c r="P1770" s="92">
        <f>_xll.qlCalendarAdvance(Calendar,O1770,NDays&amp;"D")</f>
        <v>51706</v>
      </c>
      <c r="Q1770" s="81">
        <v>2.2849907059049428E-2</v>
      </c>
      <c r="R1770" s="85">
        <v>2.2845983989725482E-2</v>
      </c>
    </row>
    <row r="1771" spans="14:18" x14ac:dyDescent="0.2">
      <c r="N1771" s="88" t="str">
        <f t="shared" si="33"/>
        <v>1w</v>
      </c>
      <c r="O1771" s="82">
        <f>_xll.qlCalendarAdvance(Calendar,O1770,N1771,"f",FALSE)</f>
        <v>51711</v>
      </c>
      <c r="P1771" s="92">
        <f>_xll.qlCalendarAdvance(Calendar,O1771,NDays&amp;"D")</f>
        <v>51713</v>
      </c>
      <c r="Q1771" s="81">
        <v>2.2840210024155816E-2</v>
      </c>
      <c r="R1771" s="85">
        <v>2.2836356912083744E-2</v>
      </c>
    </row>
    <row r="1772" spans="14:18" x14ac:dyDescent="0.2">
      <c r="N1772" s="88" t="str">
        <f t="shared" si="33"/>
        <v>1w</v>
      </c>
      <c r="O1772" s="82">
        <f>_xll.qlCalendarAdvance(Calendar,O1771,N1772,"f",FALSE)</f>
        <v>51718</v>
      </c>
      <c r="P1772" s="92">
        <f>_xll.qlCalendarAdvance(Calendar,O1772,NDays&amp;"D")</f>
        <v>51720</v>
      </c>
      <c r="Q1772" s="81">
        <v>2.2830825532198711E-2</v>
      </c>
      <c r="R1772" s="85">
        <v>2.2826774141320172E-2</v>
      </c>
    </row>
    <row r="1773" spans="14:18" x14ac:dyDescent="0.2">
      <c r="N1773" s="88" t="str">
        <f t="shared" si="33"/>
        <v>1w</v>
      </c>
      <c r="O1773" s="82">
        <f>_xll.qlCalendarAdvance(Calendar,O1772,N1773,"f",FALSE)</f>
        <v>51725</v>
      </c>
      <c r="P1773" s="92">
        <f>_xll.qlCalendarAdvance(Calendar,O1773,NDays&amp;"D")</f>
        <v>51727</v>
      </c>
      <c r="Q1773" s="81">
        <v>2.282135136673686E-2</v>
      </c>
      <c r="R1773" s="85">
        <v>2.2817235677328185E-2</v>
      </c>
    </row>
    <row r="1774" spans="14:18" x14ac:dyDescent="0.2">
      <c r="N1774" s="88" t="str">
        <f t="shared" si="33"/>
        <v>1w</v>
      </c>
      <c r="O1774" s="82">
        <f>_xll.qlCalendarAdvance(Calendar,O1773,N1774,"f",FALSE)</f>
        <v>51732</v>
      </c>
      <c r="P1774" s="92">
        <f>_xll.qlCalendarAdvance(Calendar,O1774,NDays&amp;"D")</f>
        <v>51734</v>
      </c>
      <c r="Q1774" s="81">
        <v>2.2811921599755054E-2</v>
      </c>
      <c r="R1774" s="85">
        <v>2.2807741520214364E-2</v>
      </c>
    </row>
    <row r="1775" spans="14:18" x14ac:dyDescent="0.2">
      <c r="N1775" s="88" t="str">
        <f t="shared" si="33"/>
        <v>1w</v>
      </c>
      <c r="O1775" s="82">
        <f>_xll.qlCalendarAdvance(Calendar,O1774,N1775,"f",FALSE)</f>
        <v>51739</v>
      </c>
      <c r="P1775" s="92">
        <f>_xll.qlCalendarAdvance(Calendar,O1775,NDays&amp;"D")</f>
        <v>51741</v>
      </c>
      <c r="Q1775" s="81">
        <v>2.2802536231149133E-2</v>
      </c>
      <c r="R1775" s="85">
        <v>2.2798291669872128E-2</v>
      </c>
    </row>
    <row r="1776" spans="14:18" x14ac:dyDescent="0.2">
      <c r="N1776" s="88" t="str">
        <f t="shared" si="33"/>
        <v>1w</v>
      </c>
      <c r="O1776" s="82">
        <f>_xll.qlCalendarAdvance(Calendar,O1775,N1776,"f",FALSE)</f>
        <v>51746</v>
      </c>
      <c r="P1776" s="92">
        <f>_xll.qlCalendarAdvance(Calendar,O1776,NDays&amp;"D")</f>
        <v>51748</v>
      </c>
      <c r="Q1776" s="81">
        <v>2.2793022583446287E-2</v>
      </c>
      <c r="R1776" s="85">
        <v>2.2788886126354768E-2</v>
      </c>
    </row>
    <row r="1777" spans="14:18" x14ac:dyDescent="0.2">
      <c r="N1777" s="88" t="str">
        <f t="shared" si="33"/>
        <v>1w</v>
      </c>
      <c r="O1777" s="82">
        <f>_xll.qlCalendarAdvance(Calendar,O1776,N1777,"f",FALSE)</f>
        <v>51753</v>
      </c>
      <c r="P1777" s="92">
        <f>_xll.qlCalendarAdvance(Calendar,O1777,NDays&amp;"D")</f>
        <v>51755</v>
      </c>
      <c r="Q1777" s="81">
        <v>2.2783718262777697E-2</v>
      </c>
      <c r="R1777" s="85">
        <v>2.2779524889635638E-2</v>
      </c>
    </row>
    <row r="1778" spans="14:18" x14ac:dyDescent="0.2">
      <c r="N1778" s="88" t="str">
        <f t="shared" si="33"/>
        <v>1w</v>
      </c>
      <c r="O1778" s="82">
        <f>_xll.qlCalendarAdvance(Calendar,O1777,N1778,"f",FALSE)</f>
        <v>51760</v>
      </c>
      <c r="P1778" s="92">
        <f>_xll.qlCalendarAdvance(Calendar,O1778,NDays&amp;"D")</f>
        <v>51762</v>
      </c>
      <c r="Q1778" s="81">
        <v>2.2774458331030978E-2</v>
      </c>
      <c r="R1778" s="85">
        <v>2.2770207959634803E-2</v>
      </c>
    </row>
    <row r="1779" spans="14:18" x14ac:dyDescent="0.2">
      <c r="N1779" s="88" t="str">
        <f t="shared" si="33"/>
        <v>1w</v>
      </c>
      <c r="O1779" s="82">
        <f>_xll.qlCalendarAdvance(Calendar,O1778,N1779,"f",FALSE)</f>
        <v>51767</v>
      </c>
      <c r="P1779" s="92">
        <f>_xll.qlCalendarAdvance(Calendar,O1779,NDays&amp;"D")</f>
        <v>51769</v>
      </c>
      <c r="Q1779" s="81">
        <v>2.2765242788096884E-2</v>
      </c>
      <c r="R1779" s="85">
        <v>2.2760935336458843E-2</v>
      </c>
    </row>
    <row r="1780" spans="14:18" x14ac:dyDescent="0.2">
      <c r="N1780" s="88" t="str">
        <f t="shared" si="33"/>
        <v>1w</v>
      </c>
      <c r="O1780" s="82">
        <f>_xll.qlCalendarAdvance(Calendar,O1779,N1780,"f",FALSE)</f>
        <v>51774</v>
      </c>
      <c r="P1780" s="92">
        <f>_xll.qlCalendarAdvance(Calendar,O1780,NDays&amp;"D")</f>
        <v>51776</v>
      </c>
      <c r="Q1780" s="81">
        <v>2.2756275359717391E-2</v>
      </c>
      <c r="R1780" s="85">
        <v>2.2751707020054468E-2</v>
      </c>
    </row>
    <row r="1781" spans="14:18" x14ac:dyDescent="0.2">
      <c r="N1781" s="88" t="str">
        <f t="shared" si="33"/>
        <v>1w</v>
      </c>
      <c r="O1781" s="82">
        <f>_xll.qlCalendarAdvance(Calendar,O1780,N1781,"f",FALSE)</f>
        <v>51781</v>
      </c>
      <c r="P1781" s="92">
        <f>_xll.qlCalendarAdvance(Calendar,O1781,NDays&amp;"D")</f>
        <v>51783</v>
      </c>
      <c r="Q1781" s="81">
        <v>2.2747156378959008E-2</v>
      </c>
      <c r="R1781" s="85">
        <v>2.2742523010395033E-2</v>
      </c>
    </row>
    <row r="1782" spans="14:18" x14ac:dyDescent="0.2">
      <c r="N1782" s="88" t="str">
        <f t="shared" si="33"/>
        <v>1w</v>
      </c>
      <c r="O1782" s="82">
        <f>_xll.qlCalendarAdvance(Calendar,O1781,N1782,"f",FALSE)</f>
        <v>51788</v>
      </c>
      <c r="P1782" s="92">
        <f>_xll.qlCalendarAdvance(Calendar,O1782,NDays&amp;"D")</f>
        <v>51790</v>
      </c>
      <c r="Q1782" s="81">
        <v>2.2738081795789261E-2</v>
      </c>
      <c r="R1782" s="85">
        <v>2.2733383307453892E-2</v>
      </c>
    </row>
    <row r="1783" spans="14:18" x14ac:dyDescent="0.2">
      <c r="N1783" s="88" t="str">
        <f t="shared" si="33"/>
        <v>1w</v>
      </c>
      <c r="O1783" s="82">
        <f>_xll.qlCalendarAdvance(Calendar,O1782,N1783,"f",FALSE)</f>
        <v>51795</v>
      </c>
      <c r="P1783" s="92">
        <f>_xll.qlCalendarAdvance(Calendar,O1783,NDays&amp;"D")</f>
        <v>51797</v>
      </c>
      <c r="Q1783" s="81">
        <v>2.2729051610087033E-2</v>
      </c>
      <c r="R1783" s="85">
        <v>2.272428791125769E-2</v>
      </c>
    </row>
    <row r="1784" spans="14:18" x14ac:dyDescent="0.2">
      <c r="N1784" s="88" t="str">
        <f t="shared" si="33"/>
        <v>1w</v>
      </c>
      <c r="O1784" s="82">
        <f>_xll.qlCalendarAdvance(Calendar,O1783,N1784,"f",FALSE)</f>
        <v>51802</v>
      </c>
      <c r="P1784" s="92">
        <f>_xll.qlCalendarAdvance(Calendar,O1784,NDays&amp;"D")</f>
        <v>51804</v>
      </c>
      <c r="Q1784" s="81">
        <v>2.2719830902093285E-2</v>
      </c>
      <c r="R1784" s="85">
        <v>2.2715236821779783E-2</v>
      </c>
    </row>
    <row r="1785" spans="14:18" x14ac:dyDescent="0.2">
      <c r="N1785" s="88" t="str">
        <f t="shared" si="33"/>
        <v>1w</v>
      </c>
      <c r="O1785" s="82">
        <f>_xll.qlCalendarAdvance(Calendar,O1784,N1785,"f",FALSE)</f>
        <v>51809</v>
      </c>
      <c r="P1785" s="92">
        <f>_xll.qlCalendarAdvance(Calendar,O1785,NDays&amp;"D")</f>
        <v>51811</v>
      </c>
      <c r="Q1785" s="81">
        <v>2.2710881689921969E-2</v>
      </c>
      <c r="R1785" s="85">
        <v>2.2706230038993525E-2</v>
      </c>
    </row>
    <row r="1786" spans="14:18" x14ac:dyDescent="0.2">
      <c r="N1786" s="88" t="str">
        <f t="shared" si="33"/>
        <v>1w</v>
      </c>
      <c r="O1786" s="82">
        <f>_xll.qlCalendarAdvance(Calendar,O1785,N1786,"f",FALSE)</f>
        <v>51816</v>
      </c>
      <c r="P1786" s="92">
        <f>_xll.qlCalendarAdvance(Calendar,O1786,NDays&amp;"D")</f>
        <v>51818</v>
      </c>
      <c r="Q1786" s="81">
        <v>2.2701976865857176E-2</v>
      </c>
      <c r="R1786" s="85">
        <v>2.2697267562978851E-2</v>
      </c>
    </row>
    <row r="1787" spans="14:18" x14ac:dyDescent="0.2">
      <c r="N1787" s="88" t="str">
        <f t="shared" si="33"/>
        <v>1w</v>
      </c>
      <c r="O1787" s="82">
        <f>_xll.qlCalendarAdvance(Calendar,O1786,N1787,"f",FALSE)</f>
        <v>51823</v>
      </c>
      <c r="P1787" s="92">
        <f>_xll.qlCalendarAdvance(Calendar,O1787,NDays&amp;"D")</f>
        <v>51825</v>
      </c>
      <c r="Q1787" s="81">
        <v>2.2693116429810978E-2</v>
      </c>
      <c r="R1787" s="85">
        <v>2.2688349393575891E-2</v>
      </c>
    </row>
    <row r="1788" spans="14:18" x14ac:dyDescent="0.2">
      <c r="N1788" s="88" t="str">
        <f t="shared" si="33"/>
        <v>1w</v>
      </c>
      <c r="O1788" s="82">
        <f>_xll.qlCalendarAdvance(Calendar,O1787,N1788,"f",FALSE)</f>
        <v>51830</v>
      </c>
      <c r="P1788" s="92">
        <f>_xll.qlCalendarAdvance(Calendar,O1788,NDays&amp;"D")</f>
        <v>51832</v>
      </c>
      <c r="Q1788" s="81">
        <v>2.2684300381674127E-2</v>
      </c>
      <c r="R1788" s="85">
        <v>2.2679475530864579E-2</v>
      </c>
    </row>
    <row r="1789" spans="14:18" x14ac:dyDescent="0.2">
      <c r="N1789" s="88" t="str">
        <f t="shared" si="33"/>
        <v>1w</v>
      </c>
      <c r="O1789" s="82">
        <f>_xll.qlCalendarAdvance(Calendar,O1788,N1789,"f",FALSE)</f>
        <v>51837</v>
      </c>
      <c r="P1789" s="92">
        <f>_xll.qlCalendarAdvance(Calendar,O1789,NDays&amp;"D")</f>
        <v>51839</v>
      </c>
      <c r="Q1789" s="81">
        <v>2.2675894715735462E-2</v>
      </c>
      <c r="R1789" s="85">
        <v>2.2670645974818271E-2</v>
      </c>
    </row>
    <row r="1790" spans="14:18" x14ac:dyDescent="0.2">
      <c r="N1790" s="88" t="str">
        <f t="shared" si="33"/>
        <v>1w</v>
      </c>
      <c r="O1790" s="82">
        <f>_xll.qlCalendarAdvance(Calendar,O1789,N1790,"f",FALSE)</f>
        <v>51844</v>
      </c>
      <c r="P1790" s="92">
        <f>_xll.qlCalendarAdvance(Calendar,O1790,NDays&amp;"D")</f>
        <v>51846</v>
      </c>
      <c r="Q1790" s="81">
        <v>2.2667083430224399E-2</v>
      </c>
      <c r="R1790" s="85">
        <v>2.2661860725490257E-2</v>
      </c>
    </row>
    <row r="1791" spans="14:18" x14ac:dyDescent="0.2">
      <c r="N1791" s="88" t="str">
        <f t="shared" si="33"/>
        <v>1w</v>
      </c>
      <c r="O1791" s="82">
        <f>_xll.qlCalendarAdvance(Calendar,O1790,N1791,"f",FALSE)</f>
        <v>51851</v>
      </c>
      <c r="P1791" s="92">
        <f>_xll.qlCalendarAdvance(Calendar,O1791,NDays&amp;"D")</f>
        <v>51853</v>
      </c>
      <c r="Q1791" s="81">
        <v>2.2658408420384229E-2</v>
      </c>
      <c r="R1791" s="85">
        <v>2.2653119782720665E-2</v>
      </c>
    </row>
    <row r="1792" spans="14:18" x14ac:dyDescent="0.2">
      <c r="N1792" s="88" t="str">
        <f t="shared" si="33"/>
        <v>1w</v>
      </c>
      <c r="O1792" s="82">
        <f>_xll.qlCalendarAdvance(Calendar,O1791,N1792,"f",FALSE)</f>
        <v>51858</v>
      </c>
      <c r="P1792" s="92">
        <f>_xll.qlCalendarAdvance(Calendar,O1792,NDays&amp;"D")</f>
        <v>51865</v>
      </c>
      <c r="Q1792" s="81">
        <v>2.2643538883724001E-2</v>
      </c>
      <c r="R1792" s="85">
        <v>2.2635866320541709E-2</v>
      </c>
    </row>
    <row r="1793" spans="14:18" x14ac:dyDescent="0.2">
      <c r="N1793" s="88" t="str">
        <f t="shared" si="33"/>
        <v>1w</v>
      </c>
      <c r="O1793" s="82">
        <f>_xll.qlCalendarAdvance(Calendar,O1792,N1793,"f",FALSE)</f>
        <v>51865</v>
      </c>
      <c r="P1793" s="92">
        <f>_xll.qlCalendarAdvance(Calendar,O1793,NDays&amp;"D")</f>
        <v>51869</v>
      </c>
      <c r="Q1793" s="81">
        <v>2.2638541023996556E-2</v>
      </c>
      <c r="R1793" s="85">
        <v>2.2629423716011843E-2</v>
      </c>
    </row>
    <row r="1794" spans="14:18" x14ac:dyDescent="0.2">
      <c r="N1794" s="88" t="str">
        <f t="shared" si="33"/>
        <v>1w</v>
      </c>
      <c r="O1794" s="82">
        <f>_xll.qlCalendarAdvance(Calendar,O1793,N1794,"f",FALSE)</f>
        <v>51873</v>
      </c>
      <c r="P1794" s="92">
        <f>_xll.qlCalendarAdvance(Calendar,O1794,NDays&amp;"D")</f>
        <v>51875</v>
      </c>
      <c r="Q1794" s="81">
        <v>2.2631327989430794E-2</v>
      </c>
      <c r="R1794" s="85">
        <v>2.2623289462666563E-2</v>
      </c>
    </row>
    <row r="1795" spans="14:18" x14ac:dyDescent="0.2">
      <c r="N1795" s="88" t="str">
        <f t="shared" si="33"/>
        <v>1w</v>
      </c>
      <c r="O1795" s="82">
        <f>_xll.qlCalendarAdvance(Calendar,O1794,N1795,"f",FALSE)</f>
        <v>51880</v>
      </c>
      <c r="P1795" s="92">
        <f>_xll.qlCalendarAdvance(Calendar,O1795,NDays&amp;"D")</f>
        <v>51882</v>
      </c>
      <c r="Q1795" s="81">
        <v>2.2622834269460934E-2</v>
      </c>
      <c r="R1795" s="85">
        <v>2.2614739479944745E-2</v>
      </c>
    </row>
    <row r="1796" spans="14:18" x14ac:dyDescent="0.2">
      <c r="N1796" s="88" t="str">
        <f t="shared" si="33"/>
        <v>1w</v>
      </c>
      <c r="O1796" s="82">
        <f>_xll.qlCalendarAdvance(Calendar,O1795,N1796,"f",FALSE)</f>
        <v>51887</v>
      </c>
      <c r="P1796" s="92">
        <f>_xll.qlCalendarAdvance(Calendar,O1796,NDays&amp;"D")</f>
        <v>51889</v>
      </c>
      <c r="Q1796" s="81">
        <v>2.2614384942577781E-2</v>
      </c>
      <c r="R1796" s="85">
        <v>2.2606233797786146E-2</v>
      </c>
    </row>
    <row r="1797" spans="14:18" x14ac:dyDescent="0.2">
      <c r="N1797" s="88" t="str">
        <f t="shared" si="33"/>
        <v>1w</v>
      </c>
      <c r="O1797" s="82">
        <f>_xll.qlCalendarAdvance(Calendar,O1796,N1797,"f",FALSE)</f>
        <v>51894</v>
      </c>
      <c r="P1797" s="92">
        <f>_xll.qlCalendarAdvance(Calendar,O1797,NDays&amp;"D")</f>
        <v>51896</v>
      </c>
      <c r="Q1797" s="81">
        <v>2.2605642349993335E-2</v>
      </c>
      <c r="R1797" s="85">
        <v>2.2597772416350637E-2</v>
      </c>
    </row>
    <row r="1798" spans="14:18" x14ac:dyDescent="0.2">
      <c r="N1798" s="88" t="str">
        <f t="shared" si="33"/>
        <v>1w</v>
      </c>
      <c r="O1798" s="82">
        <f>_xll.qlCalendarAdvance(Calendar,O1797,N1798,"f",FALSE)</f>
        <v>51901</v>
      </c>
      <c r="P1798" s="92">
        <f>_xll.qlCalendarAdvance(Calendar,O1798,NDays&amp;"D")</f>
        <v>51903</v>
      </c>
      <c r="Q1798" s="81">
        <v>2.2597159186460911E-2</v>
      </c>
      <c r="R1798" s="85">
        <v>2.2589355335478345E-2</v>
      </c>
    </row>
    <row r="1799" spans="14:18" x14ac:dyDescent="0.2">
      <c r="N1799" s="88" t="str">
        <f t="shared" si="33"/>
        <v>1w</v>
      </c>
      <c r="O1799" s="82">
        <f>_xll.qlCalendarAdvance(Calendar,O1798,N1799,"f",FALSE)</f>
        <v>51908</v>
      </c>
      <c r="P1799" s="92">
        <f>_xll.qlCalendarAdvance(Calendar,O1799,NDays&amp;"D")</f>
        <v>51910</v>
      </c>
      <c r="Q1799" s="81">
        <v>2.2588832443337328E-2</v>
      </c>
      <c r="R1799" s="85">
        <v>2.2580982555249207E-2</v>
      </c>
    </row>
    <row r="1800" spans="14:18" x14ac:dyDescent="0.2">
      <c r="N1800" s="88" t="str">
        <f t="shared" si="33"/>
        <v>1w</v>
      </c>
      <c r="O1800" s="82">
        <f>_xll.qlCalendarAdvance(Calendar,O1799,N1800,"f",FALSE)</f>
        <v>51915</v>
      </c>
      <c r="P1800" s="92">
        <f>_xll.qlCalendarAdvance(Calendar,O1800,NDays&amp;"D")</f>
        <v>51917</v>
      </c>
      <c r="Q1800" s="81">
        <v>2.2580550081041331E-2</v>
      </c>
      <c r="R1800" s="85">
        <v>2.2572654075663223E-2</v>
      </c>
    </row>
    <row r="1801" spans="14:18" x14ac:dyDescent="0.2">
      <c r="N1801" s="88" t="str">
        <f t="shared" si="33"/>
        <v>1w</v>
      </c>
      <c r="O1801" s="82">
        <f>_xll.qlCalendarAdvance(Calendar,O1800,N1801,"f",FALSE)</f>
        <v>51922</v>
      </c>
      <c r="P1801" s="92">
        <f>_xll.qlCalendarAdvance(Calendar,O1801,NDays&amp;"D")</f>
        <v>51924</v>
      </c>
      <c r="Q1801" s="81">
        <v>2.2572312099487273E-2</v>
      </c>
      <c r="R1801" s="85">
        <v>2.2564369896640457E-2</v>
      </c>
    </row>
    <row r="1802" spans="14:18" x14ac:dyDescent="0.2">
      <c r="N1802" s="88" t="str">
        <f t="shared" si="33"/>
        <v>1w</v>
      </c>
      <c r="O1802" s="82">
        <f>_xll.qlCalendarAdvance(Calendar,O1801,N1802,"f",FALSE)</f>
        <v>51929</v>
      </c>
      <c r="P1802" s="92">
        <f>_xll.qlCalendarAdvance(Calendar,O1802,NDays&amp;"D")</f>
        <v>51931</v>
      </c>
      <c r="Q1802" s="81">
        <v>2.2564747560513965E-2</v>
      </c>
      <c r="R1802" s="85">
        <v>2.2556130018180909E-2</v>
      </c>
    </row>
    <row r="1803" spans="14:18" x14ac:dyDescent="0.2">
      <c r="N1803" s="88" t="str">
        <f t="shared" si="33"/>
        <v>1w</v>
      </c>
      <c r="O1803" s="82">
        <f>_xll.qlCalendarAdvance(Calendar,O1802,N1803,"f",FALSE)</f>
        <v>51936</v>
      </c>
      <c r="P1803" s="92">
        <f>_xll.qlCalendarAdvance(Calendar,O1803,NDays&amp;"D")</f>
        <v>51938</v>
      </c>
      <c r="Q1803" s="81">
        <v>2.255648265265503E-2</v>
      </c>
      <c r="R1803" s="85">
        <v>2.2547934440364514E-2</v>
      </c>
    </row>
    <row r="1804" spans="14:18" x14ac:dyDescent="0.2">
      <c r="N1804" s="88" t="str">
        <f t="shared" si="33"/>
        <v>1w</v>
      </c>
      <c r="O1804" s="82">
        <f>_xll.qlCalendarAdvance(Calendar,O1803,N1804,"f",FALSE)</f>
        <v>51943</v>
      </c>
      <c r="P1804" s="92">
        <f>_xll.qlCalendarAdvance(Calendar,O1804,NDays&amp;"D")</f>
        <v>51945</v>
      </c>
      <c r="Q1804" s="81">
        <v>2.254838846695334E-2</v>
      </c>
      <c r="R1804" s="85">
        <v>2.2539783163191274E-2</v>
      </c>
    </row>
    <row r="1805" spans="14:18" x14ac:dyDescent="0.2">
      <c r="N1805" s="88" t="str">
        <f t="shared" si="33"/>
        <v>1w</v>
      </c>
      <c r="O1805" s="82">
        <f>_xll.qlCalendarAdvance(Calendar,O1804,N1805,"f",FALSE)</f>
        <v>51950</v>
      </c>
      <c r="P1805" s="92">
        <f>_xll.qlCalendarAdvance(Calendar,O1805,NDays&amp;"D")</f>
        <v>51952</v>
      </c>
      <c r="Q1805" s="81">
        <v>2.2540338673461557E-2</v>
      </c>
      <c r="R1805" s="85">
        <v>2.2531676186581251E-2</v>
      </c>
    </row>
    <row r="1806" spans="14:18" x14ac:dyDescent="0.2">
      <c r="N1806" s="88" t="str">
        <f t="shared" si="33"/>
        <v>1w</v>
      </c>
      <c r="O1806" s="82">
        <f>_xll.qlCalendarAdvance(Calendar,O1805,N1806,"f",FALSE)</f>
        <v>51957</v>
      </c>
      <c r="P1806" s="92">
        <f>_xll.qlCalendarAdvance(Calendar,O1806,NDays&amp;"D")</f>
        <v>51959</v>
      </c>
      <c r="Q1806" s="81">
        <v>2.2532333272087257E-2</v>
      </c>
      <c r="R1806" s="85">
        <v>2.2521318025692239E-2</v>
      </c>
    </row>
    <row r="1807" spans="14:18" x14ac:dyDescent="0.2">
      <c r="N1807" s="88" t="str">
        <f t="shared" si="33"/>
        <v>1w</v>
      </c>
      <c r="O1807" s="82">
        <f>_xll.qlCalendarAdvance(Calendar,O1806,N1807,"f",FALSE)</f>
        <v>51964</v>
      </c>
      <c r="P1807" s="92">
        <f>_xll.qlCalendarAdvance(Calendar,O1807,NDays&amp;"D")</f>
        <v>51966</v>
      </c>
      <c r="Q1807" s="81">
        <v>2.2524372262738013E-2</v>
      </c>
      <c r="R1807" s="85">
        <v>2.2515595135210731E-2</v>
      </c>
    </row>
    <row r="1808" spans="14:18" x14ac:dyDescent="0.2">
      <c r="N1808" s="88" t="str">
        <f t="shared" si="33"/>
        <v>1w</v>
      </c>
      <c r="O1808" s="82">
        <f>_xll.qlCalendarAdvance(Calendar,O1807,N1808,"f",FALSE)</f>
        <v>51971</v>
      </c>
      <c r="P1808" s="92">
        <f>_xll.qlCalendarAdvance(Calendar,O1808,NDays&amp;"D")</f>
        <v>51973</v>
      </c>
      <c r="Q1808" s="81">
        <v>2.2516455645313904E-2</v>
      </c>
      <c r="R1808" s="85">
        <v>2.2507621060370298E-2</v>
      </c>
    </row>
    <row r="1809" spans="14:18" x14ac:dyDescent="0.2">
      <c r="N1809" s="88" t="str">
        <f t="shared" si="33"/>
        <v>1w</v>
      </c>
      <c r="O1809" s="82">
        <f>_xll.qlCalendarAdvance(Calendar,O1808,N1809,"f",FALSE)</f>
        <v>51978</v>
      </c>
      <c r="P1809" s="92">
        <f>_xll.qlCalendarAdvance(Calendar,O1809,NDays&amp;"D")</f>
        <v>51980</v>
      </c>
      <c r="Q1809" s="81">
        <v>2.2508728442415755E-2</v>
      </c>
      <c r="R1809" s="85">
        <v>2.2499691286252954E-2</v>
      </c>
    </row>
    <row r="1810" spans="14:18" x14ac:dyDescent="0.2">
      <c r="N1810" s="88" t="str">
        <f t="shared" si="33"/>
        <v>1w</v>
      </c>
      <c r="O1810" s="82">
        <f>_xll.qlCalendarAdvance(Calendar,O1809,N1810,"f",FALSE)</f>
        <v>51985</v>
      </c>
      <c r="P1810" s="92">
        <f>_xll.qlCalendarAdvance(Calendar,O1810,NDays&amp;"D")</f>
        <v>51988</v>
      </c>
      <c r="Q1810" s="81">
        <v>2.2499493121398106E-2</v>
      </c>
      <c r="R1810" s="85">
        <v>2.2490682932749806E-2</v>
      </c>
    </row>
    <row r="1811" spans="14:18" x14ac:dyDescent="0.2">
      <c r="N1811" s="88" t="str">
        <f t="shared" si="33"/>
        <v>1w</v>
      </c>
      <c r="O1811" s="82">
        <f>_xll.qlCalendarAdvance(Calendar,O1810,N1811,"f",FALSE)</f>
        <v>51992</v>
      </c>
      <c r="P1811" s="92">
        <f>_xll.qlCalendarAdvance(Calendar,O1811,NDays&amp;"D")</f>
        <v>51994</v>
      </c>
      <c r="Q1811" s="81">
        <v>2.2492972143680623E-2</v>
      </c>
      <c r="R1811" s="85">
        <v>2.2483964639627985E-2</v>
      </c>
    </row>
    <row r="1812" spans="14:18" x14ac:dyDescent="0.2">
      <c r="N1812" s="88" t="str">
        <f t="shared" si="33"/>
        <v>1w</v>
      </c>
      <c r="O1812" s="82">
        <f>_xll.qlCalendarAdvance(Calendar,O1811,N1812,"f",FALSE)</f>
        <v>51999</v>
      </c>
      <c r="P1812" s="92">
        <f>_xll.qlCalendarAdvance(Calendar,O1812,NDays&amp;"D")</f>
        <v>52002</v>
      </c>
      <c r="Q1812" s="81">
        <v>2.2483977938646645E-2</v>
      </c>
      <c r="R1812" s="85">
        <v>2.2475057544566468E-2</v>
      </c>
    </row>
    <row r="1813" spans="14:18" x14ac:dyDescent="0.2">
      <c r="N1813" s="88" t="str">
        <f t="shared" ref="N1813:N1876" si="34">N1812</f>
        <v>1w</v>
      </c>
      <c r="O1813" s="82">
        <f>_xll.qlCalendarAdvance(Calendar,O1812,N1813,"f",FALSE)</f>
        <v>52006</v>
      </c>
      <c r="P1813" s="92">
        <f>_xll.qlCalendarAdvance(Calendar,O1813,NDays&amp;"D")</f>
        <v>52008</v>
      </c>
      <c r="Q1813" s="81">
        <v>2.2477538433857969E-2</v>
      </c>
      <c r="R1813" s="85">
        <v>2.2467311301399562E-2</v>
      </c>
    </row>
    <row r="1814" spans="14:18" x14ac:dyDescent="0.2">
      <c r="N1814" s="88" t="str">
        <f t="shared" si="34"/>
        <v>1w</v>
      </c>
      <c r="O1814" s="82">
        <f>_xll.qlCalendarAdvance(Calendar,O1813,N1814,"f",FALSE)</f>
        <v>52013</v>
      </c>
      <c r="P1814" s="92">
        <f>_xll.qlCalendarAdvance(Calendar,O1814,NDays&amp;"D")</f>
        <v>52015</v>
      </c>
      <c r="Q1814" s="81">
        <v>2.2469888166056218E-2</v>
      </c>
      <c r="R1814" s="85">
        <v>2.2460706924034568E-2</v>
      </c>
    </row>
    <row r="1815" spans="14:18" x14ac:dyDescent="0.2">
      <c r="N1815" s="88" t="str">
        <f t="shared" si="34"/>
        <v>1w</v>
      </c>
      <c r="O1815" s="82">
        <f>_xll.qlCalendarAdvance(Calendar,O1814,N1815,"f",FALSE)</f>
        <v>52020</v>
      </c>
      <c r="P1815" s="92">
        <f>_xll.qlCalendarAdvance(Calendar,O1815,NDays&amp;"D")</f>
        <v>52022</v>
      </c>
      <c r="Q1815" s="81">
        <v>2.2462282289537616E-2</v>
      </c>
      <c r="R1815" s="85">
        <v>2.2453042953216595E-2</v>
      </c>
    </row>
    <row r="1816" spans="14:18" x14ac:dyDescent="0.2">
      <c r="N1816" s="88" t="str">
        <f t="shared" si="34"/>
        <v>1w</v>
      </c>
      <c r="O1816" s="82">
        <f>_xll.qlCalendarAdvance(Calendar,O1815,N1816,"f",FALSE)</f>
        <v>52027</v>
      </c>
      <c r="P1816" s="92">
        <f>_xll.qlCalendarAdvance(Calendar,O1816,NDays&amp;"D")</f>
        <v>52029</v>
      </c>
      <c r="Q1816" s="81">
        <v>2.2454720804212236E-2</v>
      </c>
      <c r="R1816" s="85">
        <v>2.2445423283121713E-2</v>
      </c>
    </row>
    <row r="1817" spans="14:18" x14ac:dyDescent="0.2">
      <c r="N1817" s="88" t="str">
        <f t="shared" si="34"/>
        <v>1w</v>
      </c>
      <c r="O1817" s="82">
        <f>_xll.qlCalendarAdvance(Calendar,O1816,N1817,"f",FALSE)</f>
        <v>52034</v>
      </c>
      <c r="P1817" s="92">
        <f>_xll.qlCalendarAdvance(Calendar,O1817,NDays&amp;"D")</f>
        <v>52036</v>
      </c>
      <c r="Q1817" s="81">
        <v>2.2447203709997643E-2</v>
      </c>
      <c r="R1817" s="85">
        <v>2.2436769334204243E-2</v>
      </c>
    </row>
    <row r="1818" spans="14:18" x14ac:dyDescent="0.2">
      <c r="N1818" s="88" t="str">
        <f t="shared" si="34"/>
        <v>1w</v>
      </c>
      <c r="O1818" s="82">
        <f>_xll.qlCalendarAdvance(Calendar,O1817,N1818,"f",FALSE)</f>
        <v>52041</v>
      </c>
      <c r="P1818" s="92">
        <f>_xll.qlCalendarAdvance(Calendar,O1818,NDays&amp;"D")</f>
        <v>52043</v>
      </c>
      <c r="Q1818" s="81">
        <v>2.2439731006796415E-2</v>
      </c>
      <c r="R1818" s="85">
        <v>2.2430316844541665E-2</v>
      </c>
    </row>
    <row r="1819" spans="14:18" x14ac:dyDescent="0.2">
      <c r="N1819" s="88" t="str">
        <f t="shared" si="34"/>
        <v>1w</v>
      </c>
      <c r="O1819" s="82">
        <f>_xll.qlCalendarAdvance(Calendar,O1818,N1819,"f",FALSE)</f>
        <v>52048</v>
      </c>
      <c r="P1819" s="92">
        <f>_xll.qlCalendarAdvance(Calendar,O1819,NDays&amp;"D")</f>
        <v>52050</v>
      </c>
      <c r="Q1819" s="81">
        <v>2.2432302694518624E-2</v>
      </c>
      <c r="R1819" s="85">
        <v>2.2422830076136435E-2</v>
      </c>
    </row>
    <row r="1820" spans="14:18" x14ac:dyDescent="0.2">
      <c r="N1820" s="88" t="str">
        <f t="shared" si="34"/>
        <v>1w</v>
      </c>
      <c r="O1820" s="82">
        <f>_xll.qlCalendarAdvance(Calendar,O1819,N1820,"f",FALSE)</f>
        <v>52055</v>
      </c>
      <c r="P1820" s="92">
        <f>_xll.qlCalendarAdvance(Calendar,O1820,NDays&amp;"D")</f>
        <v>52057</v>
      </c>
      <c r="Q1820" s="81">
        <v>2.2424918773084335E-2</v>
      </c>
      <c r="R1820" s="85">
        <v>2.2415387608214488E-2</v>
      </c>
    </row>
    <row r="1821" spans="14:18" x14ac:dyDescent="0.2">
      <c r="N1821" s="88" t="str">
        <f t="shared" si="34"/>
        <v>1w</v>
      </c>
      <c r="O1821" s="82">
        <f>_xll.qlCalendarAdvance(Calendar,O1820,N1821,"f",FALSE)</f>
        <v>52062</v>
      </c>
      <c r="P1821" s="92">
        <f>_xll.qlCalendarAdvance(Calendar,O1821,NDays&amp;"D")</f>
        <v>52064</v>
      </c>
      <c r="Q1821" s="81">
        <v>2.2417579242403618E-2</v>
      </c>
      <c r="R1821" s="85">
        <v>2.2407989440775822E-2</v>
      </c>
    </row>
    <row r="1822" spans="14:18" x14ac:dyDescent="0.2">
      <c r="N1822" s="88" t="str">
        <f t="shared" si="34"/>
        <v>1w</v>
      </c>
      <c r="O1822" s="82">
        <f>_xll.qlCalendarAdvance(Calendar,O1821,N1822,"f",FALSE)</f>
        <v>52069</v>
      </c>
      <c r="P1822" s="92">
        <f>_xll.qlCalendarAdvance(Calendar,O1822,NDays&amp;"D")</f>
        <v>52071</v>
      </c>
      <c r="Q1822" s="81">
        <v>2.2410284102386546E-2</v>
      </c>
      <c r="R1822" s="85">
        <v>2.2400635574060246E-2</v>
      </c>
    </row>
    <row r="1823" spans="14:18" x14ac:dyDescent="0.2">
      <c r="N1823" s="88" t="str">
        <f t="shared" si="34"/>
        <v>1w</v>
      </c>
      <c r="O1823" s="82">
        <f>_xll.qlCalendarAdvance(Calendar,O1822,N1823,"f",FALSE)</f>
        <v>52076</v>
      </c>
      <c r="P1823" s="92">
        <f>_xll.qlCalendarAdvance(Calendar,O1823,NDays&amp;"D")</f>
        <v>52078</v>
      </c>
      <c r="Q1823" s="81">
        <v>2.2402486437029339E-2</v>
      </c>
      <c r="R1823" s="85">
        <v>2.2393326007827952E-2</v>
      </c>
    </row>
    <row r="1824" spans="14:18" x14ac:dyDescent="0.2">
      <c r="N1824" s="88" t="str">
        <f t="shared" si="34"/>
        <v>1w</v>
      </c>
      <c r="O1824" s="82">
        <f>_xll.qlCalendarAdvance(Calendar,O1823,N1824,"f",FALSE)</f>
        <v>52083</v>
      </c>
      <c r="P1824" s="92">
        <f>_xll.qlCalendarAdvance(Calendar,O1824,NDays&amp;"D")</f>
        <v>52085</v>
      </c>
      <c r="Q1824" s="81">
        <v>2.2395826994008605E-2</v>
      </c>
      <c r="R1824" s="85">
        <v>2.2386060742158875E-2</v>
      </c>
    </row>
    <row r="1825" spans="14:18" x14ac:dyDescent="0.2">
      <c r="N1825" s="88" t="str">
        <f t="shared" si="34"/>
        <v>1w</v>
      </c>
      <c r="O1825" s="82">
        <f>_xll.qlCalendarAdvance(Calendar,O1824,N1825,"f",FALSE)</f>
        <v>52090</v>
      </c>
      <c r="P1825" s="92">
        <f>_xll.qlCalendarAdvance(Calendar,O1825,NDays&amp;"D")</f>
        <v>52092</v>
      </c>
      <c r="Q1825" s="81">
        <v>2.2388665025477872E-2</v>
      </c>
      <c r="R1825" s="85">
        <v>2.2378839776973081E-2</v>
      </c>
    </row>
    <row r="1826" spans="14:18" x14ac:dyDescent="0.2">
      <c r="N1826" s="88" t="str">
        <f t="shared" si="34"/>
        <v>1w</v>
      </c>
      <c r="O1826" s="82">
        <f>_xll.qlCalendarAdvance(Calendar,O1825,N1826,"f",FALSE)</f>
        <v>52097</v>
      </c>
      <c r="P1826" s="92">
        <f>_xll.qlCalendarAdvance(Calendar,O1826,NDays&amp;"D")</f>
        <v>52099</v>
      </c>
      <c r="Q1826" s="81">
        <v>2.2381547447271055E-2</v>
      </c>
      <c r="R1826" s="85">
        <v>2.2371663112350504E-2</v>
      </c>
    </row>
    <row r="1827" spans="14:18" x14ac:dyDescent="0.2">
      <c r="N1827" s="88" t="str">
        <f t="shared" si="34"/>
        <v>1w</v>
      </c>
      <c r="O1827" s="82">
        <f>_xll.qlCalendarAdvance(Calendar,O1826,N1827,"f",FALSE)</f>
        <v>52104</v>
      </c>
      <c r="P1827" s="92">
        <f>_xll.qlCalendarAdvance(Calendar,O1827,NDays&amp;"D")</f>
        <v>52106</v>
      </c>
      <c r="Q1827" s="81">
        <v>2.2374474259305721E-2</v>
      </c>
      <c r="R1827" s="85">
        <v>2.2364530748371081E-2</v>
      </c>
    </row>
    <row r="1828" spans="14:18" x14ac:dyDescent="0.2">
      <c r="N1828" s="88" t="str">
        <f t="shared" si="34"/>
        <v>1w</v>
      </c>
      <c r="O1828" s="82">
        <f>_xll.qlCalendarAdvance(Calendar,O1827,N1828,"f",FALSE)</f>
        <v>52111</v>
      </c>
      <c r="P1828" s="92">
        <f>_xll.qlCalendarAdvance(Calendar,O1828,NDays&amp;"D")</f>
        <v>52113</v>
      </c>
      <c r="Q1828" s="81">
        <v>2.2367445461496938E-2</v>
      </c>
      <c r="R1828" s="85">
        <v>2.235744268487494E-2</v>
      </c>
    </row>
    <row r="1829" spans="14:18" x14ac:dyDescent="0.2">
      <c r="N1829" s="88" t="str">
        <f t="shared" si="34"/>
        <v>1w</v>
      </c>
      <c r="O1829" s="82">
        <f>_xll.qlCalendarAdvance(Calendar,O1828,N1829,"f",FALSE)</f>
        <v>52118</v>
      </c>
      <c r="P1829" s="92">
        <f>_xll.qlCalendarAdvance(Calendar,O1829,NDays&amp;"D")</f>
        <v>52120</v>
      </c>
      <c r="Q1829" s="81">
        <v>2.2360461053759773E-2</v>
      </c>
      <c r="R1829" s="85">
        <v>2.2350398921942016E-2</v>
      </c>
    </row>
    <row r="1830" spans="14:18" x14ac:dyDescent="0.2">
      <c r="N1830" s="88" t="str">
        <f t="shared" si="34"/>
        <v>1w</v>
      </c>
      <c r="O1830" s="82">
        <f>_xll.qlCalendarAdvance(Calendar,O1829,N1830,"f",FALSE)</f>
        <v>52125</v>
      </c>
      <c r="P1830" s="92">
        <f>_xll.qlCalendarAdvance(Calendar,O1830,NDays&amp;"D")</f>
        <v>52127</v>
      </c>
      <c r="Q1830" s="81">
        <v>2.2353521036016788E-2</v>
      </c>
      <c r="R1830" s="85">
        <v>2.2343399459412439E-2</v>
      </c>
    </row>
    <row r="1831" spans="14:18" x14ac:dyDescent="0.2">
      <c r="N1831" s="88" t="str">
        <f t="shared" si="34"/>
        <v>1w</v>
      </c>
      <c r="O1831" s="82">
        <f>_xll.qlCalendarAdvance(Calendar,O1830,N1831,"f",FALSE)</f>
        <v>52132</v>
      </c>
      <c r="P1831" s="92">
        <f>_xll.qlCalendarAdvance(Calendar,O1831,NDays&amp;"D")</f>
        <v>52134</v>
      </c>
      <c r="Q1831" s="81">
        <v>2.2346625408180554E-2</v>
      </c>
      <c r="R1831" s="85">
        <v>2.2336444297446079E-2</v>
      </c>
    </row>
    <row r="1832" spans="14:18" x14ac:dyDescent="0.2">
      <c r="N1832" s="88" t="str">
        <f t="shared" si="34"/>
        <v>1w</v>
      </c>
      <c r="O1832" s="82">
        <f>_xll.qlCalendarAdvance(Calendar,O1831,N1832,"f",FALSE)</f>
        <v>52139</v>
      </c>
      <c r="P1832" s="92">
        <f>_xll.qlCalendarAdvance(Calendar,O1832,NDays&amp;"D")</f>
        <v>52141</v>
      </c>
      <c r="Q1832" s="81">
        <v>2.233977417017613E-2</v>
      </c>
      <c r="R1832" s="85">
        <v>2.2329533436122873E-2</v>
      </c>
    </row>
    <row r="1833" spans="14:18" x14ac:dyDescent="0.2">
      <c r="N1833" s="88" t="str">
        <f t="shared" si="34"/>
        <v>1w</v>
      </c>
      <c r="O1833" s="82">
        <f>_xll.qlCalendarAdvance(Calendar,O1832,N1833,"f",FALSE)</f>
        <v>52146</v>
      </c>
      <c r="P1833" s="92">
        <f>_xll.qlCalendarAdvance(Calendar,O1833,NDays&amp;"D")</f>
        <v>52148</v>
      </c>
      <c r="Q1833" s="81">
        <v>2.2332967321916086E-2</v>
      </c>
      <c r="R1833" s="85">
        <v>2.2322666875203012E-2</v>
      </c>
    </row>
    <row r="1834" spans="14:18" x14ac:dyDescent="0.2">
      <c r="N1834" s="88" t="str">
        <f t="shared" si="34"/>
        <v>1w</v>
      </c>
      <c r="O1834" s="82">
        <f>_xll.qlCalendarAdvance(Calendar,O1833,N1834,"f",FALSE)</f>
        <v>52153</v>
      </c>
      <c r="P1834" s="92">
        <f>_xll.qlCalendarAdvance(Calendar,O1834,NDays&amp;"D")</f>
        <v>52155</v>
      </c>
      <c r="Q1834" s="81">
        <v>2.2326204863325483E-2</v>
      </c>
      <c r="R1834" s="85">
        <v>2.2315844614926306E-2</v>
      </c>
    </row>
    <row r="1835" spans="14:18" x14ac:dyDescent="0.2">
      <c r="N1835" s="88" t="str">
        <f t="shared" si="34"/>
        <v>1w</v>
      </c>
      <c r="O1835" s="82">
        <f>_xll.qlCalendarAdvance(Calendar,O1834,N1835,"f",FALSE)</f>
        <v>52160</v>
      </c>
      <c r="P1835" s="92">
        <f>_xll.qlCalendarAdvance(Calendar,O1835,NDays&amp;"D")</f>
        <v>52162</v>
      </c>
      <c r="Q1835" s="81">
        <v>2.231948679431689E-2</v>
      </c>
      <c r="R1835" s="85">
        <v>2.2309066655132881E-2</v>
      </c>
    </row>
    <row r="1836" spans="14:18" x14ac:dyDescent="0.2">
      <c r="N1836" s="88" t="str">
        <f t="shared" si="34"/>
        <v>1w</v>
      </c>
      <c r="O1836" s="82">
        <f>_xll.qlCalendarAdvance(Calendar,O1835,N1836,"f",FALSE)</f>
        <v>52167</v>
      </c>
      <c r="P1836" s="92">
        <f>_xll.qlCalendarAdvance(Calendar,O1836,NDays&amp;"D")</f>
        <v>52169</v>
      </c>
      <c r="Q1836" s="81">
        <v>2.2312159356554735E-2</v>
      </c>
      <c r="R1836" s="85">
        <v>2.2302332995742802E-2</v>
      </c>
    </row>
    <row r="1837" spans="14:18" x14ac:dyDescent="0.2">
      <c r="N1837" s="88" t="str">
        <f t="shared" si="34"/>
        <v>1w</v>
      </c>
      <c r="O1837" s="82">
        <f>_xll.qlCalendarAdvance(Calendar,O1836,N1837,"f",FALSE)</f>
        <v>52174</v>
      </c>
      <c r="P1837" s="92">
        <f>_xll.qlCalendarAdvance(Calendar,O1837,NDays&amp;"D")</f>
        <v>52176</v>
      </c>
      <c r="Q1837" s="81">
        <v>2.2306183824750969E-2</v>
      </c>
      <c r="R1837" s="85">
        <v>2.2295643636915941E-2</v>
      </c>
    </row>
    <row r="1838" spans="14:18" x14ac:dyDescent="0.2">
      <c r="N1838" s="88" t="str">
        <f t="shared" si="34"/>
        <v>1w</v>
      </c>
      <c r="O1838" s="82">
        <f>_xll.qlCalendarAdvance(Calendar,O1837,N1838,"f",FALSE)</f>
        <v>52181</v>
      </c>
      <c r="P1838" s="92">
        <f>_xll.qlCalendarAdvance(Calendar,O1838,NDays&amp;"D")</f>
        <v>52183</v>
      </c>
      <c r="Q1838" s="81">
        <v>2.2299598924028774E-2</v>
      </c>
      <c r="R1838" s="85">
        <v>2.2288998578732233E-2</v>
      </c>
    </row>
    <row r="1839" spans="14:18" x14ac:dyDescent="0.2">
      <c r="N1839" s="88" t="str">
        <f t="shared" si="34"/>
        <v>1w</v>
      </c>
      <c r="O1839" s="82">
        <f>_xll.qlCalendarAdvance(Calendar,O1838,N1839,"f",FALSE)</f>
        <v>52188</v>
      </c>
      <c r="P1839" s="92">
        <f>_xll.qlCalendarAdvance(Calendar,O1839,NDays&amp;"D")</f>
        <v>52190</v>
      </c>
      <c r="Q1839" s="81">
        <v>2.2293058412581335E-2</v>
      </c>
      <c r="R1839" s="85">
        <v>2.2282397820871935E-2</v>
      </c>
    </row>
    <row r="1840" spans="14:18" x14ac:dyDescent="0.2">
      <c r="N1840" s="88" t="str">
        <f t="shared" si="34"/>
        <v>1w</v>
      </c>
      <c r="O1840" s="82">
        <f>_xll.qlCalendarAdvance(Calendar,O1839,N1840,"f",FALSE)</f>
        <v>52195</v>
      </c>
      <c r="P1840" s="92">
        <f>_xll.qlCalendarAdvance(Calendar,O1840,NDays&amp;"D")</f>
        <v>52197</v>
      </c>
      <c r="Q1840" s="81">
        <v>2.2286562290331213E-2</v>
      </c>
      <c r="R1840" s="85">
        <v>2.2275841363654791E-2</v>
      </c>
    </row>
    <row r="1841" spans="14:18" x14ac:dyDescent="0.2">
      <c r="N1841" s="88" t="str">
        <f t="shared" si="34"/>
        <v>1w</v>
      </c>
      <c r="O1841" s="82">
        <f>_xll.qlCalendarAdvance(Calendar,O1840,N1841,"f",FALSE)</f>
        <v>52202</v>
      </c>
      <c r="P1841" s="92">
        <f>_xll.qlCalendarAdvance(Calendar,O1841,NDays&amp;"D")</f>
        <v>52204</v>
      </c>
      <c r="Q1841" s="81">
        <v>2.2280110557195976E-2</v>
      </c>
      <c r="R1841" s="85">
        <v>2.2269329206920929E-2</v>
      </c>
    </row>
    <row r="1842" spans="14:18" x14ac:dyDescent="0.2">
      <c r="N1842" s="88" t="str">
        <f t="shared" si="34"/>
        <v>1w</v>
      </c>
      <c r="O1842" s="82">
        <f>_xll.qlCalendarAdvance(Calendar,O1841,N1842,"f",FALSE)</f>
        <v>52209</v>
      </c>
      <c r="P1842" s="92">
        <f>_xll.qlCalendarAdvance(Calendar,O1842,NDays&amp;"D")</f>
        <v>52211</v>
      </c>
      <c r="Q1842" s="81">
        <v>2.2273703213105678E-2</v>
      </c>
      <c r="R1842" s="85">
        <v>2.2262861350670349E-2</v>
      </c>
    </row>
    <row r="1843" spans="14:18" x14ac:dyDescent="0.2">
      <c r="N1843" s="88" t="str">
        <f t="shared" si="34"/>
        <v>1w</v>
      </c>
      <c r="O1843" s="82">
        <f>_xll.qlCalendarAdvance(Calendar,O1842,N1843,"f",FALSE)</f>
        <v>52216</v>
      </c>
      <c r="P1843" s="92">
        <f>_xll.qlCalendarAdvance(Calendar,O1843,NDays&amp;"D")</f>
        <v>52218</v>
      </c>
      <c r="Q1843" s="81">
        <v>2.2267340257982882E-2</v>
      </c>
      <c r="R1843" s="85">
        <v>2.225643779490305E-2</v>
      </c>
    </row>
    <row r="1844" spans="14:18" x14ac:dyDescent="0.2">
      <c r="N1844" s="88" t="str">
        <f t="shared" si="34"/>
        <v>1w</v>
      </c>
      <c r="O1844" s="82">
        <f>_xll.qlCalendarAdvance(Calendar,O1843,N1844,"f",FALSE)</f>
        <v>52223</v>
      </c>
      <c r="P1844" s="92">
        <f>_xll.qlCalendarAdvance(Calendar,O1844,NDays&amp;"D")</f>
        <v>52230</v>
      </c>
      <c r="Q1844" s="81">
        <v>2.2256293267656106E-2</v>
      </c>
      <c r="R1844" s="85">
        <v>2.2243960067411805E-2</v>
      </c>
    </row>
    <row r="1845" spans="14:18" x14ac:dyDescent="0.2">
      <c r="N1845" s="88" t="str">
        <f t="shared" si="34"/>
        <v>1w</v>
      </c>
      <c r="O1845" s="82">
        <f>_xll.qlCalendarAdvance(Calendar,O1844,N1845,"f",FALSE)</f>
        <v>52230</v>
      </c>
      <c r="P1845" s="92">
        <f>_xll.qlCalendarAdvance(Calendar,O1845,NDays&amp;"D")</f>
        <v>52236</v>
      </c>
      <c r="Q1845" s="81">
        <v>2.2250937473502128E-2</v>
      </c>
      <c r="R1845" s="85">
        <v>2.2241022165649937E-2</v>
      </c>
    </row>
    <row r="1846" spans="14:18" x14ac:dyDescent="0.2">
      <c r="N1846" s="88" t="str">
        <f t="shared" si="34"/>
        <v>1w</v>
      </c>
      <c r="O1846" s="82">
        <f>_xll.qlCalendarAdvance(Calendar,O1845,N1846,"f",FALSE)</f>
        <v>52238</v>
      </c>
      <c r="P1846" s="92">
        <f>_xll.qlCalendarAdvance(Calendar,O1846,NDays&amp;"D")</f>
        <v>52240</v>
      </c>
      <c r="Q1846" s="81">
        <v>2.2247385060738176E-2</v>
      </c>
      <c r="R1846" s="85">
        <v>2.2236537882065477E-2</v>
      </c>
    </row>
    <row r="1847" spans="14:18" x14ac:dyDescent="0.2">
      <c r="N1847" s="88" t="str">
        <f t="shared" si="34"/>
        <v>1w</v>
      </c>
      <c r="O1847" s="82">
        <f>_xll.qlCalendarAdvance(Calendar,O1846,N1847,"f",FALSE)</f>
        <v>52245</v>
      </c>
      <c r="P1847" s="92">
        <f>_xll.qlCalendarAdvance(Calendar,O1847,NDays&amp;"D")</f>
        <v>52247</v>
      </c>
      <c r="Q1847" s="81">
        <v>2.2241203212974167E-2</v>
      </c>
      <c r="R1847" s="85">
        <v>2.2230297856928871E-2</v>
      </c>
    </row>
    <row r="1848" spans="14:18" x14ac:dyDescent="0.2">
      <c r="N1848" s="88" t="str">
        <f t="shared" si="34"/>
        <v>1w</v>
      </c>
      <c r="O1848" s="82">
        <f>_xll.qlCalendarAdvance(Calendar,O1847,N1848,"f",FALSE)</f>
        <v>52252</v>
      </c>
      <c r="P1848" s="92">
        <f>_xll.qlCalendarAdvance(Calendar,O1848,NDays&amp;"D")</f>
        <v>52254</v>
      </c>
      <c r="Q1848" s="81">
        <v>2.2235065750956851E-2</v>
      </c>
      <c r="R1848" s="85">
        <v>2.2224102132275547E-2</v>
      </c>
    </row>
    <row r="1849" spans="14:18" x14ac:dyDescent="0.2">
      <c r="N1849" s="88" t="str">
        <f t="shared" si="34"/>
        <v>1w</v>
      </c>
      <c r="O1849" s="82">
        <f>_xll.qlCalendarAdvance(Calendar,O1848,N1849,"f",FALSE)</f>
        <v>52259</v>
      </c>
      <c r="P1849" s="92">
        <f>_xll.qlCalendarAdvance(Calendar,O1849,NDays&amp;"D")</f>
        <v>52261</v>
      </c>
      <c r="Q1849" s="81">
        <v>2.2228210253493037E-2</v>
      </c>
      <c r="R1849" s="85">
        <v>2.2217950708185441E-2</v>
      </c>
    </row>
    <row r="1850" spans="14:18" x14ac:dyDescent="0.2">
      <c r="N1850" s="88" t="str">
        <f t="shared" si="34"/>
        <v>1w</v>
      </c>
      <c r="O1850" s="82">
        <f>_xll.qlCalendarAdvance(Calendar,O1849,N1850,"f",FALSE)</f>
        <v>52266</v>
      </c>
      <c r="P1850" s="92">
        <f>_xll.qlCalendarAdvance(Calendar,O1850,NDays&amp;"D")</f>
        <v>52268</v>
      </c>
      <c r="Q1850" s="81">
        <v>2.2222153172530526E-2</v>
      </c>
      <c r="R1850" s="85">
        <v>2.2211843584498681E-2</v>
      </c>
    </row>
    <row r="1851" spans="14:18" x14ac:dyDescent="0.2">
      <c r="N1851" s="88" t="str">
        <f t="shared" si="34"/>
        <v>1w</v>
      </c>
      <c r="O1851" s="82">
        <f>_xll.qlCalendarAdvance(Calendar,O1850,N1851,"f",FALSE)</f>
        <v>52273</v>
      </c>
      <c r="P1851" s="92">
        <f>_xll.qlCalendarAdvance(Calendar,O1851,NDays&amp;"D")</f>
        <v>52275</v>
      </c>
      <c r="Q1851" s="81">
        <v>2.2216140468601493E-2</v>
      </c>
      <c r="R1851" s="85">
        <v>2.2205780761295202E-2</v>
      </c>
    </row>
    <row r="1852" spans="14:18" x14ac:dyDescent="0.2">
      <c r="N1852" s="88" t="str">
        <f t="shared" si="34"/>
        <v>1w</v>
      </c>
      <c r="O1852" s="82">
        <f>_xll.qlCalendarAdvance(Calendar,O1851,N1852,"f",FALSE)</f>
        <v>52280</v>
      </c>
      <c r="P1852" s="92">
        <f>_xll.qlCalendarAdvance(Calendar,O1852,NDays&amp;"D")</f>
        <v>52282</v>
      </c>
      <c r="Q1852" s="81">
        <v>2.2210172141651694E-2</v>
      </c>
      <c r="R1852" s="85">
        <v>2.2199762238575005E-2</v>
      </c>
    </row>
    <row r="1853" spans="14:18" x14ac:dyDescent="0.2">
      <c r="N1853" s="88" t="str">
        <f t="shared" si="34"/>
        <v>1w</v>
      </c>
      <c r="O1853" s="82">
        <f>_xll.qlCalendarAdvance(Calendar,O1852,N1853,"f",FALSE)</f>
        <v>52287</v>
      </c>
      <c r="P1853" s="92">
        <f>_xll.qlCalendarAdvance(Calendar,O1853,NDays&amp;"D")</f>
        <v>52289</v>
      </c>
      <c r="Q1853" s="81">
        <v>2.2205310125794631E-2</v>
      </c>
      <c r="R1853" s="85">
        <v>2.2193788016258154E-2</v>
      </c>
    </row>
    <row r="1854" spans="14:18" x14ac:dyDescent="0.2">
      <c r="N1854" s="88" t="str">
        <f t="shared" si="34"/>
        <v>1w</v>
      </c>
      <c r="O1854" s="82">
        <f>_xll.qlCalendarAdvance(Calendar,O1853,N1854,"f",FALSE)</f>
        <v>52294</v>
      </c>
      <c r="P1854" s="92">
        <f>_xll.qlCalendarAdvance(Calendar,O1854,NDays&amp;"D")</f>
        <v>52296</v>
      </c>
      <c r="Q1854" s="81">
        <v>2.219917307560627E-2</v>
      </c>
      <c r="R1854" s="85">
        <v>2.218785809450452E-2</v>
      </c>
    </row>
    <row r="1855" spans="14:18" x14ac:dyDescent="0.2">
      <c r="N1855" s="88" t="str">
        <f t="shared" si="34"/>
        <v>1w</v>
      </c>
      <c r="O1855" s="82">
        <f>_xll.qlCalendarAdvance(Calendar,O1854,N1855,"f",FALSE)</f>
        <v>52301</v>
      </c>
      <c r="P1855" s="92">
        <f>_xll.qlCalendarAdvance(Calendar,O1855,NDays&amp;"D")</f>
        <v>52303</v>
      </c>
      <c r="Q1855" s="81">
        <v>2.2193346311871538E-2</v>
      </c>
      <c r="R1855" s="85">
        <v>2.2181972473234168E-2</v>
      </c>
    </row>
    <row r="1856" spans="14:18" x14ac:dyDescent="0.2">
      <c r="N1856" s="88" t="str">
        <f t="shared" si="34"/>
        <v>1w</v>
      </c>
      <c r="O1856" s="82">
        <f>_xll.qlCalendarAdvance(Calendar,O1855,N1856,"f",FALSE)</f>
        <v>52308</v>
      </c>
      <c r="P1856" s="92">
        <f>_xll.qlCalendarAdvance(Calendar,O1856,NDays&amp;"D")</f>
        <v>52310</v>
      </c>
      <c r="Q1856" s="81">
        <v>2.218756393333168E-2</v>
      </c>
      <c r="R1856" s="85">
        <v>2.2176131152447098E-2</v>
      </c>
    </row>
    <row r="1857" spans="14:18" x14ac:dyDescent="0.2">
      <c r="N1857" s="88" t="str">
        <f t="shared" si="34"/>
        <v>1w</v>
      </c>
      <c r="O1857" s="82">
        <f>_xll.qlCalendarAdvance(Calendar,O1856,N1857,"f",FALSE)</f>
        <v>52315</v>
      </c>
      <c r="P1857" s="92">
        <f>_xll.qlCalendarAdvance(Calendar,O1857,NDays&amp;"D")</f>
        <v>52321</v>
      </c>
      <c r="Q1857" s="81">
        <v>2.2178288530179557E-2</v>
      </c>
      <c r="R1857" s="85">
        <v>2.2168685977330682E-2</v>
      </c>
    </row>
    <row r="1858" spans="14:18" x14ac:dyDescent="0.2">
      <c r="N1858" s="88" t="str">
        <f t="shared" si="34"/>
        <v>1w</v>
      </c>
      <c r="O1858" s="82">
        <f>_xll.qlCalendarAdvance(Calendar,O1857,N1858,"f",FALSE)</f>
        <v>52322</v>
      </c>
      <c r="P1858" s="92">
        <f>_xll.qlCalendarAdvance(Calendar,O1858,NDays&amp;"D")</f>
        <v>52324</v>
      </c>
      <c r="Q1858" s="81">
        <v>2.2176132331589042E-2</v>
      </c>
      <c r="R1858" s="85">
        <v>2.2164581412242867E-2</v>
      </c>
    </row>
    <row r="1859" spans="14:18" x14ac:dyDescent="0.2">
      <c r="N1859" s="88" t="str">
        <f t="shared" si="34"/>
        <v>1w</v>
      </c>
      <c r="O1859" s="82">
        <f>_xll.qlCalendarAdvance(Calendar,O1858,N1859,"f",FALSE)</f>
        <v>52329</v>
      </c>
      <c r="P1859" s="92">
        <f>_xll.qlCalendarAdvance(Calendar,O1859,NDays&amp;"D")</f>
        <v>52331</v>
      </c>
      <c r="Q1859" s="81">
        <v>2.2170483108249602E-2</v>
      </c>
      <c r="R1859" s="85">
        <v>2.2158872992745771E-2</v>
      </c>
    </row>
    <row r="1860" spans="14:18" x14ac:dyDescent="0.2">
      <c r="N1860" s="88" t="str">
        <f t="shared" si="34"/>
        <v>1w</v>
      </c>
      <c r="O1860" s="82">
        <f>_xll.qlCalendarAdvance(Calendar,O1859,N1860,"f",FALSE)</f>
        <v>52336</v>
      </c>
      <c r="P1860" s="92">
        <f>_xll.qlCalendarAdvance(Calendar,O1860,NDays&amp;"D")</f>
        <v>52338</v>
      </c>
      <c r="Q1860" s="81">
        <v>2.2165163892049755E-2</v>
      </c>
      <c r="R1860" s="85">
        <v>2.2153208873811892E-2</v>
      </c>
    </row>
    <row r="1861" spans="14:18" x14ac:dyDescent="0.2">
      <c r="N1861" s="88" t="str">
        <f t="shared" si="34"/>
        <v>1w</v>
      </c>
      <c r="O1861" s="82">
        <f>_xll.qlCalendarAdvance(Calendar,O1860,N1861,"f",FALSE)</f>
        <v>52343</v>
      </c>
      <c r="P1861" s="92">
        <f>_xll.qlCalendarAdvance(Calendar,O1861,NDays&amp;"D")</f>
        <v>52345</v>
      </c>
      <c r="Q1861" s="81">
        <v>2.2159317816319874E-2</v>
      </c>
      <c r="R1861" s="85">
        <v>2.2147589055361294E-2</v>
      </c>
    </row>
    <row r="1862" spans="14:18" x14ac:dyDescent="0.2">
      <c r="N1862" s="88" t="str">
        <f t="shared" si="34"/>
        <v>1w</v>
      </c>
      <c r="O1862" s="82">
        <f>_xll.qlCalendarAdvance(Calendar,O1861,N1862,"f",FALSE)</f>
        <v>52350</v>
      </c>
      <c r="P1862" s="92">
        <f>_xll.qlCalendarAdvance(Calendar,O1862,NDays&amp;"D")</f>
        <v>52355</v>
      </c>
      <c r="Q1862" s="81">
        <v>2.2151451305318568E-2</v>
      </c>
      <c r="R1862" s="85">
        <v>2.2141505515729243E-2</v>
      </c>
    </row>
    <row r="1863" spans="14:18" x14ac:dyDescent="0.2">
      <c r="N1863" s="88" t="str">
        <f t="shared" si="34"/>
        <v>1w</v>
      </c>
      <c r="O1863" s="82">
        <f>_xll.qlCalendarAdvance(Calendar,O1862,N1863,"f",FALSE)</f>
        <v>52357</v>
      </c>
      <c r="P1863" s="92">
        <f>_xll.qlCalendarAdvance(Calendar,O1863,NDays&amp;"D")</f>
        <v>52362</v>
      </c>
      <c r="Q1863" s="81">
        <v>2.2145998643357909E-2</v>
      </c>
      <c r="R1863" s="85">
        <v>2.21356957620511E-2</v>
      </c>
    </row>
    <row r="1864" spans="14:18" x14ac:dyDescent="0.2">
      <c r="N1864" s="88" t="str">
        <f t="shared" si="34"/>
        <v>1w</v>
      </c>
      <c r="O1864" s="82">
        <f>_xll.qlCalendarAdvance(Calendar,O1863,N1864,"f",FALSE)</f>
        <v>52364</v>
      </c>
      <c r="P1864" s="92">
        <f>_xll.qlCalendarAdvance(Calendar,O1864,NDays&amp;"D")</f>
        <v>52366</v>
      </c>
      <c r="Q1864" s="81">
        <v>2.2142902764333804E-2</v>
      </c>
      <c r="R1864" s="85">
        <v>2.2130215173588041E-2</v>
      </c>
    </row>
    <row r="1865" spans="14:18" x14ac:dyDescent="0.2">
      <c r="N1865" s="88" t="str">
        <f t="shared" si="34"/>
        <v>1w</v>
      </c>
      <c r="O1865" s="82">
        <f>_xll.qlCalendarAdvance(Calendar,O1864,N1865,"f",FALSE)</f>
        <v>52371</v>
      </c>
      <c r="P1865" s="92">
        <f>_xll.qlCalendarAdvance(Calendar,O1865,NDays&amp;"D")</f>
        <v>52373</v>
      </c>
      <c r="Q1865" s="81">
        <v>2.213751984966238E-2</v>
      </c>
      <c r="R1865" s="85">
        <v>2.212555278583217E-2</v>
      </c>
    </row>
    <row r="1866" spans="14:18" x14ac:dyDescent="0.2">
      <c r="N1866" s="88" t="str">
        <f t="shared" si="34"/>
        <v>1w</v>
      </c>
      <c r="O1866" s="82">
        <f>_xll.qlCalendarAdvance(Calendar,O1865,N1866,"f",FALSE)</f>
        <v>52378</v>
      </c>
      <c r="P1866" s="92">
        <f>_xll.qlCalendarAdvance(Calendar,O1866,NDays&amp;"D")</f>
        <v>52380</v>
      </c>
      <c r="Q1866" s="81">
        <v>2.2132483955178139E-2</v>
      </c>
      <c r="R1866" s="85">
        <v>2.2120154469558173E-2</v>
      </c>
    </row>
    <row r="1867" spans="14:18" x14ac:dyDescent="0.2">
      <c r="N1867" s="88" t="str">
        <f t="shared" si="34"/>
        <v>1w</v>
      </c>
      <c r="O1867" s="82">
        <f>_xll.qlCalendarAdvance(Calendar,O1866,N1867,"f",FALSE)</f>
        <v>52385</v>
      </c>
      <c r="P1867" s="92">
        <f>_xll.qlCalendarAdvance(Calendar,O1867,NDays&amp;"D")</f>
        <v>52387</v>
      </c>
      <c r="Q1867" s="81">
        <v>2.2126887173941855E-2</v>
      </c>
      <c r="R1867" s="85">
        <v>2.2114800453847394E-2</v>
      </c>
    </row>
    <row r="1868" spans="14:18" x14ac:dyDescent="0.2">
      <c r="N1868" s="88" t="str">
        <f t="shared" si="34"/>
        <v>1w</v>
      </c>
      <c r="O1868" s="82">
        <f>_xll.qlCalendarAdvance(Calendar,O1867,N1868,"f",FALSE)</f>
        <v>52392</v>
      </c>
      <c r="P1868" s="92">
        <f>_xll.qlCalendarAdvance(Calendar,O1868,NDays&amp;"D")</f>
        <v>52394</v>
      </c>
      <c r="Q1868" s="81">
        <v>2.2121637412766404E-2</v>
      </c>
      <c r="R1868" s="85">
        <v>2.2109490738539961E-2</v>
      </c>
    </row>
    <row r="1869" spans="14:18" x14ac:dyDescent="0.2">
      <c r="N1869" s="88" t="str">
        <f t="shared" si="34"/>
        <v>1w</v>
      </c>
      <c r="O1869" s="82">
        <f>_xll.qlCalendarAdvance(Calendar,O1868,N1869,"f",FALSE)</f>
        <v>52399</v>
      </c>
      <c r="P1869" s="92">
        <f>_xll.qlCalendarAdvance(Calendar,O1869,NDays&amp;"D")</f>
        <v>52404</v>
      </c>
      <c r="Q1869" s="81">
        <v>2.2113902629094184E-2</v>
      </c>
      <c r="R1869" s="85">
        <v>2.2103476737802552E-2</v>
      </c>
    </row>
    <row r="1870" spans="14:18" x14ac:dyDescent="0.2">
      <c r="N1870" s="88" t="str">
        <f t="shared" si="34"/>
        <v>1w</v>
      </c>
      <c r="O1870" s="82">
        <f>_xll.qlCalendarAdvance(Calendar,O1869,N1870,"f",FALSE)</f>
        <v>52406</v>
      </c>
      <c r="P1870" s="92">
        <f>_xll.qlCalendarAdvance(Calendar,O1870,NDays&amp;"D")</f>
        <v>52408</v>
      </c>
      <c r="Q1870" s="81">
        <v>2.2111271043491164E-2</v>
      </c>
      <c r="R1870" s="85">
        <v>2.2099004209135131E-2</v>
      </c>
    </row>
    <row r="1871" spans="14:18" x14ac:dyDescent="0.2">
      <c r="N1871" s="88" t="str">
        <f t="shared" si="34"/>
        <v>1w</v>
      </c>
      <c r="O1871" s="82">
        <f>_xll.qlCalendarAdvance(Calendar,O1870,N1871,"f",FALSE)</f>
        <v>52413</v>
      </c>
      <c r="P1871" s="92">
        <f>_xll.qlCalendarAdvance(Calendar,O1871,NDays&amp;"D")</f>
        <v>52415</v>
      </c>
      <c r="Q1871" s="81">
        <v>2.2106154435272758E-2</v>
      </c>
      <c r="R1871" s="85">
        <v>2.2093827395117671E-2</v>
      </c>
    </row>
    <row r="1872" spans="14:18" x14ac:dyDescent="0.2">
      <c r="N1872" s="88" t="str">
        <f t="shared" si="34"/>
        <v>1w</v>
      </c>
      <c r="O1872" s="82">
        <f>_xll.qlCalendarAdvance(Calendar,O1871,N1872,"f",FALSE)</f>
        <v>52420</v>
      </c>
      <c r="P1872" s="92">
        <f>_xll.qlCalendarAdvance(Calendar,O1872,NDays&amp;"D")</f>
        <v>52422</v>
      </c>
      <c r="Q1872" s="81">
        <v>2.2101082211251316E-2</v>
      </c>
      <c r="R1872" s="85">
        <v>2.2088694881583493E-2</v>
      </c>
    </row>
    <row r="1873" spans="14:18" x14ac:dyDescent="0.2">
      <c r="N1873" s="88" t="str">
        <f t="shared" si="34"/>
        <v>1w</v>
      </c>
      <c r="O1873" s="82">
        <f>_xll.qlCalendarAdvance(Calendar,O1872,N1873,"f",FALSE)</f>
        <v>52427</v>
      </c>
      <c r="P1873" s="92">
        <f>_xll.qlCalendarAdvance(Calendar,O1873,NDays&amp;"D")</f>
        <v>52429</v>
      </c>
      <c r="Q1873" s="81">
        <v>2.2096054371375268E-2</v>
      </c>
      <c r="R1873" s="85">
        <v>2.2083606668372724E-2</v>
      </c>
    </row>
    <row r="1874" spans="14:18" x14ac:dyDescent="0.2">
      <c r="N1874" s="88" t="str">
        <f t="shared" si="34"/>
        <v>1w</v>
      </c>
      <c r="O1874" s="82">
        <f>_xll.qlCalendarAdvance(Calendar,O1873,N1874,"f",FALSE)</f>
        <v>52434</v>
      </c>
      <c r="P1874" s="92">
        <f>_xll.qlCalendarAdvance(Calendar,O1874,NDays&amp;"D")</f>
        <v>52436</v>
      </c>
      <c r="Q1874" s="81">
        <v>2.2091070915585299E-2</v>
      </c>
      <c r="R1874" s="85">
        <v>2.2078562755645237E-2</v>
      </c>
    </row>
    <row r="1875" spans="14:18" x14ac:dyDescent="0.2">
      <c r="N1875" s="88" t="str">
        <f t="shared" si="34"/>
        <v>1w</v>
      </c>
      <c r="O1875" s="82">
        <f>_xll.qlCalendarAdvance(Calendar,O1874,N1875,"f",FALSE)</f>
        <v>52441</v>
      </c>
      <c r="P1875" s="92">
        <f>_xll.qlCalendarAdvance(Calendar,O1875,NDays&amp;"D")</f>
        <v>52443</v>
      </c>
      <c r="Q1875" s="81">
        <v>2.2086131843822111E-2</v>
      </c>
      <c r="R1875" s="85">
        <v>2.2073563143480968E-2</v>
      </c>
    </row>
    <row r="1876" spans="14:18" x14ac:dyDescent="0.2">
      <c r="N1876" s="88" t="str">
        <f t="shared" si="34"/>
        <v>1w</v>
      </c>
      <c r="O1876" s="82">
        <f>_xll.qlCalendarAdvance(Calendar,O1875,N1876,"f",FALSE)</f>
        <v>52448</v>
      </c>
      <c r="P1876" s="92">
        <f>_xll.qlCalendarAdvance(Calendar,O1876,NDays&amp;"D")</f>
        <v>52450</v>
      </c>
      <c r="Q1876" s="81">
        <v>2.2081237156028968E-2</v>
      </c>
      <c r="R1876" s="85">
        <v>2.2068607831560172E-2</v>
      </c>
    </row>
    <row r="1877" spans="14:18" x14ac:dyDescent="0.2">
      <c r="N1877" s="88" t="str">
        <f t="shared" ref="N1877:N1940" si="35">N1876</f>
        <v>1w</v>
      </c>
      <c r="O1877" s="82">
        <f>_xll.qlCalendarAdvance(Calendar,O1876,N1877,"f",FALSE)</f>
        <v>52455</v>
      </c>
      <c r="P1877" s="92">
        <f>_xll.qlCalendarAdvance(Calendar,O1877,NDays&amp;"D")</f>
        <v>52457</v>
      </c>
      <c r="Q1877" s="81">
        <v>2.2076386852151724E-2</v>
      </c>
      <c r="R1877" s="85">
        <v>2.2063696820202594E-2</v>
      </c>
    </row>
    <row r="1878" spans="14:18" x14ac:dyDescent="0.2">
      <c r="N1878" s="88" t="str">
        <f t="shared" si="35"/>
        <v>1w</v>
      </c>
      <c r="O1878" s="82">
        <f>_xll.qlCalendarAdvance(Calendar,O1877,N1878,"f",FALSE)</f>
        <v>52462</v>
      </c>
      <c r="P1878" s="92">
        <f>_xll.qlCalendarAdvance(Calendar,O1878,NDays&amp;"D")</f>
        <v>52464</v>
      </c>
      <c r="Q1878" s="81">
        <v>2.2071580932136226E-2</v>
      </c>
      <c r="R1878" s="85">
        <v>2.2058830109168426E-2</v>
      </c>
    </row>
    <row r="1879" spans="14:18" x14ac:dyDescent="0.2">
      <c r="N1879" s="88" t="str">
        <f t="shared" si="35"/>
        <v>1w</v>
      </c>
      <c r="O1879" s="82">
        <f>_xll.qlCalendarAdvance(Calendar,O1878,N1879,"f",FALSE)</f>
        <v>52469</v>
      </c>
      <c r="P1879" s="92">
        <f>_xll.qlCalendarAdvance(Calendar,O1879,NDays&amp;"D")</f>
        <v>52471</v>
      </c>
      <c r="Q1879" s="81">
        <v>2.2066819395923167E-2</v>
      </c>
      <c r="R1879" s="85">
        <v>2.2054007698617539E-2</v>
      </c>
    </row>
    <row r="1880" spans="14:18" x14ac:dyDescent="0.2">
      <c r="N1880" s="88" t="str">
        <f t="shared" si="35"/>
        <v>1w</v>
      </c>
      <c r="O1880" s="82">
        <f>_xll.qlCalendarAdvance(Calendar,O1879,N1880,"f",FALSE)</f>
        <v>52476</v>
      </c>
      <c r="P1880" s="92">
        <f>_xll.qlCalendarAdvance(Calendar,O1880,NDays&amp;"D")</f>
        <v>52478</v>
      </c>
      <c r="Q1880" s="81">
        <v>2.2062102243455822E-2</v>
      </c>
      <c r="R1880" s="85">
        <v>2.2049229588549935E-2</v>
      </c>
    </row>
    <row r="1881" spans="14:18" x14ac:dyDescent="0.2">
      <c r="N1881" s="88" t="str">
        <f t="shared" si="35"/>
        <v>1w</v>
      </c>
      <c r="O1881" s="82">
        <f>_xll.qlCalendarAdvance(Calendar,O1880,N1881,"f",FALSE)</f>
        <v>52483</v>
      </c>
      <c r="P1881" s="92">
        <f>_xll.qlCalendarAdvance(Calendar,O1881,NDays&amp;"D")</f>
        <v>52485</v>
      </c>
      <c r="Q1881" s="81">
        <v>2.2057429474692927E-2</v>
      </c>
      <c r="R1881" s="85">
        <v>2.2044495778885675E-2</v>
      </c>
    </row>
    <row r="1882" spans="14:18" x14ac:dyDescent="0.2">
      <c r="N1882" s="88" t="str">
        <f t="shared" si="35"/>
        <v>1w</v>
      </c>
      <c r="O1882" s="82">
        <f>_xll.qlCalendarAdvance(Calendar,O1881,N1882,"f",FALSE)</f>
        <v>52490</v>
      </c>
      <c r="P1882" s="92">
        <f>_xll.qlCalendarAdvance(Calendar,O1882,NDays&amp;"D")</f>
        <v>52492</v>
      </c>
      <c r="Q1882" s="81">
        <v>2.2052801089572603E-2</v>
      </c>
      <c r="R1882" s="85">
        <v>2.203980626946489E-2</v>
      </c>
    </row>
    <row r="1883" spans="14:18" x14ac:dyDescent="0.2">
      <c r="N1883" s="88" t="str">
        <f t="shared" si="35"/>
        <v>1w</v>
      </c>
      <c r="O1883" s="82">
        <f>_xll.qlCalendarAdvance(Calendar,O1882,N1883,"f",FALSE)</f>
        <v>52497</v>
      </c>
      <c r="P1883" s="92">
        <f>_xll.qlCalendarAdvance(Calendar,O1883,NDays&amp;"D")</f>
        <v>52499</v>
      </c>
      <c r="Q1883" s="81">
        <v>2.2048217088035536E-2</v>
      </c>
      <c r="R1883" s="85">
        <v>2.2035161060607322E-2</v>
      </c>
    </row>
    <row r="1884" spans="14:18" x14ac:dyDescent="0.2">
      <c r="N1884" s="88" t="str">
        <f t="shared" si="35"/>
        <v>1w</v>
      </c>
      <c r="O1884" s="82">
        <f>_xll.qlCalendarAdvance(Calendar,O1883,N1884,"f",FALSE)</f>
        <v>52504</v>
      </c>
      <c r="P1884" s="92">
        <f>_xll.qlCalendarAdvance(Calendar,O1884,NDays&amp;"D")</f>
        <v>52506</v>
      </c>
      <c r="Q1884" s="81">
        <v>2.2043677470043054E-2</v>
      </c>
      <c r="R1884" s="85">
        <v>2.20305601521531E-2</v>
      </c>
    </row>
    <row r="1885" spans="14:18" x14ac:dyDescent="0.2">
      <c r="N1885" s="88" t="str">
        <f t="shared" si="35"/>
        <v>1w</v>
      </c>
      <c r="O1885" s="82">
        <f>_xll.qlCalendarAdvance(Calendar,O1884,N1885,"f",FALSE)</f>
        <v>52511</v>
      </c>
      <c r="P1885" s="92">
        <f>_xll.qlCalendarAdvance(Calendar,O1885,NDays&amp;"D")</f>
        <v>52513</v>
      </c>
      <c r="Q1885" s="81">
        <v>2.2039182235530686E-2</v>
      </c>
      <c r="R1885" s="85">
        <v>2.2026003544022288E-2</v>
      </c>
    </row>
    <row r="1886" spans="14:18" x14ac:dyDescent="0.2">
      <c r="N1886" s="88" t="str">
        <f t="shared" si="35"/>
        <v>1w</v>
      </c>
      <c r="O1886" s="82">
        <f>_xll.qlCalendarAdvance(Calendar,O1885,N1886,"f",FALSE)</f>
        <v>52518</v>
      </c>
      <c r="P1886" s="92">
        <f>_xll.qlCalendarAdvance(Calendar,O1886,NDays&amp;"D")</f>
        <v>52520</v>
      </c>
      <c r="Q1886" s="81">
        <v>2.2034731384454598E-2</v>
      </c>
      <c r="R1886" s="85">
        <v>2.2021491236454693E-2</v>
      </c>
    </row>
    <row r="1887" spans="14:18" x14ac:dyDescent="0.2">
      <c r="N1887" s="88" t="str">
        <f t="shared" si="35"/>
        <v>1w</v>
      </c>
      <c r="O1887" s="82">
        <f>_xll.qlCalendarAdvance(Calendar,O1886,N1887,"f",FALSE)</f>
        <v>52525</v>
      </c>
      <c r="P1887" s="92">
        <f>_xll.qlCalendarAdvance(Calendar,O1887,NDays&amp;"D")</f>
        <v>52527</v>
      </c>
      <c r="Q1887" s="81">
        <v>2.2030324916763225E-2</v>
      </c>
      <c r="R1887" s="85">
        <v>2.2017023229290444E-2</v>
      </c>
    </row>
    <row r="1888" spans="14:18" x14ac:dyDescent="0.2">
      <c r="N1888" s="88" t="str">
        <f t="shared" si="35"/>
        <v>1w</v>
      </c>
      <c r="O1888" s="82">
        <f>_xll.qlCalendarAdvance(Calendar,O1887,N1888,"f",FALSE)</f>
        <v>52532</v>
      </c>
      <c r="P1888" s="92">
        <f>_xll.qlCalendarAdvance(Calendar,O1888,NDays&amp;"D")</f>
        <v>52534</v>
      </c>
      <c r="Q1888" s="81">
        <v>2.2025962832402407E-2</v>
      </c>
      <c r="R1888" s="85">
        <v>2.2012599522369669E-2</v>
      </c>
    </row>
    <row r="1889" spans="14:18" x14ac:dyDescent="0.2">
      <c r="N1889" s="88" t="str">
        <f t="shared" si="35"/>
        <v>1w</v>
      </c>
      <c r="O1889" s="82">
        <f>_xll.qlCalendarAdvance(Calendar,O1888,N1889,"f",FALSE)</f>
        <v>52539</v>
      </c>
      <c r="P1889" s="92">
        <f>_xll.qlCalendarAdvance(Calendar,O1889,NDays&amp;"D")</f>
        <v>52541</v>
      </c>
      <c r="Q1889" s="81">
        <v>2.2021645131325734E-2</v>
      </c>
      <c r="R1889" s="85">
        <v>2.2008220116012112E-2</v>
      </c>
    </row>
    <row r="1890" spans="14:18" x14ac:dyDescent="0.2">
      <c r="N1890" s="88" t="str">
        <f t="shared" si="35"/>
        <v>1w</v>
      </c>
      <c r="O1890" s="82">
        <f>_xll.qlCalendarAdvance(Calendar,O1889,N1890,"f",FALSE)</f>
        <v>52546</v>
      </c>
      <c r="P1890" s="92">
        <f>_xll.qlCalendarAdvance(Calendar,O1890,NDays&amp;"D")</f>
        <v>52548</v>
      </c>
      <c r="Q1890" s="81">
        <v>2.2017371813479056E-2</v>
      </c>
      <c r="R1890" s="85">
        <v>2.20038850100579E-2</v>
      </c>
    </row>
    <row r="1891" spans="14:18" x14ac:dyDescent="0.2">
      <c r="N1891" s="88" t="str">
        <f t="shared" si="35"/>
        <v>1w</v>
      </c>
      <c r="O1891" s="82">
        <f>_xll.qlCalendarAdvance(Calendar,O1890,N1891,"f",FALSE)</f>
        <v>52553</v>
      </c>
      <c r="P1891" s="92">
        <f>_xll.qlCalendarAdvance(Calendar,O1891,NDays&amp;"D")</f>
        <v>52555</v>
      </c>
      <c r="Q1891" s="81">
        <v>2.2013142878823694E-2</v>
      </c>
      <c r="R1891" s="85">
        <v>2.1999594204347162E-2</v>
      </c>
    </row>
    <row r="1892" spans="14:18" x14ac:dyDescent="0.2">
      <c r="N1892" s="88" t="str">
        <f t="shared" si="35"/>
        <v>1w</v>
      </c>
      <c r="O1892" s="82">
        <f>_xll.qlCalendarAdvance(Calendar,O1891,N1892,"f",FALSE)</f>
        <v>52560</v>
      </c>
      <c r="P1892" s="92">
        <f>_xll.qlCalendarAdvance(Calendar,O1892,NDays&amp;"D")</f>
        <v>52562</v>
      </c>
      <c r="Q1892" s="81">
        <v>2.2008958327300338E-2</v>
      </c>
      <c r="R1892" s="85">
        <v>2.1995347699199641E-2</v>
      </c>
    </row>
    <row r="1893" spans="14:18" x14ac:dyDescent="0.2">
      <c r="N1893" s="88" t="str">
        <f t="shared" si="35"/>
        <v>1w</v>
      </c>
      <c r="O1893" s="82">
        <f>_xll.qlCalendarAdvance(Calendar,O1892,N1893,"f",FALSE)</f>
        <v>52567</v>
      </c>
      <c r="P1893" s="92">
        <f>_xll.qlCalendarAdvance(Calendar,O1893,NDays&amp;"D")</f>
        <v>52569</v>
      </c>
      <c r="Q1893" s="81">
        <v>2.2004818158865156E-2</v>
      </c>
      <c r="R1893" s="85">
        <v>2.1991145494455466E-2</v>
      </c>
    </row>
    <row r="1894" spans="14:18" x14ac:dyDescent="0.2">
      <c r="N1894" s="88" t="str">
        <f t="shared" si="35"/>
        <v>1w</v>
      </c>
      <c r="O1894" s="82">
        <f>_xll.qlCalendarAdvance(Calendar,O1893,N1894,"f",FALSE)</f>
        <v>52574</v>
      </c>
      <c r="P1894" s="92">
        <f>_xll.qlCalendarAdvance(Calendar,O1894,NDays&amp;"D")</f>
        <v>52576</v>
      </c>
      <c r="Q1894" s="81">
        <v>2.2000722373471733E-2</v>
      </c>
      <c r="R1894" s="85">
        <v>2.1986987589954765E-2</v>
      </c>
    </row>
    <row r="1895" spans="14:18" x14ac:dyDescent="0.2">
      <c r="N1895" s="88" t="str">
        <f t="shared" si="35"/>
        <v>1w</v>
      </c>
      <c r="O1895" s="82">
        <f>_xll.qlCalendarAdvance(Calendar,O1894,N1895,"f",FALSE)</f>
        <v>52581</v>
      </c>
      <c r="P1895" s="92">
        <f>_xll.qlCalendarAdvance(Calendar,O1895,NDays&amp;"D")</f>
        <v>52583</v>
      </c>
      <c r="Q1895" s="81">
        <v>2.1996670971068496E-2</v>
      </c>
      <c r="R1895" s="85">
        <v>2.1982873986017282E-2</v>
      </c>
    </row>
    <row r="1896" spans="14:18" x14ac:dyDescent="0.2">
      <c r="N1896" s="88" t="str">
        <f t="shared" si="35"/>
        <v>1w</v>
      </c>
      <c r="O1896" s="82">
        <f>_xll.qlCalendarAdvance(Calendar,O1895,N1896,"f",FALSE)</f>
        <v>52588</v>
      </c>
      <c r="P1896" s="92">
        <f>_xll.qlCalendarAdvance(Calendar,O1896,NDays&amp;"D")</f>
        <v>52594</v>
      </c>
      <c r="Q1896" s="81">
        <v>2.1990394153233971E-2</v>
      </c>
      <c r="R1896" s="85">
        <v>2.1975351967409296E-2</v>
      </c>
    </row>
    <row r="1897" spans="14:18" x14ac:dyDescent="0.2">
      <c r="N1897" s="88" t="str">
        <f t="shared" si="35"/>
        <v>1w</v>
      </c>
      <c r="O1897" s="82">
        <f>_xll.qlCalendarAdvance(Calendar,O1896,N1897,"f",FALSE)</f>
        <v>52595</v>
      </c>
      <c r="P1897" s="92">
        <f>_xll.qlCalendarAdvance(Calendar,O1897,NDays&amp;"D")</f>
        <v>52601</v>
      </c>
      <c r="Q1897" s="81">
        <v>2.1986456878322704E-2</v>
      </c>
      <c r="R1897" s="85">
        <v>2.1973840981432957E-2</v>
      </c>
    </row>
    <row r="1898" spans="14:18" x14ac:dyDescent="0.2">
      <c r="N1898" s="88" t="str">
        <f t="shared" si="35"/>
        <v>1w</v>
      </c>
      <c r="O1898" s="82">
        <f>_xll.qlCalendarAdvance(Calendar,O1897,N1898,"f",FALSE)</f>
        <v>52603</v>
      </c>
      <c r="P1898" s="92">
        <f>_xll.qlCalendarAdvance(Calendar,O1898,NDays&amp;"D")</f>
        <v>52607</v>
      </c>
      <c r="Q1898" s="81">
        <v>2.1983117396364642E-2</v>
      </c>
      <c r="R1898" s="85">
        <v>2.1970233920942661E-2</v>
      </c>
    </row>
    <row r="1899" spans="14:18" x14ac:dyDescent="0.2">
      <c r="N1899" s="88" t="str">
        <f t="shared" si="35"/>
        <v>1w</v>
      </c>
      <c r="O1899" s="82">
        <f>_xll.qlCalendarAdvance(Calendar,O1898,N1899,"f",FALSE)</f>
        <v>52610</v>
      </c>
      <c r="P1899" s="92">
        <f>_xll.qlCalendarAdvance(Calendar,O1899,NDays&amp;"D")</f>
        <v>52614</v>
      </c>
      <c r="Q1899" s="81">
        <v>2.1979262546673577E-2</v>
      </c>
      <c r="R1899" s="85">
        <v>2.1966303847156254E-2</v>
      </c>
    </row>
    <row r="1900" spans="14:18" x14ac:dyDescent="0.2">
      <c r="N1900" s="88" t="str">
        <f t="shared" si="35"/>
        <v>1w</v>
      </c>
      <c r="O1900" s="82">
        <f>_xll.qlCalendarAdvance(Calendar,O1899,N1900,"f",FALSE)</f>
        <v>52617</v>
      </c>
      <c r="P1900" s="92">
        <f>_xll.qlCalendarAdvance(Calendar,O1900,NDays&amp;"D")</f>
        <v>52621</v>
      </c>
      <c r="Q1900" s="81">
        <v>2.1975452079727731E-2</v>
      </c>
      <c r="R1900" s="85">
        <v>2.1962418073773193E-2</v>
      </c>
    </row>
    <row r="1901" spans="14:18" x14ac:dyDescent="0.2">
      <c r="N1901" s="88" t="str">
        <f t="shared" si="35"/>
        <v>1w</v>
      </c>
      <c r="O1901" s="82">
        <f>_xll.qlCalendarAdvance(Calendar,O1900,N1901,"f",FALSE)</f>
        <v>52624</v>
      </c>
      <c r="P1901" s="92">
        <f>_xll.qlCalendarAdvance(Calendar,O1901,NDays&amp;"D")</f>
        <v>52628</v>
      </c>
      <c r="Q1901" s="81">
        <v>2.1970876610105237E-2</v>
      </c>
      <c r="R1901" s="85">
        <v>2.1958576600713542E-2</v>
      </c>
    </row>
    <row r="1902" spans="14:18" x14ac:dyDescent="0.2">
      <c r="N1902" s="88" t="str">
        <f t="shared" si="35"/>
        <v>1w</v>
      </c>
      <c r="O1902" s="82">
        <f>_xll.qlCalendarAdvance(Calendar,O1901,N1902,"f",FALSE)</f>
        <v>52631</v>
      </c>
      <c r="P1902" s="92">
        <f>_xll.qlCalendarAdvance(Calendar,O1902,NDays&amp;"D")</f>
        <v>52635</v>
      </c>
      <c r="Q1902" s="81">
        <v>2.1967149022729917E-2</v>
      </c>
      <c r="R1902" s="85">
        <v>2.1954779428137172E-2</v>
      </c>
    </row>
    <row r="1903" spans="14:18" x14ac:dyDescent="0.2">
      <c r="N1903" s="88" t="str">
        <f t="shared" si="35"/>
        <v>1w</v>
      </c>
      <c r="O1903" s="82">
        <f>_xll.qlCalendarAdvance(Calendar,O1902,N1903,"f",FALSE)</f>
        <v>52638</v>
      </c>
      <c r="P1903" s="92">
        <f>_xll.qlCalendarAdvance(Calendar,O1903,NDays&amp;"D")</f>
        <v>52642</v>
      </c>
      <c r="Q1903" s="81">
        <v>2.1963465812493803E-2</v>
      </c>
      <c r="R1903" s="85">
        <v>2.1951026555884212E-2</v>
      </c>
    </row>
    <row r="1904" spans="14:18" x14ac:dyDescent="0.2">
      <c r="N1904" s="88" t="str">
        <f t="shared" si="35"/>
        <v>1w</v>
      </c>
      <c r="O1904" s="82">
        <f>_xll.qlCalendarAdvance(Calendar,O1903,N1904,"f",FALSE)</f>
        <v>52645</v>
      </c>
      <c r="P1904" s="92">
        <f>_xll.qlCalendarAdvance(Calendar,O1904,NDays&amp;"D")</f>
        <v>52649</v>
      </c>
      <c r="Q1904" s="81">
        <v>2.1959826979350033E-2</v>
      </c>
      <c r="R1904" s="85">
        <v>2.1947317984034598E-2</v>
      </c>
    </row>
    <row r="1905" spans="14:18" x14ac:dyDescent="0.2">
      <c r="N1905" s="88" t="str">
        <f t="shared" si="35"/>
        <v>1w</v>
      </c>
      <c r="O1905" s="82">
        <f>_xll.qlCalendarAdvance(Calendar,O1904,N1905,"f",FALSE)</f>
        <v>52652</v>
      </c>
      <c r="P1905" s="92">
        <f>_xll.qlCalendarAdvance(Calendar,O1905,NDays&amp;"D")</f>
        <v>52656</v>
      </c>
      <c r="Q1905" s="81">
        <v>2.1957065484727652E-2</v>
      </c>
      <c r="R1905" s="85">
        <v>2.1943653712588329E-2</v>
      </c>
    </row>
    <row r="1906" spans="14:18" x14ac:dyDescent="0.2">
      <c r="N1906" s="88" t="str">
        <f t="shared" si="35"/>
        <v>1w</v>
      </c>
      <c r="O1906" s="82">
        <f>_xll.qlCalendarAdvance(Calendar,O1905,N1906,"f",FALSE)</f>
        <v>52659</v>
      </c>
      <c r="P1906" s="92">
        <f>_xll.qlCalendarAdvance(Calendar,O1906,NDays&amp;"D")</f>
        <v>52663</v>
      </c>
      <c r="Q1906" s="81">
        <v>2.1953521313378993E-2</v>
      </c>
      <c r="R1906" s="85">
        <v>2.194003374146547E-2</v>
      </c>
    </row>
    <row r="1907" spans="14:18" x14ac:dyDescent="0.2">
      <c r="N1907" s="88" t="str">
        <f t="shared" si="35"/>
        <v>1w</v>
      </c>
      <c r="O1907" s="82">
        <f>_xll.qlCalendarAdvance(Calendar,O1906,N1907,"f",FALSE)</f>
        <v>52666</v>
      </c>
      <c r="P1907" s="92">
        <f>_xll.qlCalendarAdvance(Calendar,O1907,NDays&amp;"D")</f>
        <v>52670</v>
      </c>
      <c r="Q1907" s="81">
        <v>2.1950021524479016E-2</v>
      </c>
      <c r="R1907" s="85">
        <v>2.1936458070745957E-2</v>
      </c>
    </row>
    <row r="1908" spans="14:18" x14ac:dyDescent="0.2">
      <c r="N1908" s="88" t="str">
        <f t="shared" si="35"/>
        <v>1w</v>
      </c>
      <c r="O1908" s="82">
        <f>_xll.qlCalendarAdvance(Calendar,O1907,N1908,"f",FALSE)</f>
        <v>52673</v>
      </c>
      <c r="P1908" s="92">
        <f>_xll.qlCalendarAdvance(Calendar,O1908,NDays&amp;"D")</f>
        <v>52677</v>
      </c>
      <c r="Q1908" s="81">
        <v>2.1946566117999361E-2</v>
      </c>
      <c r="R1908" s="85">
        <v>2.1932926700429789E-2</v>
      </c>
    </row>
    <row r="1909" spans="14:18" x14ac:dyDescent="0.2">
      <c r="N1909" s="88" t="str">
        <f t="shared" si="35"/>
        <v>1w</v>
      </c>
      <c r="O1909" s="82">
        <f>_xll.qlCalendarAdvance(Calendar,O1908,N1909,"f",FALSE)</f>
        <v>52680</v>
      </c>
      <c r="P1909" s="92">
        <f>_xll.qlCalendarAdvance(Calendar,O1909,NDays&amp;"D")</f>
        <v>52684</v>
      </c>
      <c r="Q1909" s="81">
        <v>2.1943155093888451E-2</v>
      </c>
      <c r="R1909" s="85">
        <v>2.1929439630516967E-2</v>
      </c>
    </row>
    <row r="1910" spans="14:18" x14ac:dyDescent="0.2">
      <c r="N1910" s="88" t="str">
        <f t="shared" si="35"/>
        <v>1w</v>
      </c>
      <c r="O1910" s="82">
        <f>_xll.qlCalendarAdvance(Calendar,O1909,N1910,"f",FALSE)</f>
        <v>52687</v>
      </c>
      <c r="P1910" s="92">
        <f>_xll.qlCalendarAdvance(Calendar,O1910,NDays&amp;"D")</f>
        <v>52691</v>
      </c>
      <c r="Q1910" s="81">
        <v>2.1939357024678863E-2</v>
      </c>
      <c r="R1910" s="85">
        <v>2.1925996861007491E-2</v>
      </c>
    </row>
    <row r="1911" spans="14:18" x14ac:dyDescent="0.2">
      <c r="N1911" s="88" t="str">
        <f t="shared" si="35"/>
        <v>1w</v>
      </c>
      <c r="O1911" s="82">
        <f>_xll.qlCalendarAdvance(Calendar,O1910,N1911,"f",FALSE)</f>
        <v>52694</v>
      </c>
      <c r="P1911" s="92">
        <f>_xll.qlCalendarAdvance(Calendar,O1911,NDays&amp;"D")</f>
        <v>52698</v>
      </c>
      <c r="Q1911" s="81">
        <v>2.1936031797494593E-2</v>
      </c>
      <c r="R1911" s="85">
        <v>2.1922598391821424E-2</v>
      </c>
    </row>
    <row r="1912" spans="14:18" x14ac:dyDescent="0.2">
      <c r="N1912" s="88" t="str">
        <f t="shared" si="35"/>
        <v>1w</v>
      </c>
      <c r="O1912" s="82">
        <f>_xll.qlCalendarAdvance(Calendar,O1911,N1912,"f",FALSE)</f>
        <v>52701</v>
      </c>
      <c r="P1912" s="92">
        <f>_xll.qlCalendarAdvance(Calendar,O1912,NDays&amp;"D")</f>
        <v>52707</v>
      </c>
      <c r="Q1912" s="81">
        <v>2.1931821716131061E-2</v>
      </c>
      <c r="R1912" s="85">
        <v>2.1919155030865056E-2</v>
      </c>
    </row>
    <row r="1913" spans="14:18" x14ac:dyDescent="0.2">
      <c r="N1913" s="88" t="str">
        <f t="shared" si="35"/>
        <v>1w</v>
      </c>
      <c r="O1913" s="82">
        <f>_xll.qlCalendarAdvance(Calendar,O1912,N1913,"f",FALSE)</f>
        <v>52708</v>
      </c>
      <c r="P1913" s="92">
        <f>_xll.qlCalendarAdvance(Calendar,O1913,NDays&amp;"D")</f>
        <v>52712</v>
      </c>
      <c r="Q1913" s="81">
        <v>2.1929514481676904E-2</v>
      </c>
      <c r="R1913" s="85">
        <v>2.1915934354499456E-2</v>
      </c>
    </row>
    <row r="1914" spans="14:18" x14ac:dyDescent="0.2">
      <c r="N1914" s="88" t="str">
        <f t="shared" si="35"/>
        <v>1w</v>
      </c>
      <c r="O1914" s="82">
        <f>_xll.qlCalendarAdvance(Calendar,O1913,N1914,"f",FALSE)</f>
        <v>52715</v>
      </c>
      <c r="P1914" s="92">
        <f>_xll.qlCalendarAdvance(Calendar,O1914,NDays&amp;"D")</f>
        <v>52719</v>
      </c>
      <c r="Q1914" s="81">
        <v>2.1926765707604202E-2</v>
      </c>
      <c r="R1914" s="85">
        <v>2.191266878644349E-2</v>
      </c>
    </row>
    <row r="1915" spans="14:18" x14ac:dyDescent="0.2">
      <c r="N1915" s="88" t="str">
        <f t="shared" si="35"/>
        <v>1w</v>
      </c>
      <c r="O1915" s="82">
        <f>_xll.qlCalendarAdvance(Calendar,O1914,N1915,"f",FALSE)</f>
        <v>52722</v>
      </c>
      <c r="P1915" s="92">
        <f>_xll.qlCalendarAdvance(Calendar,O1915,NDays&amp;"D")</f>
        <v>52726</v>
      </c>
      <c r="Q1915" s="81">
        <v>2.192362097693994E-2</v>
      </c>
      <c r="R1915" s="85">
        <v>2.190944751879087E-2</v>
      </c>
    </row>
    <row r="1916" spans="14:18" x14ac:dyDescent="0.2">
      <c r="N1916" s="88" t="str">
        <f t="shared" si="35"/>
        <v>1w</v>
      </c>
      <c r="O1916" s="82">
        <f>_xll.qlCalendarAdvance(Calendar,O1915,N1916,"f",FALSE)</f>
        <v>52729</v>
      </c>
      <c r="P1916" s="92">
        <f>_xll.qlCalendarAdvance(Calendar,O1916,NDays&amp;"D")</f>
        <v>52733</v>
      </c>
      <c r="Q1916" s="81">
        <v>2.1920520628383993E-2</v>
      </c>
      <c r="R1916" s="85">
        <v>2.190627055146166E-2</v>
      </c>
    </row>
    <row r="1917" spans="14:18" x14ac:dyDescent="0.2">
      <c r="N1917" s="88" t="str">
        <f t="shared" si="35"/>
        <v>1w</v>
      </c>
      <c r="O1917" s="82">
        <f>_xll.qlCalendarAdvance(Calendar,O1916,N1917,"f",FALSE)</f>
        <v>52736</v>
      </c>
      <c r="P1917" s="92">
        <f>_xll.qlCalendarAdvance(Calendar,O1917,NDays&amp;"D")</f>
        <v>52740</v>
      </c>
      <c r="Q1917" s="81">
        <v>2.1917464661907991E-2</v>
      </c>
      <c r="R1917" s="85">
        <v>2.1903582233093744E-2</v>
      </c>
    </row>
    <row r="1918" spans="14:18" x14ac:dyDescent="0.2">
      <c r="N1918" s="88" t="str">
        <f t="shared" si="35"/>
        <v>1w</v>
      </c>
      <c r="O1918" s="82">
        <f>_xll.qlCalendarAdvance(Calendar,O1917,N1918,"f",FALSE)</f>
        <v>52744</v>
      </c>
      <c r="P1918" s="92">
        <f>_xll.qlCalendarAdvance(Calendar,O1918,NDays&amp;"D")</f>
        <v>52748</v>
      </c>
      <c r="Q1918" s="81">
        <v>2.191357080178058E-2</v>
      </c>
      <c r="R1918" s="85">
        <v>2.1899611939000252E-2</v>
      </c>
    </row>
    <row r="1919" spans="14:18" x14ac:dyDescent="0.2">
      <c r="N1919" s="88" t="str">
        <f t="shared" si="35"/>
        <v>1w</v>
      </c>
      <c r="O1919" s="82">
        <f>_xll.qlCalendarAdvance(Calendar,O1918,N1919,"f",FALSE)</f>
        <v>52751</v>
      </c>
      <c r="P1919" s="92">
        <f>_xll.qlCalendarAdvance(Calendar,O1919,NDays&amp;"D")</f>
        <v>52756</v>
      </c>
      <c r="Q1919" s="81">
        <v>2.1910187165095074E-2</v>
      </c>
      <c r="R1919" s="85">
        <v>2.1897046470202852E-2</v>
      </c>
    </row>
    <row r="1920" spans="14:18" x14ac:dyDescent="0.2">
      <c r="N1920" s="88" t="str">
        <f t="shared" si="35"/>
        <v>1w</v>
      </c>
      <c r="O1920" s="82">
        <f>_xll.qlCalendarAdvance(Calendar,O1919,N1920,"f",FALSE)</f>
        <v>52758</v>
      </c>
      <c r="P1920" s="92">
        <f>_xll.qlCalendarAdvance(Calendar,O1920,NDays&amp;"D")</f>
        <v>52762</v>
      </c>
      <c r="Q1920" s="81">
        <v>2.1907687476937276E-2</v>
      </c>
      <c r="R1920" s="85">
        <v>2.1893580764160703E-2</v>
      </c>
    </row>
    <row r="1921" spans="14:18" x14ac:dyDescent="0.2">
      <c r="N1921" s="88" t="str">
        <f t="shared" si="35"/>
        <v>1w</v>
      </c>
      <c r="O1921" s="82">
        <f>_xll.qlCalendarAdvance(Calendar,O1920,N1921,"f",FALSE)</f>
        <v>52765</v>
      </c>
      <c r="P1921" s="92">
        <f>_xll.qlCalendarAdvance(Calendar,O1921,NDays&amp;"D")</f>
        <v>52769</v>
      </c>
      <c r="Q1921" s="81">
        <v>2.1904812383352734E-2</v>
      </c>
      <c r="R1921" s="85">
        <v>2.1892002630456986E-2</v>
      </c>
    </row>
    <row r="1922" spans="14:18" x14ac:dyDescent="0.2">
      <c r="N1922" s="88" t="str">
        <f t="shared" si="35"/>
        <v>1w</v>
      </c>
      <c r="O1922" s="82">
        <f>_xll.qlCalendarAdvance(Calendar,O1921,N1922,"f",FALSE)</f>
        <v>52775</v>
      </c>
      <c r="P1922" s="92">
        <f>_xll.qlCalendarAdvance(Calendar,O1922,NDays&amp;"D")</f>
        <v>52777</v>
      </c>
      <c r="Q1922" s="81">
        <v>2.1901580903969986E-2</v>
      </c>
      <c r="R1922" s="85">
        <v>2.1888235959881541E-2</v>
      </c>
    </row>
    <row r="1923" spans="14:18" x14ac:dyDescent="0.2">
      <c r="N1923" s="88" t="str">
        <f t="shared" si="35"/>
        <v>1w</v>
      </c>
      <c r="O1923" s="82">
        <f>_xll.qlCalendarAdvance(Calendar,O1922,N1923,"f",FALSE)</f>
        <v>52782</v>
      </c>
      <c r="P1923" s="92">
        <f>_xll.qlCalendarAdvance(Calendar,O1923,NDays&amp;"D")</f>
        <v>52784</v>
      </c>
      <c r="Q1923" s="81">
        <v>2.1900215058295366E-2</v>
      </c>
      <c r="R1923" s="85">
        <v>2.1885387734732475E-2</v>
      </c>
    </row>
    <row r="1924" spans="14:18" x14ac:dyDescent="0.2">
      <c r="N1924" s="88" t="str">
        <f t="shared" si="35"/>
        <v>1w</v>
      </c>
      <c r="O1924" s="82">
        <f>_xll.qlCalendarAdvance(Calendar,O1923,N1924,"f",FALSE)</f>
        <v>52789</v>
      </c>
      <c r="P1924" s="92">
        <f>_xll.qlCalendarAdvance(Calendar,O1924,NDays&amp;"D")</f>
        <v>52791</v>
      </c>
      <c r="Q1924" s="81">
        <v>2.1897488454814189E-2</v>
      </c>
      <c r="R1924" s="85">
        <v>2.1882583815369117E-2</v>
      </c>
    </row>
    <row r="1925" spans="14:18" x14ac:dyDescent="0.2">
      <c r="N1925" s="88" t="str">
        <f t="shared" si="35"/>
        <v>1w</v>
      </c>
      <c r="O1925" s="82">
        <f>_xll.qlCalendarAdvance(Calendar,O1924,N1925,"f",FALSE)</f>
        <v>52796</v>
      </c>
      <c r="P1925" s="92">
        <f>_xll.qlCalendarAdvance(Calendar,O1925,NDays&amp;"D")</f>
        <v>52798</v>
      </c>
      <c r="Q1925" s="81">
        <v>2.1894806238561448E-2</v>
      </c>
      <c r="R1925" s="85">
        <v>2.1879824201764819E-2</v>
      </c>
    </row>
    <row r="1926" spans="14:18" x14ac:dyDescent="0.2">
      <c r="N1926" s="88" t="str">
        <f t="shared" si="35"/>
        <v>1w</v>
      </c>
      <c r="O1926" s="82">
        <f>_xll.qlCalendarAdvance(Calendar,O1925,N1926,"f",FALSE)</f>
        <v>52803</v>
      </c>
      <c r="P1926" s="92">
        <f>_xll.qlCalendarAdvance(Calendar,O1926,NDays&amp;"D")</f>
        <v>52805</v>
      </c>
      <c r="Q1926" s="81">
        <v>2.1892168409505659E-2</v>
      </c>
      <c r="R1926" s="85">
        <v>2.1877108893919583E-2</v>
      </c>
    </row>
    <row r="1927" spans="14:18" x14ac:dyDescent="0.2">
      <c r="N1927" s="88" t="str">
        <f t="shared" si="35"/>
        <v>1w</v>
      </c>
      <c r="O1927" s="82">
        <f>_xll.qlCalendarAdvance(Calendar,O1926,N1927,"f",FALSE)</f>
        <v>52810</v>
      </c>
      <c r="P1927" s="92">
        <f>_xll.qlCalendarAdvance(Calendar,O1927,NDays&amp;"D")</f>
        <v>52812</v>
      </c>
      <c r="Q1927" s="81">
        <v>2.1889574967622592E-2</v>
      </c>
      <c r="R1927" s="85">
        <v>2.18744378918867E-2</v>
      </c>
    </row>
    <row r="1928" spans="14:18" x14ac:dyDescent="0.2">
      <c r="N1928" s="88" t="str">
        <f t="shared" si="35"/>
        <v>1w</v>
      </c>
      <c r="O1928" s="82">
        <f>_xll.qlCalendarAdvance(Calendar,O1927,N1928,"f",FALSE)</f>
        <v>52817</v>
      </c>
      <c r="P1928" s="92">
        <f>_xll.qlCalendarAdvance(Calendar,O1928,NDays&amp;"D")</f>
        <v>52819</v>
      </c>
      <c r="Q1928" s="81">
        <v>2.1887025912871071E-2</v>
      </c>
      <c r="R1928" s="85">
        <v>2.1871811195666169E-2</v>
      </c>
    </row>
    <row r="1929" spans="14:18" x14ac:dyDescent="0.2">
      <c r="N1929" s="88" t="str">
        <f t="shared" si="35"/>
        <v>1w</v>
      </c>
      <c r="O1929" s="82">
        <f>_xll.qlCalendarAdvance(Calendar,O1928,N1929,"f",FALSE)</f>
        <v>52824</v>
      </c>
      <c r="P1929" s="92">
        <f>_xll.qlCalendarAdvance(Calendar,O1929,NDays&amp;"D")</f>
        <v>52826</v>
      </c>
      <c r="Q1929" s="81">
        <v>2.1884521245224452E-2</v>
      </c>
      <c r="R1929" s="85">
        <v>2.1869228805204699E-2</v>
      </c>
    </row>
    <row r="1930" spans="14:18" x14ac:dyDescent="0.2">
      <c r="N1930" s="88" t="str">
        <f t="shared" si="35"/>
        <v>1w</v>
      </c>
      <c r="O1930" s="82">
        <f>_xll.qlCalendarAdvance(Calendar,O1929,N1930,"f",FALSE)</f>
        <v>52831</v>
      </c>
      <c r="P1930" s="92">
        <f>_xll.qlCalendarAdvance(Calendar,O1930,NDays&amp;"D")</f>
        <v>52833</v>
      </c>
      <c r="Q1930" s="81">
        <v>2.1882060964656089E-2</v>
      </c>
      <c r="R1930" s="85">
        <v>2.1866690720475646E-2</v>
      </c>
    </row>
    <row r="1931" spans="14:18" x14ac:dyDescent="0.2">
      <c r="N1931" s="88" t="str">
        <f t="shared" si="35"/>
        <v>1w</v>
      </c>
      <c r="O1931" s="82">
        <f>_xll.qlCalendarAdvance(Calendar,O1930,N1931,"f",FALSE)</f>
        <v>52838</v>
      </c>
      <c r="P1931" s="92">
        <f>_xll.qlCalendarAdvance(Calendar,O1931,NDays&amp;"D")</f>
        <v>52840</v>
      </c>
      <c r="Q1931" s="81">
        <v>2.1878158591355223E-2</v>
      </c>
      <c r="R1931" s="85">
        <v>2.1864196941558944E-2</v>
      </c>
    </row>
    <row r="1932" spans="14:18" x14ac:dyDescent="0.2">
      <c r="N1932" s="88" t="str">
        <f t="shared" si="35"/>
        <v>1w</v>
      </c>
      <c r="O1932" s="82">
        <f>_xll.qlCalendarAdvance(Calendar,O1931,N1932,"f",FALSE)</f>
        <v>52845</v>
      </c>
      <c r="P1932" s="92">
        <f>_xll.qlCalendarAdvance(Calendar,O1932,NDays&amp;"D")</f>
        <v>52847</v>
      </c>
      <c r="Q1932" s="81">
        <v>2.1875778006988256E-2</v>
      </c>
      <c r="R1932" s="85">
        <v>2.1861747468374659E-2</v>
      </c>
    </row>
    <row r="1933" spans="14:18" x14ac:dyDescent="0.2">
      <c r="N1933" s="88" t="str">
        <f t="shared" si="35"/>
        <v>1w</v>
      </c>
      <c r="O1933" s="82">
        <f>_xll.qlCalendarAdvance(Calendar,O1932,N1933,"f",FALSE)</f>
        <v>52852</v>
      </c>
      <c r="P1933" s="92">
        <f>_xll.qlCalendarAdvance(Calendar,O1933,NDays&amp;"D")</f>
        <v>52854</v>
      </c>
      <c r="Q1933" s="81">
        <v>2.1873441801484539E-2</v>
      </c>
      <c r="R1933" s="85">
        <v>2.1859342300976081E-2</v>
      </c>
    </row>
    <row r="1934" spans="14:18" x14ac:dyDescent="0.2">
      <c r="N1934" s="88" t="str">
        <f t="shared" si="35"/>
        <v>1w</v>
      </c>
      <c r="O1934" s="82">
        <f>_xll.qlCalendarAdvance(Calendar,O1933,N1934,"f",FALSE)</f>
        <v>52859</v>
      </c>
      <c r="P1934" s="92">
        <f>_xll.qlCalendarAdvance(Calendar,O1934,NDays&amp;"D")</f>
        <v>52861</v>
      </c>
      <c r="Q1934" s="81">
        <v>2.1871149974812099E-2</v>
      </c>
      <c r="R1934" s="85">
        <v>2.185698143936321E-2</v>
      </c>
    </row>
    <row r="1935" spans="14:18" x14ac:dyDescent="0.2">
      <c r="N1935" s="88" t="str">
        <f t="shared" si="35"/>
        <v>1w</v>
      </c>
      <c r="O1935" s="82">
        <f>_xll.qlCalendarAdvance(Calendar,O1934,N1935,"f",FALSE)</f>
        <v>52866</v>
      </c>
      <c r="P1935" s="92">
        <f>_xll.qlCalendarAdvance(Calendar,O1935,NDays&amp;"D")</f>
        <v>52868</v>
      </c>
      <c r="Q1935" s="81">
        <v>2.1868902526952283E-2</v>
      </c>
      <c r="R1935" s="85">
        <v>2.1854664883482755E-2</v>
      </c>
    </row>
    <row r="1936" spans="14:18" x14ac:dyDescent="0.2">
      <c r="N1936" s="88" t="str">
        <f t="shared" si="35"/>
        <v>1w</v>
      </c>
      <c r="O1936" s="82">
        <f>_xll.qlCalendarAdvance(Calendar,O1935,N1936,"f",FALSE)</f>
        <v>52873</v>
      </c>
      <c r="P1936" s="92">
        <f>_xll.qlCalendarAdvance(Calendar,O1936,NDays&amp;"D")</f>
        <v>52875</v>
      </c>
      <c r="Q1936" s="81">
        <v>2.1868231408135524E-2</v>
      </c>
      <c r="R1936" s="85">
        <v>2.1852392633334716E-2</v>
      </c>
    </row>
    <row r="1937" spans="14:18" x14ac:dyDescent="0.2">
      <c r="N1937" s="88" t="str">
        <f t="shared" si="35"/>
        <v>1w</v>
      </c>
      <c r="O1937" s="82">
        <f>_xll.qlCalendarAdvance(Calendar,O1936,N1937,"f",FALSE)</f>
        <v>52880</v>
      </c>
      <c r="P1937" s="92">
        <f>_xll.qlCalendarAdvance(Calendar,O1937,NDays&amp;"D")</f>
        <v>52882</v>
      </c>
      <c r="Q1937" s="81">
        <v>2.1866081836274406E-2</v>
      </c>
      <c r="R1937" s="85">
        <v>2.185016468899903E-2</v>
      </c>
    </row>
    <row r="1938" spans="14:18" x14ac:dyDescent="0.2">
      <c r="N1938" s="88" t="str">
        <f t="shared" si="35"/>
        <v>1w</v>
      </c>
      <c r="O1938" s="82">
        <f>_xll.qlCalendarAdvance(Calendar,O1937,N1938,"f",FALSE)</f>
        <v>52887</v>
      </c>
      <c r="P1938" s="92">
        <f>_xll.qlCalendarAdvance(Calendar,O1938,NDays&amp;"D")</f>
        <v>52889</v>
      </c>
      <c r="Q1938" s="81">
        <v>2.1863976651261427E-2</v>
      </c>
      <c r="R1938" s="85">
        <v>2.1847981050395759E-2</v>
      </c>
    </row>
    <row r="1939" spans="14:18" x14ac:dyDescent="0.2">
      <c r="N1939" s="88" t="str">
        <f t="shared" si="35"/>
        <v>1w</v>
      </c>
      <c r="O1939" s="82">
        <f>_xll.qlCalendarAdvance(Calendar,O1938,N1939,"f",FALSE)</f>
        <v>52894</v>
      </c>
      <c r="P1939" s="92">
        <f>_xll.qlCalendarAdvance(Calendar,O1939,NDays&amp;"D")</f>
        <v>52896</v>
      </c>
      <c r="Q1939" s="81">
        <v>2.186191585306994E-2</v>
      </c>
      <c r="R1939" s="85">
        <v>2.1845841717524905E-2</v>
      </c>
    </row>
    <row r="1940" spans="14:18" x14ac:dyDescent="0.2">
      <c r="N1940" s="88" t="str">
        <f t="shared" si="35"/>
        <v>1w</v>
      </c>
      <c r="O1940" s="82">
        <f>_xll.qlCalendarAdvance(Calendar,O1939,N1940,"f",FALSE)</f>
        <v>52901</v>
      </c>
      <c r="P1940" s="92">
        <f>_xll.qlCalendarAdvance(Calendar,O1940,NDays&amp;"D")</f>
        <v>52903</v>
      </c>
      <c r="Q1940" s="81">
        <v>2.185833096896328E-2</v>
      </c>
      <c r="R1940" s="85">
        <v>2.1843746690386467E-2</v>
      </c>
    </row>
    <row r="1941" spans="14:18" x14ac:dyDescent="0.2">
      <c r="N1941" s="88" t="str">
        <f t="shared" ref="N1941:N2004" si="36">N1940</f>
        <v>1w</v>
      </c>
      <c r="O1941" s="82">
        <f>_xll.qlCalendarAdvance(Calendar,O1940,N1941,"f",FALSE)</f>
        <v>52908</v>
      </c>
      <c r="P1941" s="92">
        <f>_xll.qlCalendarAdvance(Calendar,O1941,NDays&amp;"D")</f>
        <v>52910</v>
      </c>
      <c r="Q1941" s="81">
        <v>2.1856349793462293E-2</v>
      </c>
      <c r="R1941" s="85">
        <v>2.1841695969033736E-2</v>
      </c>
    </row>
    <row r="1942" spans="14:18" x14ac:dyDescent="0.2">
      <c r="N1942" s="88" t="str">
        <f t="shared" si="36"/>
        <v>1w</v>
      </c>
      <c r="O1942" s="82">
        <f>_xll.qlCalendarAdvance(Calendar,O1941,N1942,"f",FALSE)</f>
        <v>52915</v>
      </c>
      <c r="P1942" s="92">
        <f>_xll.qlCalendarAdvance(Calendar,O1942,NDays&amp;"D")</f>
        <v>52917</v>
      </c>
      <c r="Q1942" s="81">
        <v>2.185441299660873E-2</v>
      </c>
      <c r="R1942" s="85">
        <v>2.1839689553386776E-2</v>
      </c>
    </row>
    <row r="1943" spans="14:18" x14ac:dyDescent="0.2">
      <c r="N1943" s="88" t="str">
        <f t="shared" si="36"/>
        <v>1w</v>
      </c>
      <c r="O1943" s="82">
        <f>_xll.qlCalendarAdvance(Calendar,O1942,N1943,"f",FALSE)</f>
        <v>52922</v>
      </c>
      <c r="P1943" s="92">
        <f>_xll.qlCalendarAdvance(Calendar,O1943,NDays&amp;"D")</f>
        <v>52924</v>
      </c>
      <c r="Q1943" s="81">
        <v>2.1852520578381274E-2</v>
      </c>
      <c r="R1943" s="85">
        <v>2.1837727443498878E-2</v>
      </c>
    </row>
    <row r="1944" spans="14:18" x14ac:dyDescent="0.2">
      <c r="N1944" s="88" t="str">
        <f t="shared" si="36"/>
        <v>1w</v>
      </c>
      <c r="O1944" s="82">
        <f>_xll.qlCalendarAdvance(Calendar,O1943,N1944,"f",FALSE)</f>
        <v>52929</v>
      </c>
      <c r="P1944" s="92">
        <f>_xll.qlCalendarAdvance(Calendar,O1944,NDays&amp;"D")</f>
        <v>52931</v>
      </c>
      <c r="Q1944" s="81">
        <v>2.1850672538755944E-2</v>
      </c>
      <c r="R1944" s="85">
        <v>2.1835809639370041E-2</v>
      </c>
    </row>
    <row r="1945" spans="14:18" x14ac:dyDescent="0.2">
      <c r="N1945" s="88" t="str">
        <f t="shared" si="36"/>
        <v>1w</v>
      </c>
      <c r="O1945" s="82">
        <f>_xll.qlCalendarAdvance(Calendar,O1944,N1945,"f",FALSE)</f>
        <v>52936</v>
      </c>
      <c r="P1945" s="92">
        <f>_xll.qlCalendarAdvance(Calendar,O1945,NDays&amp;"D")</f>
        <v>52938</v>
      </c>
      <c r="Q1945" s="81">
        <v>2.1850483185866697E-2</v>
      </c>
      <c r="R1945" s="85">
        <v>2.1833936140920329E-2</v>
      </c>
    </row>
    <row r="1946" spans="14:18" x14ac:dyDescent="0.2">
      <c r="N1946" s="88" t="str">
        <f t="shared" si="36"/>
        <v>1w</v>
      </c>
      <c r="O1946" s="82">
        <f>_xll.qlCalendarAdvance(Calendar,O1945,N1946,"f",FALSE)</f>
        <v>52943</v>
      </c>
      <c r="P1946" s="92">
        <f>_xll.qlCalendarAdvance(Calendar,O1946,NDays&amp;"D")</f>
        <v>52945</v>
      </c>
      <c r="Q1946" s="81">
        <v>2.184873309476678E-2</v>
      </c>
      <c r="R1946" s="85">
        <v>2.1832106948256325E-2</v>
      </c>
    </row>
    <row r="1947" spans="14:18" x14ac:dyDescent="0.2">
      <c r="N1947" s="88" t="str">
        <f t="shared" si="36"/>
        <v>1w</v>
      </c>
      <c r="O1947" s="82">
        <f>_xll.qlCalendarAdvance(Calendar,O1946,N1947,"f",FALSE)</f>
        <v>52950</v>
      </c>
      <c r="P1947" s="92">
        <f>_xll.qlCalendarAdvance(Calendar,O1947,NDays&amp;"D")</f>
        <v>52952</v>
      </c>
      <c r="Q1947" s="81">
        <v>2.1847027390306681E-2</v>
      </c>
      <c r="R1947" s="85">
        <v>2.183085838710852E-2</v>
      </c>
    </row>
    <row r="1948" spans="14:18" x14ac:dyDescent="0.2">
      <c r="N1948" s="88" t="str">
        <f t="shared" si="36"/>
        <v>1w</v>
      </c>
      <c r="O1948" s="82">
        <f>_xll.qlCalendarAdvance(Calendar,O1947,N1948,"f",FALSE)</f>
        <v>52958</v>
      </c>
      <c r="P1948" s="92">
        <f>_xll.qlCalendarAdvance(Calendar,O1948,NDays&amp;"D")</f>
        <v>52960</v>
      </c>
      <c r="Q1948" s="81">
        <v>2.184458430906755E-2</v>
      </c>
      <c r="R1948" s="85">
        <v>2.1826768625698989E-2</v>
      </c>
    </row>
    <row r="1949" spans="14:18" x14ac:dyDescent="0.2">
      <c r="N1949" s="88" t="str">
        <f t="shared" si="36"/>
        <v>1w</v>
      </c>
      <c r="O1949" s="82">
        <f>_xll.qlCalendarAdvance(Calendar,O1948,N1949,"f",FALSE)</f>
        <v>52965</v>
      </c>
      <c r="P1949" s="92">
        <f>_xll.qlCalendarAdvance(Calendar,O1949,NDays&amp;"D")</f>
        <v>52967</v>
      </c>
      <c r="Q1949" s="81">
        <v>2.184297064611429E-2</v>
      </c>
      <c r="R1949" s="85">
        <v>2.1824848342086867E-2</v>
      </c>
    </row>
    <row r="1950" spans="14:18" x14ac:dyDescent="0.2">
      <c r="N1950" s="88" t="str">
        <f t="shared" si="36"/>
        <v>1w</v>
      </c>
      <c r="O1950" s="82">
        <f>_xll.qlCalendarAdvance(Calendar,O1949,N1950,"f",FALSE)</f>
        <v>52972</v>
      </c>
      <c r="P1950" s="92">
        <f>_xll.qlCalendarAdvance(Calendar,O1950,NDays&amp;"D")</f>
        <v>52974</v>
      </c>
      <c r="Q1950" s="81">
        <v>2.1841401367040103E-2</v>
      </c>
      <c r="R1950" s="85">
        <v>2.1823446100883714E-2</v>
      </c>
    </row>
    <row r="1951" spans="14:18" x14ac:dyDescent="0.2">
      <c r="N1951" s="88" t="str">
        <f t="shared" si="36"/>
        <v>1w</v>
      </c>
      <c r="O1951" s="82">
        <f>_xll.qlCalendarAdvance(Calendar,O1950,N1951,"f",FALSE)</f>
        <v>52979</v>
      </c>
      <c r="P1951" s="92">
        <f>_xll.qlCalendarAdvance(Calendar,O1951,NDays&amp;"D")</f>
        <v>52981</v>
      </c>
      <c r="Q1951" s="81">
        <v>2.1839876471827502E-2</v>
      </c>
      <c r="R1951" s="85">
        <v>2.182185128900116E-2</v>
      </c>
    </row>
    <row r="1952" spans="14:18" x14ac:dyDescent="0.2">
      <c r="N1952" s="88" t="str">
        <f t="shared" si="36"/>
        <v>1w</v>
      </c>
      <c r="O1952" s="82">
        <f>_xll.qlCalendarAdvance(Calendar,O1951,N1952,"f",FALSE)</f>
        <v>52986</v>
      </c>
      <c r="P1952" s="92">
        <f>_xll.qlCalendarAdvance(Calendar,O1952,NDays&amp;"D")</f>
        <v>52988</v>
      </c>
      <c r="Q1952" s="81">
        <v>2.1838395960456503E-2</v>
      </c>
      <c r="R1952" s="85">
        <v>2.1820300777442014E-2</v>
      </c>
    </row>
    <row r="1953" spans="14:18" x14ac:dyDescent="0.2">
      <c r="N1953" s="88" t="str">
        <f t="shared" si="36"/>
        <v>1w</v>
      </c>
      <c r="O1953" s="82">
        <f>_xll.qlCalendarAdvance(Calendar,O1952,N1953,"f",FALSE)</f>
        <v>52993</v>
      </c>
      <c r="P1953" s="92">
        <f>_xll.qlCalendarAdvance(Calendar,O1953,NDays&amp;"D")</f>
        <v>52995</v>
      </c>
      <c r="Q1953" s="81">
        <v>2.1834709216107053E-2</v>
      </c>
      <c r="R1953" s="85">
        <v>2.1818794566206279E-2</v>
      </c>
    </row>
    <row r="1954" spans="14:18" x14ac:dyDescent="0.2">
      <c r="N1954" s="88" t="str">
        <f t="shared" si="36"/>
        <v>1w</v>
      </c>
      <c r="O1954" s="82">
        <f>_xll.qlCalendarAdvance(Calendar,O1953,N1954,"f",FALSE)</f>
        <v>53000</v>
      </c>
      <c r="P1954" s="92">
        <f>_xll.qlCalendarAdvance(Calendar,O1954,NDays&amp;"D")</f>
        <v>53002</v>
      </c>
      <c r="Q1954" s="81">
        <v>2.1833305131664052E-2</v>
      </c>
      <c r="R1954" s="85">
        <v>2.1817332655293953E-2</v>
      </c>
    </row>
    <row r="1955" spans="14:18" x14ac:dyDescent="0.2">
      <c r="N1955" s="88" t="str">
        <f t="shared" si="36"/>
        <v>1w</v>
      </c>
      <c r="O1955" s="82">
        <f>_xll.qlCalendarAdvance(Calendar,O1954,N1955,"f",FALSE)</f>
        <v>53007</v>
      </c>
      <c r="P1955" s="92">
        <f>_xll.qlCalendarAdvance(Calendar,O1955,NDays&amp;"D")</f>
        <v>53009</v>
      </c>
      <c r="Q1955" s="81">
        <v>2.1831945420240598E-2</v>
      </c>
      <c r="R1955" s="85">
        <v>2.1815915044705037E-2</v>
      </c>
    </row>
    <row r="1956" spans="14:18" x14ac:dyDescent="0.2">
      <c r="N1956" s="88" t="str">
        <f t="shared" si="36"/>
        <v>1w</v>
      </c>
      <c r="O1956" s="82">
        <f>_xll.qlCalendarAdvance(Calendar,O1955,N1956,"f",FALSE)</f>
        <v>53014</v>
      </c>
      <c r="P1956" s="92">
        <f>_xll.qlCalendarAdvance(Calendar,O1956,NDays&amp;"D")</f>
        <v>53016</v>
      </c>
      <c r="Q1956" s="81">
        <v>2.1830630081819562E-2</v>
      </c>
      <c r="R1956" s="85">
        <v>2.1814541734519466E-2</v>
      </c>
    </row>
    <row r="1957" spans="14:18" x14ac:dyDescent="0.2">
      <c r="N1957" s="88" t="str">
        <f t="shared" si="36"/>
        <v>1w</v>
      </c>
      <c r="O1957" s="82">
        <f>_xll.qlCalendarAdvance(Calendar,O1956,N1957,"f",FALSE)</f>
        <v>53021</v>
      </c>
      <c r="P1957" s="92">
        <f>_xll.qlCalendarAdvance(Calendar,O1957,NDays&amp;"D")</f>
        <v>53023</v>
      </c>
      <c r="Q1957" s="81">
        <v>2.1831659160628514E-2</v>
      </c>
      <c r="R1957" s="85">
        <v>2.1813212724577369E-2</v>
      </c>
    </row>
    <row r="1958" spans="14:18" x14ac:dyDescent="0.2">
      <c r="N1958" s="88" t="str">
        <f t="shared" si="36"/>
        <v>1w</v>
      </c>
      <c r="O1958" s="82">
        <f>_xll.qlCalendarAdvance(Calendar,O1957,N1958,"f",FALSE)</f>
        <v>53028</v>
      </c>
      <c r="P1958" s="92">
        <f>_xll.qlCalendarAdvance(Calendar,O1958,NDays&amp;"D")</f>
        <v>53030</v>
      </c>
      <c r="Q1958" s="81">
        <v>2.1831023855387599E-2</v>
      </c>
      <c r="R1958" s="85">
        <v>2.1811928015118554E-2</v>
      </c>
    </row>
    <row r="1959" spans="14:18" x14ac:dyDescent="0.2">
      <c r="N1959" s="88" t="str">
        <f t="shared" si="36"/>
        <v>1w</v>
      </c>
      <c r="O1959" s="82">
        <f>_xll.qlCalendarAdvance(Calendar,O1958,N1959,"f",FALSE)</f>
        <v>53035</v>
      </c>
      <c r="P1959" s="92">
        <f>_xll.qlCalendarAdvance(Calendar,O1959,NDays&amp;"D")</f>
        <v>53037</v>
      </c>
      <c r="Q1959" s="81">
        <v>2.1829275127015491E-2</v>
      </c>
      <c r="R1959" s="85">
        <v>2.1810687605823276E-2</v>
      </c>
    </row>
    <row r="1960" spans="14:18" x14ac:dyDescent="0.2">
      <c r="N1960" s="88" t="str">
        <f t="shared" si="36"/>
        <v>1w</v>
      </c>
      <c r="O1960" s="82">
        <f>_xll.qlCalendarAdvance(Calendar,O1959,N1960,"f",FALSE)</f>
        <v>53042</v>
      </c>
      <c r="P1960" s="92">
        <f>_xll.qlCalendarAdvance(Calendar,O1960,NDays&amp;"D")</f>
        <v>53044</v>
      </c>
      <c r="Q1960" s="81">
        <v>2.1828149685792775E-2</v>
      </c>
      <c r="R1960" s="85">
        <v>2.1809491496931344E-2</v>
      </c>
    </row>
    <row r="1961" spans="14:18" x14ac:dyDescent="0.2">
      <c r="N1961" s="88" t="str">
        <f t="shared" si="36"/>
        <v>1w</v>
      </c>
      <c r="O1961" s="82">
        <f>_xll.qlCalendarAdvance(Calendar,O1960,N1961,"f",FALSE)</f>
        <v>53049</v>
      </c>
      <c r="P1961" s="92">
        <f>_xll.qlCalendarAdvance(Calendar,O1961,NDays&amp;"D")</f>
        <v>53051</v>
      </c>
      <c r="Q1961" s="81">
        <v>2.1825305915845059E-2</v>
      </c>
      <c r="R1961" s="85">
        <v>2.1808339688362821E-2</v>
      </c>
    </row>
    <row r="1962" spans="14:18" x14ac:dyDescent="0.2">
      <c r="N1962" s="88" t="str">
        <f t="shared" si="36"/>
        <v>1w</v>
      </c>
      <c r="O1962" s="82">
        <f>_xll.qlCalendarAdvance(Calendar,O1961,N1962,"f",FALSE)</f>
        <v>53056</v>
      </c>
      <c r="P1962" s="92">
        <f>_xll.qlCalendarAdvance(Calendar,O1962,NDays&amp;"D")</f>
        <v>53058</v>
      </c>
      <c r="Q1962" s="81">
        <v>2.1826031954442493E-2</v>
      </c>
      <c r="R1962" s="85">
        <v>2.1806923886007468E-2</v>
      </c>
    </row>
    <row r="1963" spans="14:18" x14ac:dyDescent="0.2">
      <c r="N1963" s="88" t="str">
        <f t="shared" si="36"/>
        <v>1w</v>
      </c>
      <c r="O1963" s="82">
        <f>_xll.qlCalendarAdvance(Calendar,O1962,N1963,"f",FALSE)</f>
        <v>53063</v>
      </c>
      <c r="P1963" s="92">
        <f>_xll.qlCalendarAdvance(Calendar,O1963,NDays&amp;"D")</f>
        <v>53065</v>
      </c>
      <c r="Q1963" s="81">
        <v>2.1825039664292445E-2</v>
      </c>
      <c r="R1963" s="85">
        <v>2.1806168972275941E-2</v>
      </c>
    </row>
    <row r="1964" spans="14:18" x14ac:dyDescent="0.2">
      <c r="N1964" s="88" t="str">
        <f t="shared" si="36"/>
        <v>1w</v>
      </c>
      <c r="O1964" s="82">
        <f>_xll.qlCalendarAdvance(Calendar,O1963,N1964,"f",FALSE)</f>
        <v>53070</v>
      </c>
      <c r="P1964" s="92">
        <f>_xll.qlCalendarAdvance(Calendar,O1964,NDays&amp;"D")</f>
        <v>53072</v>
      </c>
      <c r="Q1964" s="81">
        <v>2.1824091757806641E-2</v>
      </c>
      <c r="R1964" s="85">
        <v>2.1805150064757584E-2</v>
      </c>
    </row>
    <row r="1965" spans="14:18" x14ac:dyDescent="0.2">
      <c r="N1965" s="88" t="str">
        <f t="shared" si="36"/>
        <v>1w</v>
      </c>
      <c r="O1965" s="82">
        <f>_xll.qlCalendarAdvance(Calendar,O1964,N1965,"f",FALSE)</f>
        <v>53077</v>
      </c>
      <c r="P1965" s="92">
        <f>_xll.qlCalendarAdvance(Calendar,O1965,NDays&amp;"D")</f>
        <v>53079</v>
      </c>
      <c r="Q1965" s="81">
        <v>2.1823788892034332E-2</v>
      </c>
      <c r="R1965" s="85">
        <v>2.180403984428203E-2</v>
      </c>
    </row>
    <row r="1966" spans="14:18" x14ac:dyDescent="0.2">
      <c r="N1966" s="88" t="str">
        <f t="shared" si="36"/>
        <v>1w</v>
      </c>
      <c r="O1966" s="82">
        <f>_xll.qlCalendarAdvance(Calendar,O1965,N1966,"f",FALSE)</f>
        <v>53084</v>
      </c>
      <c r="P1966" s="92">
        <f>_xll.qlCalendarAdvance(Calendar,O1966,NDays&amp;"D")</f>
        <v>53086</v>
      </c>
      <c r="Q1966" s="81">
        <v>2.1822329095792792E-2</v>
      </c>
      <c r="R1966" s="85">
        <v>2.1803245150611161E-2</v>
      </c>
    </row>
    <row r="1967" spans="14:18" x14ac:dyDescent="0.2">
      <c r="N1967" s="88" t="str">
        <f t="shared" si="36"/>
        <v>1w</v>
      </c>
      <c r="O1967" s="82">
        <f>_xll.qlCalendarAdvance(Calendar,O1966,N1967,"f",FALSE)</f>
        <v>53091</v>
      </c>
      <c r="P1967" s="92">
        <f>_xll.qlCalendarAdvance(Calendar,O1967,NDays&amp;"D")</f>
        <v>53093</v>
      </c>
      <c r="Q1967" s="81">
        <v>2.1821514340247261E-2</v>
      </c>
      <c r="R1967" s="85">
        <v>2.1802359144142969E-2</v>
      </c>
    </row>
    <row r="1968" spans="14:18" x14ac:dyDescent="0.2">
      <c r="N1968" s="88" t="str">
        <f t="shared" si="36"/>
        <v>1w</v>
      </c>
      <c r="O1968" s="82">
        <f>_xll.qlCalendarAdvance(Calendar,O1967,N1968,"f",FALSE)</f>
        <v>53098</v>
      </c>
      <c r="P1968" s="92">
        <f>_xll.qlCalendarAdvance(Calendar,O1968,NDays&amp;"D")</f>
        <v>53101</v>
      </c>
      <c r="Q1968" s="81">
        <v>2.1820027393966157E-2</v>
      </c>
      <c r="R1968" s="85">
        <v>2.1801400810410598E-2</v>
      </c>
    </row>
    <row r="1969" spans="14:18" x14ac:dyDescent="0.2">
      <c r="N1969" s="88" t="str">
        <f t="shared" si="36"/>
        <v>1w</v>
      </c>
      <c r="O1969" s="82">
        <f>_xll.qlCalendarAdvance(Calendar,O1968,N1969,"f",FALSE)</f>
        <v>53105</v>
      </c>
      <c r="P1969" s="92">
        <f>_xll.qlCalendarAdvance(Calendar,O1969,NDays&amp;"D")</f>
        <v>53107</v>
      </c>
      <c r="Q1969" s="81">
        <v>2.1820017980011541E-2</v>
      </c>
      <c r="R1969" s="85">
        <v>2.1800609733206855E-2</v>
      </c>
    </row>
    <row r="1970" spans="14:18" x14ac:dyDescent="0.2">
      <c r="N1970" s="88" t="str">
        <f t="shared" si="36"/>
        <v>1w</v>
      </c>
      <c r="O1970" s="82">
        <f>_xll.qlCalendarAdvance(Calendar,O1969,N1970,"f",FALSE)</f>
        <v>53112</v>
      </c>
      <c r="P1970" s="92">
        <f>_xll.qlCalendarAdvance(Calendar,O1970,NDays&amp;"D")</f>
        <v>53114</v>
      </c>
      <c r="Q1970" s="81">
        <v>2.181933637531136E-2</v>
      </c>
      <c r="R1970" s="85">
        <v>2.1799966926279168E-2</v>
      </c>
    </row>
    <row r="1971" spans="14:18" x14ac:dyDescent="0.2">
      <c r="N1971" s="88" t="str">
        <f t="shared" si="36"/>
        <v>1w</v>
      </c>
      <c r="O1971" s="82">
        <f>_xll.qlCalendarAdvance(Calendar,O1970,N1971,"f",FALSE)</f>
        <v>53119</v>
      </c>
      <c r="P1971" s="92">
        <f>_xll.qlCalendarAdvance(Calendar,O1971,NDays&amp;"D")</f>
        <v>53121</v>
      </c>
      <c r="Q1971" s="81">
        <v>2.1818699154210475E-2</v>
      </c>
      <c r="R1971" s="85">
        <v>2.1799258121024678E-2</v>
      </c>
    </row>
    <row r="1972" spans="14:18" x14ac:dyDescent="0.2">
      <c r="N1972" s="88" t="str">
        <f t="shared" si="36"/>
        <v>1w</v>
      </c>
      <c r="O1972" s="82">
        <f>_xll.qlCalendarAdvance(Calendar,O1971,N1972,"f",FALSE)</f>
        <v>53126</v>
      </c>
      <c r="P1972" s="92">
        <f>_xll.qlCalendarAdvance(Calendar,O1972,NDays&amp;"D")</f>
        <v>53128</v>
      </c>
      <c r="Q1972" s="81">
        <v>2.1818106316698893E-2</v>
      </c>
      <c r="R1972" s="85">
        <v>2.1798593616173534E-2</v>
      </c>
    </row>
    <row r="1973" spans="14:18" x14ac:dyDescent="0.2">
      <c r="N1973" s="88" t="str">
        <f t="shared" si="36"/>
        <v>1w</v>
      </c>
      <c r="O1973" s="82">
        <f>_xll.qlCalendarAdvance(Calendar,O1972,N1973,"f",FALSE)</f>
        <v>53133</v>
      </c>
      <c r="P1973" s="92">
        <f>_xll.qlCalendarAdvance(Calendar,O1973,NDays&amp;"D")</f>
        <v>53135</v>
      </c>
      <c r="Q1973" s="81">
        <v>2.1817557862771619E-2</v>
      </c>
      <c r="R1973" s="85">
        <v>2.1797888427226297E-2</v>
      </c>
    </row>
    <row r="1974" spans="14:18" x14ac:dyDescent="0.2">
      <c r="N1974" s="88" t="str">
        <f t="shared" si="36"/>
        <v>1w</v>
      </c>
      <c r="O1974" s="82">
        <f>_xll.qlCalendarAdvance(Calendar,O1973,N1974,"f",FALSE)</f>
        <v>53140</v>
      </c>
      <c r="P1974" s="92">
        <f>_xll.qlCalendarAdvance(Calendar,O1974,NDays&amp;"D")</f>
        <v>53142</v>
      </c>
      <c r="Q1974" s="81">
        <v>2.1817053792423657E-2</v>
      </c>
      <c r="R1974" s="85">
        <v>2.1797397507281602E-2</v>
      </c>
    </row>
    <row r="1975" spans="14:18" x14ac:dyDescent="0.2">
      <c r="N1975" s="88" t="str">
        <f t="shared" si="36"/>
        <v>1w</v>
      </c>
      <c r="O1975" s="82">
        <f>_xll.qlCalendarAdvance(Calendar,O1974,N1975,"f",FALSE)</f>
        <v>53147</v>
      </c>
      <c r="P1975" s="92">
        <f>_xll.qlCalendarAdvance(Calendar,O1975,NDays&amp;"D")</f>
        <v>53149</v>
      </c>
      <c r="Q1975" s="81">
        <v>2.1816594105650011E-2</v>
      </c>
      <c r="R1975" s="85">
        <v>2.179686590332075E-2</v>
      </c>
    </row>
    <row r="1976" spans="14:18" x14ac:dyDescent="0.2">
      <c r="N1976" s="88" t="str">
        <f t="shared" si="36"/>
        <v>1w</v>
      </c>
      <c r="O1976" s="82">
        <f>_xll.qlCalendarAdvance(Calendar,O1975,N1976,"f",FALSE)</f>
        <v>53154</v>
      </c>
      <c r="P1976" s="92">
        <f>_xll.qlCalendarAdvance(Calendar,O1976,NDays&amp;"D")</f>
        <v>53156</v>
      </c>
      <c r="Q1976" s="81">
        <v>2.1816178802440689E-2</v>
      </c>
      <c r="R1976" s="85">
        <v>2.1796378599763244E-2</v>
      </c>
    </row>
    <row r="1977" spans="14:18" x14ac:dyDescent="0.2">
      <c r="N1977" s="88" t="str">
        <f t="shared" si="36"/>
        <v>1w</v>
      </c>
      <c r="O1977" s="82">
        <f>_xll.qlCalendarAdvance(Calendar,O1976,N1977,"f",FALSE)</f>
        <v>53161</v>
      </c>
      <c r="P1977" s="92">
        <f>_xll.qlCalendarAdvance(Calendar,O1977,NDays&amp;"D")</f>
        <v>53163</v>
      </c>
      <c r="Q1977" s="81">
        <v>2.1815807882793192E-2</v>
      </c>
      <c r="R1977" s="85">
        <v>2.1795935596529148E-2</v>
      </c>
    </row>
    <row r="1978" spans="14:18" x14ac:dyDescent="0.2">
      <c r="N1978" s="88" t="str">
        <f t="shared" si="36"/>
        <v>1w</v>
      </c>
      <c r="O1978" s="82">
        <f>_xll.qlCalendarAdvance(Calendar,O1977,N1978,"f",FALSE)</f>
        <v>53168</v>
      </c>
      <c r="P1978" s="92">
        <f>_xll.qlCalendarAdvance(Calendar,O1978,NDays&amp;"D")</f>
        <v>53170</v>
      </c>
      <c r="Q1978" s="81">
        <v>2.1815481346702525E-2</v>
      </c>
      <c r="R1978" s="85">
        <v>2.1795536893618461E-2</v>
      </c>
    </row>
    <row r="1979" spans="14:18" x14ac:dyDescent="0.2">
      <c r="N1979" s="88" t="str">
        <f t="shared" si="36"/>
        <v>1w</v>
      </c>
      <c r="O1979" s="82">
        <f>_xll.qlCalendarAdvance(Calendar,O1978,N1979,"f",FALSE)</f>
        <v>53175</v>
      </c>
      <c r="P1979" s="92">
        <f>_xll.qlCalendarAdvance(Calendar,O1979,NDays&amp;"D")</f>
        <v>53177</v>
      </c>
      <c r="Q1979" s="81">
        <v>2.1815199194171186E-2</v>
      </c>
      <c r="R1979" s="85">
        <v>2.1795182490871312E-2</v>
      </c>
    </row>
    <row r="1980" spans="14:18" x14ac:dyDescent="0.2">
      <c r="N1980" s="88" t="str">
        <f t="shared" si="36"/>
        <v>1w</v>
      </c>
      <c r="O1980" s="82">
        <f>_xll.qlCalendarAdvance(Calendar,O1979,N1980,"f",FALSE)</f>
        <v>53182</v>
      </c>
      <c r="P1980" s="92">
        <f>_xll.qlCalendarAdvance(Calendar,O1980,NDays&amp;"D")</f>
        <v>53184</v>
      </c>
      <c r="Q1980" s="81">
        <v>2.1814961425186685E-2</v>
      </c>
      <c r="R1980" s="85">
        <v>2.1794872388607445E-2</v>
      </c>
    </row>
    <row r="1981" spans="14:18" x14ac:dyDescent="0.2">
      <c r="N1981" s="88" t="str">
        <f t="shared" si="36"/>
        <v>1w</v>
      </c>
      <c r="O1981" s="82">
        <f>_xll.qlCalendarAdvance(Calendar,O1980,N1981,"f",FALSE)</f>
        <v>53189</v>
      </c>
      <c r="P1981" s="92">
        <f>_xll.qlCalendarAdvance(Calendar,O1981,NDays&amp;"D")</f>
        <v>53191</v>
      </c>
      <c r="Q1981" s="81">
        <v>2.1814768039746524E-2</v>
      </c>
      <c r="R1981" s="85">
        <v>2.1794606586666987E-2</v>
      </c>
    </row>
    <row r="1982" spans="14:18" x14ac:dyDescent="0.2">
      <c r="N1982" s="88" t="str">
        <f t="shared" si="36"/>
        <v>1w</v>
      </c>
      <c r="O1982" s="82">
        <f>_xll.qlCalendarAdvance(Calendar,O1981,N1982,"f",FALSE)</f>
        <v>53196</v>
      </c>
      <c r="P1982" s="92">
        <f>_xll.qlCalendarAdvance(Calendar,O1982,NDays&amp;"D")</f>
        <v>53198</v>
      </c>
      <c r="Q1982" s="81">
        <v>2.18146190378532E-2</v>
      </c>
      <c r="R1982" s="85">
        <v>2.1794385084970003E-2</v>
      </c>
    </row>
    <row r="1983" spans="14:18" x14ac:dyDescent="0.2">
      <c r="N1983" s="88" t="str">
        <f t="shared" si="36"/>
        <v>1w</v>
      </c>
      <c r="O1983" s="82">
        <f>_xll.qlCalendarAdvance(Calendar,O1982,N1983,"f",FALSE)</f>
        <v>53203</v>
      </c>
      <c r="P1983" s="92">
        <f>_xll.qlCalendarAdvance(Calendar,O1983,NDays&amp;"D")</f>
        <v>53205</v>
      </c>
      <c r="Q1983" s="81">
        <v>2.1812544788589468E-2</v>
      </c>
      <c r="R1983" s="85">
        <v>2.1794207883676364E-2</v>
      </c>
    </row>
    <row r="1984" spans="14:18" x14ac:dyDescent="0.2">
      <c r="N1984" s="88" t="str">
        <f t="shared" si="36"/>
        <v>1w</v>
      </c>
      <c r="O1984" s="82">
        <f>_xll.qlCalendarAdvance(Calendar,O1983,N1984,"f",FALSE)</f>
        <v>53210</v>
      </c>
      <c r="P1984" s="92">
        <f>_xll.qlCalendarAdvance(Calendar,O1984,NDays&amp;"D")</f>
        <v>53212</v>
      </c>
      <c r="Q1984" s="81" t="e">
        <v>#N/A</v>
      </c>
      <c r="R1984" s="85">
        <v>2.1794074982706135E-2</v>
      </c>
    </row>
    <row r="1985" spans="14:18" x14ac:dyDescent="0.2">
      <c r="N1985" s="88" t="str">
        <f t="shared" si="36"/>
        <v>1w</v>
      </c>
      <c r="O1985" s="82">
        <f>_xll.qlCalendarAdvance(Calendar,O1984,N1985,"f",FALSE)</f>
        <v>53217</v>
      </c>
      <c r="P1985" s="92">
        <f>_xll.qlCalendarAdvance(Calendar,O1985,NDays&amp;"D")</f>
        <v>53219</v>
      </c>
      <c r="Q1985" s="81" t="e">
        <v>#N/A</v>
      </c>
      <c r="R1985" s="85">
        <v>2.1793986382139252E-2</v>
      </c>
    </row>
    <row r="1986" spans="14:18" x14ac:dyDescent="0.2">
      <c r="N1986" s="88" t="str">
        <f t="shared" si="36"/>
        <v>1w</v>
      </c>
      <c r="O1986" s="82">
        <f>_xll.qlCalendarAdvance(Calendar,O1985,N1986,"f",FALSE)</f>
        <v>53224</v>
      </c>
      <c r="P1986" s="92">
        <f>_xll.qlCalendarAdvance(Calendar,O1986,NDays&amp;"D")</f>
        <v>53226</v>
      </c>
      <c r="Q1986" s="81" t="e">
        <v>#N/A</v>
      </c>
      <c r="R1986" s="85">
        <v>2.1793942081735906E-2</v>
      </c>
    </row>
    <row r="1987" spans="14:18" x14ac:dyDescent="0.2">
      <c r="N1987" s="88" t="str">
        <f t="shared" si="36"/>
        <v>1w</v>
      </c>
      <c r="O1987" s="82">
        <f>_xll.qlCalendarAdvance(Calendar,O1986,N1987,"f",FALSE)</f>
        <v>53231</v>
      </c>
      <c r="P1987" s="92">
        <f>_xll.qlCalendarAdvance(Calendar,O1987,NDays&amp;"D")</f>
        <v>53233</v>
      </c>
      <c r="Q1987" s="81" t="e">
        <v>#N/A</v>
      </c>
      <c r="R1987" s="85">
        <v>2.1793936506595557E-2</v>
      </c>
    </row>
    <row r="1988" spans="14:18" x14ac:dyDescent="0.2">
      <c r="N1988" s="88" t="str">
        <f t="shared" si="36"/>
        <v>1w</v>
      </c>
      <c r="O1988" s="82">
        <f>_xll.qlCalendarAdvance(Calendar,O1987,N1988,"f",FALSE)</f>
        <v>53238</v>
      </c>
      <c r="P1988" s="92">
        <f>_xll.qlCalendarAdvance(Calendar,O1988,NDays&amp;"D")</f>
        <v>53240</v>
      </c>
      <c r="Q1988" s="81" t="e">
        <v>#N/A</v>
      </c>
      <c r="R1988" s="85" t="e">
        <v>#N/A</v>
      </c>
    </row>
    <row r="1989" spans="14:18" x14ac:dyDescent="0.2">
      <c r="N1989" s="88" t="str">
        <f t="shared" si="36"/>
        <v>1w</v>
      </c>
      <c r="O1989" s="82">
        <f>_xll.qlCalendarAdvance(Calendar,O1988,N1989,"f",FALSE)</f>
        <v>53245</v>
      </c>
      <c r="P1989" s="92">
        <f>_xll.qlCalendarAdvance(Calendar,O1989,NDays&amp;"D")</f>
        <v>53247</v>
      </c>
      <c r="Q1989" s="81" t="e">
        <v>#N/A</v>
      </c>
      <c r="R1989" s="85" t="e">
        <v>#N/A</v>
      </c>
    </row>
    <row r="1990" spans="14:18" x14ac:dyDescent="0.2">
      <c r="N1990" s="88" t="str">
        <f t="shared" si="36"/>
        <v>1w</v>
      </c>
      <c r="O1990" s="82">
        <f>_xll.qlCalendarAdvance(Calendar,O1989,N1990,"f",FALSE)</f>
        <v>53252</v>
      </c>
      <c r="P1990" s="92">
        <f>_xll.qlCalendarAdvance(Calendar,O1990,NDays&amp;"D")</f>
        <v>53254</v>
      </c>
      <c r="Q1990" s="81" t="e">
        <v>#N/A</v>
      </c>
      <c r="R1990" s="85" t="e">
        <v>#N/A</v>
      </c>
    </row>
    <row r="1991" spans="14:18" x14ac:dyDescent="0.2">
      <c r="N1991" s="88" t="str">
        <f t="shared" si="36"/>
        <v>1w</v>
      </c>
      <c r="O1991" s="82">
        <f>_xll.qlCalendarAdvance(Calendar,O1990,N1991,"f",FALSE)</f>
        <v>53259</v>
      </c>
      <c r="P1991" s="92">
        <f>_xll.qlCalendarAdvance(Calendar,O1991,NDays&amp;"D")</f>
        <v>53261</v>
      </c>
      <c r="Q1991" s="81" t="e">
        <v>#N/A</v>
      </c>
      <c r="R1991" s="85" t="e">
        <v>#N/A</v>
      </c>
    </row>
    <row r="1992" spans="14:18" x14ac:dyDescent="0.2">
      <c r="N1992" s="88" t="str">
        <f t="shared" si="36"/>
        <v>1w</v>
      </c>
      <c r="O1992" s="82">
        <f>_xll.qlCalendarAdvance(Calendar,O1991,N1992,"f",FALSE)</f>
        <v>53266</v>
      </c>
      <c r="P1992" s="92">
        <f>_xll.qlCalendarAdvance(Calendar,O1992,NDays&amp;"D")</f>
        <v>53268</v>
      </c>
      <c r="Q1992" s="81" t="e">
        <v>#N/A</v>
      </c>
      <c r="R1992" s="85" t="e">
        <v>#N/A</v>
      </c>
    </row>
    <row r="1993" spans="14:18" x14ac:dyDescent="0.2">
      <c r="N1993" s="88" t="str">
        <f t="shared" si="36"/>
        <v>1w</v>
      </c>
      <c r="O1993" s="82">
        <f>_xll.qlCalendarAdvance(Calendar,O1992,N1993,"f",FALSE)</f>
        <v>53273</v>
      </c>
      <c r="P1993" s="92">
        <f>_xll.qlCalendarAdvance(Calendar,O1993,NDays&amp;"D")</f>
        <v>53275</v>
      </c>
      <c r="Q1993" s="81" t="e">
        <v>#N/A</v>
      </c>
      <c r="R1993" s="85" t="e">
        <v>#N/A</v>
      </c>
    </row>
    <row r="1994" spans="14:18" x14ac:dyDescent="0.2">
      <c r="N1994" s="88" t="str">
        <f t="shared" si="36"/>
        <v>1w</v>
      </c>
      <c r="O1994" s="82">
        <f>_xll.qlCalendarAdvance(Calendar,O1993,N1994,"f",FALSE)</f>
        <v>53280</v>
      </c>
      <c r="P1994" s="92">
        <f>_xll.qlCalendarAdvance(Calendar,O1994,NDays&amp;"D")</f>
        <v>53282</v>
      </c>
      <c r="Q1994" s="81" t="e">
        <v>#N/A</v>
      </c>
      <c r="R1994" s="85" t="e">
        <v>#N/A</v>
      </c>
    </row>
    <row r="1995" spans="14:18" x14ac:dyDescent="0.2">
      <c r="N1995" s="88" t="str">
        <f t="shared" si="36"/>
        <v>1w</v>
      </c>
      <c r="O1995" s="82">
        <f>_xll.qlCalendarAdvance(Calendar,O1994,N1995,"f",FALSE)</f>
        <v>53287</v>
      </c>
      <c r="P1995" s="92">
        <f>_xll.qlCalendarAdvance(Calendar,O1995,NDays&amp;"D")</f>
        <v>53289</v>
      </c>
      <c r="Q1995" s="81" t="e">
        <v>#N/A</v>
      </c>
      <c r="R1995" s="85" t="e">
        <v>#N/A</v>
      </c>
    </row>
    <row r="1996" spans="14:18" x14ac:dyDescent="0.2">
      <c r="N1996" s="88" t="str">
        <f t="shared" si="36"/>
        <v>1w</v>
      </c>
      <c r="O1996" s="82">
        <f>_xll.qlCalendarAdvance(Calendar,O1995,N1996,"f",FALSE)</f>
        <v>53294</v>
      </c>
      <c r="P1996" s="92">
        <f>_xll.qlCalendarAdvance(Calendar,O1996,NDays&amp;"D")</f>
        <v>53296</v>
      </c>
      <c r="Q1996" s="81" t="e">
        <v>#N/A</v>
      </c>
      <c r="R1996" s="85" t="e">
        <v>#N/A</v>
      </c>
    </row>
    <row r="1997" spans="14:18" x14ac:dyDescent="0.2">
      <c r="N1997" s="88" t="str">
        <f t="shared" si="36"/>
        <v>1w</v>
      </c>
      <c r="O1997" s="82">
        <f>_xll.qlCalendarAdvance(Calendar,O1996,N1997,"f",FALSE)</f>
        <v>53301</v>
      </c>
      <c r="P1997" s="92">
        <f>_xll.qlCalendarAdvance(Calendar,O1997,NDays&amp;"D")</f>
        <v>53303</v>
      </c>
      <c r="Q1997" s="81" t="e">
        <v>#N/A</v>
      </c>
      <c r="R1997" s="85" t="e">
        <v>#N/A</v>
      </c>
    </row>
    <row r="1998" spans="14:18" x14ac:dyDescent="0.2">
      <c r="N1998" s="88" t="str">
        <f t="shared" si="36"/>
        <v>1w</v>
      </c>
      <c r="O1998" s="82">
        <f>_xll.qlCalendarAdvance(Calendar,O1997,N1998,"f",FALSE)</f>
        <v>53308</v>
      </c>
      <c r="P1998" s="92">
        <f>_xll.qlCalendarAdvance(Calendar,O1998,NDays&amp;"D")</f>
        <v>53310</v>
      </c>
      <c r="Q1998" s="81" t="e">
        <v>#N/A</v>
      </c>
      <c r="R1998" s="85" t="e">
        <v>#N/A</v>
      </c>
    </row>
    <row r="1999" spans="14:18" x14ac:dyDescent="0.2">
      <c r="N1999" s="88" t="str">
        <f t="shared" si="36"/>
        <v>1w</v>
      </c>
      <c r="O1999" s="82">
        <f>_xll.qlCalendarAdvance(Calendar,O1998,N1999,"f",FALSE)</f>
        <v>53315</v>
      </c>
      <c r="P1999" s="92">
        <f>_xll.qlCalendarAdvance(Calendar,O1999,NDays&amp;"D")</f>
        <v>53317</v>
      </c>
      <c r="Q1999" s="81" t="e">
        <v>#N/A</v>
      </c>
      <c r="R1999" s="85" t="e">
        <v>#N/A</v>
      </c>
    </row>
    <row r="2000" spans="14:18" x14ac:dyDescent="0.2">
      <c r="N2000" s="88" t="str">
        <f t="shared" si="36"/>
        <v>1w</v>
      </c>
      <c r="O2000" s="82">
        <f>_xll.qlCalendarAdvance(Calendar,O1999,N2000,"f",FALSE)</f>
        <v>53323</v>
      </c>
      <c r="P2000" s="92">
        <f>_xll.qlCalendarAdvance(Calendar,O2000,NDays&amp;"D")</f>
        <v>53325</v>
      </c>
      <c r="Q2000" s="81" t="e">
        <v>#N/A</v>
      </c>
      <c r="R2000" s="85" t="e">
        <v>#N/A</v>
      </c>
    </row>
    <row r="2001" spans="14:18" x14ac:dyDescent="0.2">
      <c r="N2001" s="88" t="str">
        <f t="shared" si="36"/>
        <v>1w</v>
      </c>
      <c r="O2001" s="82">
        <f>_xll.qlCalendarAdvance(Calendar,O2000,N2001,"f",FALSE)</f>
        <v>53330</v>
      </c>
      <c r="P2001" s="92">
        <f>_xll.qlCalendarAdvance(Calendar,O2001,NDays&amp;"D")</f>
        <v>53332</v>
      </c>
      <c r="Q2001" s="81" t="e">
        <v>#N/A</v>
      </c>
      <c r="R2001" s="85" t="e">
        <v>#N/A</v>
      </c>
    </row>
    <row r="2002" spans="14:18" x14ac:dyDescent="0.2">
      <c r="N2002" s="88" t="str">
        <f t="shared" si="36"/>
        <v>1w</v>
      </c>
      <c r="O2002" s="82">
        <f>_xll.qlCalendarAdvance(Calendar,O2001,N2002,"f",FALSE)</f>
        <v>53337</v>
      </c>
      <c r="P2002" s="92">
        <f>_xll.qlCalendarAdvance(Calendar,O2002,NDays&amp;"D")</f>
        <v>53339</v>
      </c>
      <c r="Q2002" s="81" t="e">
        <v>#N/A</v>
      </c>
      <c r="R2002" s="85" t="e">
        <v>#N/A</v>
      </c>
    </row>
    <row r="2003" spans="14:18" x14ac:dyDescent="0.2">
      <c r="N2003" s="88" t="str">
        <f t="shared" si="36"/>
        <v>1w</v>
      </c>
      <c r="O2003" s="82">
        <f>_xll.qlCalendarAdvance(Calendar,O2002,N2003,"f",FALSE)</f>
        <v>53344</v>
      </c>
      <c r="P2003" s="92">
        <f>_xll.qlCalendarAdvance(Calendar,O2003,NDays&amp;"D")</f>
        <v>53346</v>
      </c>
      <c r="Q2003" s="81" t="e">
        <v>#N/A</v>
      </c>
      <c r="R2003" s="85" t="e">
        <v>#N/A</v>
      </c>
    </row>
    <row r="2004" spans="14:18" x14ac:dyDescent="0.2">
      <c r="N2004" s="88" t="str">
        <f t="shared" si="36"/>
        <v>1w</v>
      </c>
      <c r="O2004" s="82">
        <f>_xll.qlCalendarAdvance(Calendar,O2003,N2004,"f",FALSE)</f>
        <v>53351</v>
      </c>
      <c r="P2004" s="92">
        <f>_xll.qlCalendarAdvance(Calendar,O2004,NDays&amp;"D")</f>
        <v>53353</v>
      </c>
      <c r="Q2004" s="81" t="e">
        <v>#N/A</v>
      </c>
      <c r="R2004" s="85" t="e">
        <v>#N/A</v>
      </c>
    </row>
    <row r="2005" spans="14:18" x14ac:dyDescent="0.2">
      <c r="N2005" s="88" t="str">
        <f t="shared" ref="N2005:N2068" si="37">N2004</f>
        <v>1w</v>
      </c>
      <c r="O2005" s="82">
        <f>_xll.qlCalendarAdvance(Calendar,O2004,N2005,"f",FALSE)</f>
        <v>53358</v>
      </c>
      <c r="P2005" s="92">
        <f>_xll.qlCalendarAdvance(Calendar,O2005,NDays&amp;"D")</f>
        <v>53360</v>
      </c>
      <c r="Q2005" s="81" t="e">
        <v>#N/A</v>
      </c>
      <c r="R2005" s="85" t="e">
        <v>#N/A</v>
      </c>
    </row>
    <row r="2006" spans="14:18" x14ac:dyDescent="0.2">
      <c r="N2006" s="88" t="str">
        <f t="shared" si="37"/>
        <v>1w</v>
      </c>
      <c r="O2006" s="82">
        <f>_xll.qlCalendarAdvance(Calendar,O2005,N2006,"f",FALSE)</f>
        <v>53365</v>
      </c>
      <c r="P2006" s="92">
        <f>_xll.qlCalendarAdvance(Calendar,O2006,NDays&amp;"D")</f>
        <v>53367</v>
      </c>
      <c r="Q2006" s="81" t="e">
        <v>#N/A</v>
      </c>
      <c r="R2006" s="85" t="e">
        <v>#N/A</v>
      </c>
    </row>
    <row r="2007" spans="14:18" x14ac:dyDescent="0.2">
      <c r="N2007" s="88" t="str">
        <f t="shared" si="37"/>
        <v>1w</v>
      </c>
      <c r="O2007" s="82">
        <f>_xll.qlCalendarAdvance(Calendar,O2006,N2007,"f",FALSE)</f>
        <v>53372</v>
      </c>
      <c r="P2007" s="92">
        <f>_xll.qlCalendarAdvance(Calendar,O2007,NDays&amp;"D")</f>
        <v>53374</v>
      </c>
      <c r="Q2007" s="81" t="e">
        <v>#N/A</v>
      </c>
      <c r="R2007" s="85" t="e">
        <v>#N/A</v>
      </c>
    </row>
    <row r="2008" spans="14:18" x14ac:dyDescent="0.2">
      <c r="N2008" s="88" t="str">
        <f t="shared" si="37"/>
        <v>1w</v>
      </c>
      <c r="O2008" s="82">
        <f>_xll.qlCalendarAdvance(Calendar,O2007,N2008,"f",FALSE)</f>
        <v>53379</v>
      </c>
      <c r="P2008" s="92">
        <f>_xll.qlCalendarAdvance(Calendar,O2008,NDays&amp;"D")</f>
        <v>53381</v>
      </c>
      <c r="Q2008" s="81" t="e">
        <v>#N/A</v>
      </c>
      <c r="R2008" s="85" t="e">
        <v>#N/A</v>
      </c>
    </row>
    <row r="2009" spans="14:18" x14ac:dyDescent="0.2">
      <c r="N2009" s="88" t="str">
        <f t="shared" si="37"/>
        <v>1w</v>
      </c>
      <c r="O2009" s="82">
        <f>_xll.qlCalendarAdvance(Calendar,O2008,N2009,"f",FALSE)</f>
        <v>53386</v>
      </c>
      <c r="P2009" s="92">
        <f>_xll.qlCalendarAdvance(Calendar,O2009,NDays&amp;"D")</f>
        <v>53388</v>
      </c>
      <c r="Q2009" s="81" t="e">
        <v>#N/A</v>
      </c>
      <c r="R2009" s="85" t="e">
        <v>#N/A</v>
      </c>
    </row>
    <row r="2010" spans="14:18" x14ac:dyDescent="0.2">
      <c r="N2010" s="88" t="str">
        <f t="shared" si="37"/>
        <v>1w</v>
      </c>
      <c r="O2010" s="82">
        <f>_xll.qlCalendarAdvance(Calendar,O2009,N2010,"f",FALSE)</f>
        <v>53393</v>
      </c>
      <c r="P2010" s="92">
        <f>_xll.qlCalendarAdvance(Calendar,O2010,NDays&amp;"D")</f>
        <v>53395</v>
      </c>
      <c r="Q2010" s="81" t="e">
        <v>#N/A</v>
      </c>
      <c r="R2010" s="85" t="e">
        <v>#N/A</v>
      </c>
    </row>
    <row r="2011" spans="14:18" x14ac:dyDescent="0.2">
      <c r="N2011" s="88" t="str">
        <f t="shared" si="37"/>
        <v>1w</v>
      </c>
      <c r="O2011" s="82">
        <f>_xll.qlCalendarAdvance(Calendar,O2010,N2011,"f",FALSE)</f>
        <v>53400</v>
      </c>
      <c r="P2011" s="92">
        <f>_xll.qlCalendarAdvance(Calendar,O2011,NDays&amp;"D")</f>
        <v>53402</v>
      </c>
      <c r="Q2011" s="81" t="e">
        <v>#N/A</v>
      </c>
      <c r="R2011" s="85" t="e">
        <v>#N/A</v>
      </c>
    </row>
    <row r="2012" spans="14:18" x14ac:dyDescent="0.2">
      <c r="N2012" s="88" t="str">
        <f t="shared" si="37"/>
        <v>1w</v>
      </c>
      <c r="O2012" s="82">
        <f>_xll.qlCalendarAdvance(Calendar,O2011,N2012,"f",FALSE)</f>
        <v>53407</v>
      </c>
      <c r="P2012" s="92">
        <f>_xll.qlCalendarAdvance(Calendar,O2012,NDays&amp;"D")</f>
        <v>53413</v>
      </c>
      <c r="Q2012" s="81" t="e">
        <v>#N/A</v>
      </c>
      <c r="R2012" s="85" t="e">
        <v>#N/A</v>
      </c>
    </row>
    <row r="2013" spans="14:18" x14ac:dyDescent="0.2">
      <c r="N2013" s="88" t="str">
        <f t="shared" si="37"/>
        <v>1w</v>
      </c>
      <c r="O2013" s="82">
        <f>_xll.qlCalendarAdvance(Calendar,O2012,N2013,"f",FALSE)</f>
        <v>53414</v>
      </c>
      <c r="P2013" s="92">
        <f>_xll.qlCalendarAdvance(Calendar,O2013,NDays&amp;"D")</f>
        <v>53416</v>
      </c>
      <c r="Q2013" s="81" t="e">
        <v>#N/A</v>
      </c>
      <c r="R2013" s="85" t="e">
        <v>#N/A</v>
      </c>
    </row>
    <row r="2014" spans="14:18" x14ac:dyDescent="0.2">
      <c r="N2014" s="88" t="str">
        <f t="shared" si="37"/>
        <v>1w</v>
      </c>
      <c r="O2014" s="82">
        <f>_xll.qlCalendarAdvance(Calendar,O2013,N2014,"f",FALSE)</f>
        <v>53421</v>
      </c>
      <c r="P2014" s="92">
        <f>_xll.qlCalendarAdvance(Calendar,O2014,NDays&amp;"D")</f>
        <v>53423</v>
      </c>
      <c r="Q2014" s="81" t="e">
        <v>#N/A</v>
      </c>
      <c r="R2014" s="85" t="e">
        <v>#N/A</v>
      </c>
    </row>
    <row r="2015" spans="14:18" x14ac:dyDescent="0.2">
      <c r="N2015" s="88" t="str">
        <f t="shared" si="37"/>
        <v>1w</v>
      </c>
      <c r="O2015" s="82">
        <f>_xll.qlCalendarAdvance(Calendar,O2014,N2015,"f",FALSE)</f>
        <v>53428</v>
      </c>
      <c r="P2015" s="92">
        <f>_xll.qlCalendarAdvance(Calendar,O2015,NDays&amp;"D")</f>
        <v>53430</v>
      </c>
      <c r="Q2015" s="81" t="e">
        <v>#N/A</v>
      </c>
      <c r="R2015" s="85" t="e">
        <v>#N/A</v>
      </c>
    </row>
    <row r="2016" spans="14:18" x14ac:dyDescent="0.2">
      <c r="N2016" s="88" t="str">
        <f t="shared" si="37"/>
        <v>1w</v>
      </c>
      <c r="O2016" s="82">
        <f>_xll.qlCalendarAdvance(Calendar,O2015,N2016,"f",FALSE)</f>
        <v>53435</v>
      </c>
      <c r="P2016" s="92">
        <f>_xll.qlCalendarAdvance(Calendar,O2016,NDays&amp;"D")</f>
        <v>53437</v>
      </c>
      <c r="Q2016" s="81" t="e">
        <v>#N/A</v>
      </c>
      <c r="R2016" s="85" t="e">
        <v>#N/A</v>
      </c>
    </row>
    <row r="2017" spans="14:18" x14ac:dyDescent="0.2">
      <c r="N2017" s="88" t="str">
        <f t="shared" si="37"/>
        <v>1w</v>
      </c>
      <c r="O2017" s="82">
        <f>_xll.qlCalendarAdvance(Calendar,O2016,N2017,"f",FALSE)</f>
        <v>53442</v>
      </c>
      <c r="P2017" s="92">
        <f>_xll.qlCalendarAdvance(Calendar,O2017,NDays&amp;"D")</f>
        <v>53444</v>
      </c>
      <c r="Q2017" s="81" t="e">
        <v>#N/A</v>
      </c>
      <c r="R2017" s="85" t="e">
        <v>#N/A</v>
      </c>
    </row>
    <row r="2018" spans="14:18" x14ac:dyDescent="0.2">
      <c r="N2018" s="88" t="str">
        <f t="shared" si="37"/>
        <v>1w</v>
      </c>
      <c r="O2018" s="82">
        <f>_xll.qlCalendarAdvance(Calendar,O2017,N2018,"f",FALSE)</f>
        <v>53449</v>
      </c>
      <c r="P2018" s="92">
        <f>_xll.qlCalendarAdvance(Calendar,O2018,NDays&amp;"D")</f>
        <v>53454</v>
      </c>
      <c r="Q2018" s="81" t="e">
        <v>#N/A</v>
      </c>
      <c r="R2018" s="85" t="e">
        <v>#N/A</v>
      </c>
    </row>
    <row r="2019" spans="14:18" x14ac:dyDescent="0.2">
      <c r="N2019" s="88" t="str">
        <f t="shared" si="37"/>
        <v>1w</v>
      </c>
      <c r="O2019" s="82">
        <f>_xll.qlCalendarAdvance(Calendar,O2018,N2019,"f",FALSE)</f>
        <v>53456</v>
      </c>
      <c r="P2019" s="92">
        <f>_xll.qlCalendarAdvance(Calendar,O2019,NDays&amp;"D")</f>
        <v>53458</v>
      </c>
      <c r="Q2019" s="81" t="e">
        <v>#N/A</v>
      </c>
      <c r="R2019" s="85" t="e">
        <v>#N/A</v>
      </c>
    </row>
    <row r="2020" spans="14:18" x14ac:dyDescent="0.2">
      <c r="N2020" s="88" t="str">
        <f t="shared" si="37"/>
        <v>1w</v>
      </c>
      <c r="O2020" s="82">
        <f>_xll.qlCalendarAdvance(Calendar,O2019,N2020,"f",FALSE)</f>
        <v>53463</v>
      </c>
      <c r="P2020" s="92">
        <f>_xll.qlCalendarAdvance(Calendar,O2020,NDays&amp;"D")</f>
        <v>53465</v>
      </c>
      <c r="Q2020" s="81" t="e">
        <v>#N/A</v>
      </c>
      <c r="R2020" s="85" t="e">
        <v>#N/A</v>
      </c>
    </row>
    <row r="2021" spans="14:18" x14ac:dyDescent="0.2">
      <c r="N2021" s="88" t="str">
        <f t="shared" si="37"/>
        <v>1w</v>
      </c>
      <c r="O2021" s="82">
        <f>_xll.qlCalendarAdvance(Calendar,O2020,N2021,"f",FALSE)</f>
        <v>53470</v>
      </c>
      <c r="P2021" s="92">
        <f>_xll.qlCalendarAdvance(Calendar,O2021,NDays&amp;"D")</f>
        <v>53472</v>
      </c>
      <c r="Q2021" s="81" t="e">
        <v>#N/A</v>
      </c>
      <c r="R2021" s="85" t="e">
        <v>#N/A</v>
      </c>
    </row>
    <row r="2022" spans="14:18" x14ac:dyDescent="0.2">
      <c r="N2022" s="88" t="str">
        <f t="shared" si="37"/>
        <v>1w</v>
      </c>
      <c r="O2022" s="82">
        <f>_xll.qlCalendarAdvance(Calendar,O2021,N2022,"f",FALSE)</f>
        <v>53477</v>
      </c>
      <c r="P2022" s="92">
        <f>_xll.qlCalendarAdvance(Calendar,O2022,NDays&amp;"D")</f>
        <v>53479</v>
      </c>
      <c r="Q2022" s="81" t="e">
        <v>#N/A</v>
      </c>
      <c r="R2022" s="85" t="e">
        <v>#N/A</v>
      </c>
    </row>
    <row r="2023" spans="14:18" x14ac:dyDescent="0.2">
      <c r="N2023" s="88" t="str">
        <f t="shared" si="37"/>
        <v>1w</v>
      </c>
      <c r="O2023" s="82">
        <f>_xll.qlCalendarAdvance(Calendar,O2022,N2023,"f",FALSE)</f>
        <v>53484</v>
      </c>
      <c r="P2023" s="92">
        <f>_xll.qlCalendarAdvance(Calendar,O2023,NDays&amp;"D")</f>
        <v>53486</v>
      </c>
      <c r="Q2023" s="81" t="e">
        <v>#N/A</v>
      </c>
      <c r="R2023" s="85" t="e">
        <v>#N/A</v>
      </c>
    </row>
    <row r="2024" spans="14:18" x14ac:dyDescent="0.2">
      <c r="N2024" s="88" t="str">
        <f t="shared" si="37"/>
        <v>1w</v>
      </c>
      <c r="O2024" s="82">
        <f>_xll.qlCalendarAdvance(Calendar,O2023,N2024,"f",FALSE)</f>
        <v>53491</v>
      </c>
      <c r="P2024" s="92">
        <f>_xll.qlCalendarAdvance(Calendar,O2024,NDays&amp;"D")</f>
        <v>53493</v>
      </c>
      <c r="Q2024" s="81" t="e">
        <v>#N/A</v>
      </c>
      <c r="R2024" s="85" t="e">
        <v>#N/A</v>
      </c>
    </row>
    <row r="2025" spans="14:18" x14ac:dyDescent="0.2">
      <c r="N2025" s="88" t="str">
        <f t="shared" si="37"/>
        <v>1w</v>
      </c>
      <c r="O2025" s="82">
        <f>_xll.qlCalendarAdvance(Calendar,O2024,N2025,"f",FALSE)</f>
        <v>53498</v>
      </c>
      <c r="P2025" s="92">
        <f>_xll.qlCalendarAdvance(Calendar,O2025,NDays&amp;"D")</f>
        <v>53503</v>
      </c>
      <c r="Q2025" s="81" t="e">
        <v>#N/A</v>
      </c>
      <c r="R2025" s="85" t="e">
        <v>#N/A</v>
      </c>
    </row>
    <row r="2026" spans="14:18" x14ac:dyDescent="0.2">
      <c r="N2026" s="88" t="str">
        <f t="shared" si="37"/>
        <v>1w</v>
      </c>
      <c r="O2026" s="82">
        <f>_xll.qlCalendarAdvance(Calendar,O2025,N2026,"f",FALSE)</f>
        <v>53505</v>
      </c>
      <c r="P2026" s="92">
        <f>_xll.qlCalendarAdvance(Calendar,O2026,NDays&amp;"D")</f>
        <v>53507</v>
      </c>
      <c r="Q2026" s="81" t="e">
        <v>#N/A</v>
      </c>
      <c r="R2026" s="85" t="e">
        <v>#N/A</v>
      </c>
    </row>
    <row r="2027" spans="14:18" x14ac:dyDescent="0.2">
      <c r="N2027" s="88" t="str">
        <f t="shared" si="37"/>
        <v>1w</v>
      </c>
      <c r="O2027" s="82">
        <f>_xll.qlCalendarAdvance(Calendar,O2026,N2027,"f",FALSE)</f>
        <v>53512</v>
      </c>
      <c r="P2027" s="92">
        <f>_xll.qlCalendarAdvance(Calendar,O2027,NDays&amp;"D")</f>
        <v>53514</v>
      </c>
      <c r="Q2027" s="81" t="e">
        <v>#N/A</v>
      </c>
      <c r="R2027" s="85" t="e">
        <v>#N/A</v>
      </c>
    </row>
    <row r="2028" spans="14:18" x14ac:dyDescent="0.2">
      <c r="N2028" s="88" t="str">
        <f t="shared" si="37"/>
        <v>1w</v>
      </c>
      <c r="O2028" s="82">
        <f>_xll.qlCalendarAdvance(Calendar,O2027,N2028,"f",FALSE)</f>
        <v>53519</v>
      </c>
      <c r="P2028" s="92">
        <f>_xll.qlCalendarAdvance(Calendar,O2028,NDays&amp;"D")</f>
        <v>53521</v>
      </c>
      <c r="Q2028" s="81" t="e">
        <v>#N/A</v>
      </c>
      <c r="R2028" s="85" t="e">
        <v>#N/A</v>
      </c>
    </row>
    <row r="2029" spans="14:18" x14ac:dyDescent="0.2">
      <c r="N2029" s="88" t="str">
        <f t="shared" si="37"/>
        <v>1w</v>
      </c>
      <c r="O2029" s="82">
        <f>_xll.qlCalendarAdvance(Calendar,O2028,N2029,"f",FALSE)</f>
        <v>53526</v>
      </c>
      <c r="P2029" s="92">
        <f>_xll.qlCalendarAdvance(Calendar,O2029,NDays&amp;"D")</f>
        <v>53528</v>
      </c>
      <c r="Q2029" s="81" t="e">
        <v>#N/A</v>
      </c>
      <c r="R2029" s="85" t="e">
        <v>#N/A</v>
      </c>
    </row>
    <row r="2030" spans="14:18" x14ac:dyDescent="0.2">
      <c r="N2030" s="88" t="str">
        <f t="shared" si="37"/>
        <v>1w</v>
      </c>
      <c r="O2030" s="82">
        <f>_xll.qlCalendarAdvance(Calendar,O2029,N2030,"f",FALSE)</f>
        <v>53533</v>
      </c>
      <c r="P2030" s="92">
        <f>_xll.qlCalendarAdvance(Calendar,O2030,NDays&amp;"D")</f>
        <v>53535</v>
      </c>
      <c r="Q2030" s="81" t="e">
        <v>#N/A</v>
      </c>
      <c r="R2030" s="85" t="e">
        <v>#N/A</v>
      </c>
    </row>
    <row r="2031" spans="14:18" x14ac:dyDescent="0.2">
      <c r="N2031" s="88" t="str">
        <f t="shared" si="37"/>
        <v>1w</v>
      </c>
      <c r="O2031" s="82">
        <f>_xll.qlCalendarAdvance(Calendar,O2030,N2031,"f",FALSE)</f>
        <v>53540</v>
      </c>
      <c r="P2031" s="92">
        <f>_xll.qlCalendarAdvance(Calendar,O2031,NDays&amp;"D")</f>
        <v>53542</v>
      </c>
      <c r="Q2031" s="81" t="e">
        <v>#N/A</v>
      </c>
      <c r="R2031" s="85" t="e">
        <v>#N/A</v>
      </c>
    </row>
    <row r="2032" spans="14:18" x14ac:dyDescent="0.2">
      <c r="N2032" s="88" t="str">
        <f t="shared" si="37"/>
        <v>1w</v>
      </c>
      <c r="O2032" s="82">
        <f>_xll.qlCalendarAdvance(Calendar,O2031,N2032,"f",FALSE)</f>
        <v>53547</v>
      </c>
      <c r="P2032" s="92">
        <f>_xll.qlCalendarAdvance(Calendar,O2032,NDays&amp;"D")</f>
        <v>53549</v>
      </c>
      <c r="Q2032" s="81" t="e">
        <v>#N/A</v>
      </c>
      <c r="R2032" s="85" t="e">
        <v>#N/A</v>
      </c>
    </row>
    <row r="2033" spans="14:18" x14ac:dyDescent="0.2">
      <c r="N2033" s="88" t="str">
        <f t="shared" si="37"/>
        <v>1w</v>
      </c>
      <c r="O2033" s="82">
        <f>_xll.qlCalendarAdvance(Calendar,O2032,N2033,"f",FALSE)</f>
        <v>53554</v>
      </c>
      <c r="P2033" s="92">
        <f>_xll.qlCalendarAdvance(Calendar,O2033,NDays&amp;"D")</f>
        <v>53556</v>
      </c>
      <c r="Q2033" s="81" t="e">
        <v>#N/A</v>
      </c>
      <c r="R2033" s="85" t="e">
        <v>#N/A</v>
      </c>
    </row>
    <row r="2034" spans="14:18" x14ac:dyDescent="0.2">
      <c r="N2034" s="88" t="str">
        <f t="shared" si="37"/>
        <v>1w</v>
      </c>
      <c r="O2034" s="82">
        <f>_xll.qlCalendarAdvance(Calendar,O2033,N2034,"f",FALSE)</f>
        <v>53561</v>
      </c>
      <c r="P2034" s="92">
        <f>_xll.qlCalendarAdvance(Calendar,O2034,NDays&amp;"D")</f>
        <v>53563</v>
      </c>
      <c r="Q2034" s="81" t="e">
        <v>#N/A</v>
      </c>
      <c r="R2034" s="85" t="e">
        <v>#N/A</v>
      </c>
    </row>
    <row r="2035" spans="14:18" x14ac:dyDescent="0.2">
      <c r="N2035" s="88" t="str">
        <f t="shared" si="37"/>
        <v>1w</v>
      </c>
      <c r="O2035" s="82">
        <f>_xll.qlCalendarAdvance(Calendar,O2034,N2035,"f",FALSE)</f>
        <v>53568</v>
      </c>
      <c r="P2035" s="92">
        <f>_xll.qlCalendarAdvance(Calendar,O2035,NDays&amp;"D")</f>
        <v>53570</v>
      </c>
      <c r="Q2035" s="81" t="e">
        <v>#N/A</v>
      </c>
      <c r="R2035" s="85" t="e">
        <v>#N/A</v>
      </c>
    </row>
    <row r="2036" spans="14:18" x14ac:dyDescent="0.2">
      <c r="N2036" s="88" t="str">
        <f t="shared" si="37"/>
        <v>1w</v>
      </c>
      <c r="O2036" s="82">
        <f>_xll.qlCalendarAdvance(Calendar,O2035,N2036,"f",FALSE)</f>
        <v>53575</v>
      </c>
      <c r="P2036" s="92">
        <f>_xll.qlCalendarAdvance(Calendar,O2036,NDays&amp;"D")</f>
        <v>53577</v>
      </c>
      <c r="Q2036" s="81" t="e">
        <v>#N/A</v>
      </c>
      <c r="R2036" s="85" t="e">
        <v>#N/A</v>
      </c>
    </row>
    <row r="2037" spans="14:18" x14ac:dyDescent="0.2">
      <c r="N2037" s="88" t="str">
        <f t="shared" si="37"/>
        <v>1w</v>
      </c>
      <c r="O2037" s="82">
        <f>_xll.qlCalendarAdvance(Calendar,O2036,N2037,"f",FALSE)</f>
        <v>53582</v>
      </c>
      <c r="P2037" s="92">
        <f>_xll.qlCalendarAdvance(Calendar,O2037,NDays&amp;"D")</f>
        <v>53584</v>
      </c>
      <c r="Q2037" s="81" t="e">
        <v>#N/A</v>
      </c>
      <c r="R2037" s="85" t="e">
        <v>#N/A</v>
      </c>
    </row>
    <row r="2038" spans="14:18" x14ac:dyDescent="0.2">
      <c r="N2038" s="88" t="str">
        <f t="shared" si="37"/>
        <v>1w</v>
      </c>
      <c r="O2038" s="82">
        <f>_xll.qlCalendarAdvance(Calendar,O2037,N2038,"f",FALSE)</f>
        <v>53589</v>
      </c>
      <c r="P2038" s="92">
        <f>_xll.qlCalendarAdvance(Calendar,O2038,NDays&amp;"D")</f>
        <v>53591</v>
      </c>
      <c r="Q2038" s="81" t="e">
        <v>#N/A</v>
      </c>
      <c r="R2038" s="85" t="e">
        <v>#N/A</v>
      </c>
    </row>
    <row r="2039" spans="14:18" x14ac:dyDescent="0.2">
      <c r="N2039" s="88" t="str">
        <f t="shared" si="37"/>
        <v>1w</v>
      </c>
      <c r="O2039" s="82">
        <f>_xll.qlCalendarAdvance(Calendar,O2038,N2039,"f",FALSE)</f>
        <v>53596</v>
      </c>
      <c r="P2039" s="92">
        <f>_xll.qlCalendarAdvance(Calendar,O2039,NDays&amp;"D")</f>
        <v>53598</v>
      </c>
      <c r="Q2039" s="81" t="e">
        <v>#N/A</v>
      </c>
      <c r="R2039" s="85" t="e">
        <v>#N/A</v>
      </c>
    </row>
    <row r="2040" spans="14:18" x14ac:dyDescent="0.2">
      <c r="N2040" s="88" t="str">
        <f t="shared" si="37"/>
        <v>1w</v>
      </c>
      <c r="O2040" s="82">
        <f>_xll.qlCalendarAdvance(Calendar,O2039,N2040,"f",FALSE)</f>
        <v>53603</v>
      </c>
      <c r="P2040" s="92">
        <f>_xll.qlCalendarAdvance(Calendar,O2040,NDays&amp;"D")</f>
        <v>53605</v>
      </c>
      <c r="Q2040" s="81" t="e">
        <v>#N/A</v>
      </c>
      <c r="R2040" s="85" t="e">
        <v>#N/A</v>
      </c>
    </row>
    <row r="2041" spans="14:18" x14ac:dyDescent="0.2">
      <c r="N2041" s="88" t="str">
        <f t="shared" si="37"/>
        <v>1w</v>
      </c>
      <c r="O2041" s="82">
        <f>_xll.qlCalendarAdvance(Calendar,O2040,N2041,"f",FALSE)</f>
        <v>53610</v>
      </c>
      <c r="P2041" s="92">
        <f>_xll.qlCalendarAdvance(Calendar,O2041,NDays&amp;"D")</f>
        <v>53612</v>
      </c>
      <c r="Q2041" s="81" t="e">
        <v>#N/A</v>
      </c>
      <c r="R2041" s="85" t="e">
        <v>#N/A</v>
      </c>
    </row>
    <row r="2042" spans="14:18" x14ac:dyDescent="0.2">
      <c r="N2042" s="88" t="str">
        <f t="shared" si="37"/>
        <v>1w</v>
      </c>
      <c r="O2042" s="82">
        <f>_xll.qlCalendarAdvance(Calendar,O2041,N2042,"f",FALSE)</f>
        <v>53617</v>
      </c>
      <c r="P2042" s="92">
        <f>_xll.qlCalendarAdvance(Calendar,O2042,NDays&amp;"D")</f>
        <v>53619</v>
      </c>
      <c r="Q2042" s="81" t="e">
        <v>#N/A</v>
      </c>
      <c r="R2042" s="85" t="e">
        <v>#N/A</v>
      </c>
    </row>
    <row r="2043" spans="14:18" x14ac:dyDescent="0.2">
      <c r="N2043" s="88" t="str">
        <f t="shared" si="37"/>
        <v>1w</v>
      </c>
      <c r="O2043" s="82">
        <f>_xll.qlCalendarAdvance(Calendar,O2042,N2043,"f",FALSE)</f>
        <v>53624</v>
      </c>
      <c r="P2043" s="92">
        <f>_xll.qlCalendarAdvance(Calendar,O2043,NDays&amp;"D")</f>
        <v>53626</v>
      </c>
      <c r="Q2043" s="81" t="e">
        <v>#N/A</v>
      </c>
      <c r="R2043" s="85" t="e">
        <v>#N/A</v>
      </c>
    </row>
    <row r="2044" spans="14:18" x14ac:dyDescent="0.2">
      <c r="N2044" s="88" t="str">
        <f t="shared" si="37"/>
        <v>1w</v>
      </c>
      <c r="O2044" s="82">
        <f>_xll.qlCalendarAdvance(Calendar,O2043,N2044,"f",FALSE)</f>
        <v>53631</v>
      </c>
      <c r="P2044" s="92">
        <f>_xll.qlCalendarAdvance(Calendar,O2044,NDays&amp;"D")</f>
        <v>53633</v>
      </c>
      <c r="Q2044" s="81" t="e">
        <v>#N/A</v>
      </c>
      <c r="R2044" s="85" t="e">
        <v>#N/A</v>
      </c>
    </row>
    <row r="2045" spans="14:18" x14ac:dyDescent="0.2">
      <c r="N2045" s="88" t="str">
        <f t="shared" si="37"/>
        <v>1w</v>
      </c>
      <c r="O2045" s="82">
        <f>_xll.qlCalendarAdvance(Calendar,O2044,N2045,"f",FALSE)</f>
        <v>53638</v>
      </c>
      <c r="P2045" s="92">
        <f>_xll.qlCalendarAdvance(Calendar,O2045,NDays&amp;"D")</f>
        <v>53640</v>
      </c>
      <c r="Q2045" s="81" t="e">
        <v>#N/A</v>
      </c>
      <c r="R2045" s="85" t="e">
        <v>#N/A</v>
      </c>
    </row>
    <row r="2046" spans="14:18" x14ac:dyDescent="0.2">
      <c r="N2046" s="88" t="str">
        <f t="shared" si="37"/>
        <v>1w</v>
      </c>
      <c r="O2046" s="82">
        <f>_xll.qlCalendarAdvance(Calendar,O2045,N2046,"f",FALSE)</f>
        <v>53645</v>
      </c>
      <c r="P2046" s="92">
        <f>_xll.qlCalendarAdvance(Calendar,O2046,NDays&amp;"D")</f>
        <v>53647</v>
      </c>
      <c r="Q2046" s="81" t="e">
        <v>#N/A</v>
      </c>
      <c r="R2046" s="85" t="e">
        <v>#N/A</v>
      </c>
    </row>
    <row r="2047" spans="14:18" x14ac:dyDescent="0.2">
      <c r="N2047" s="88" t="str">
        <f t="shared" si="37"/>
        <v>1w</v>
      </c>
      <c r="O2047" s="82">
        <f>_xll.qlCalendarAdvance(Calendar,O2046,N2047,"f",FALSE)</f>
        <v>53652</v>
      </c>
      <c r="P2047" s="92">
        <f>_xll.qlCalendarAdvance(Calendar,O2047,NDays&amp;"D")</f>
        <v>53654</v>
      </c>
      <c r="Q2047" s="81" t="e">
        <v>#N/A</v>
      </c>
      <c r="R2047" s="85" t="e">
        <v>#N/A</v>
      </c>
    </row>
    <row r="2048" spans="14:18" x14ac:dyDescent="0.2">
      <c r="N2048" s="88" t="str">
        <f t="shared" si="37"/>
        <v>1w</v>
      </c>
      <c r="O2048" s="82">
        <f>_xll.qlCalendarAdvance(Calendar,O2047,N2048,"f",FALSE)</f>
        <v>53659</v>
      </c>
      <c r="P2048" s="92">
        <f>_xll.qlCalendarAdvance(Calendar,O2048,NDays&amp;"D")</f>
        <v>53661</v>
      </c>
      <c r="Q2048" s="81" t="e">
        <v>#N/A</v>
      </c>
      <c r="R2048" s="85" t="e">
        <v>#N/A</v>
      </c>
    </row>
    <row r="2049" spans="14:18" x14ac:dyDescent="0.2">
      <c r="N2049" s="88" t="str">
        <f t="shared" si="37"/>
        <v>1w</v>
      </c>
      <c r="O2049" s="82">
        <f>_xll.qlCalendarAdvance(Calendar,O2048,N2049,"f",FALSE)</f>
        <v>53666</v>
      </c>
      <c r="P2049" s="92">
        <f>_xll.qlCalendarAdvance(Calendar,O2049,NDays&amp;"D")</f>
        <v>53668</v>
      </c>
      <c r="Q2049" s="81" t="e">
        <v>#N/A</v>
      </c>
      <c r="R2049" s="85" t="e">
        <v>#N/A</v>
      </c>
    </row>
    <row r="2050" spans="14:18" x14ac:dyDescent="0.2">
      <c r="N2050" s="88" t="str">
        <f t="shared" si="37"/>
        <v>1w</v>
      </c>
      <c r="O2050" s="82">
        <f>_xll.qlCalendarAdvance(Calendar,O2049,N2050,"f",FALSE)</f>
        <v>53673</v>
      </c>
      <c r="P2050" s="92">
        <f>_xll.qlCalendarAdvance(Calendar,O2050,NDays&amp;"D")</f>
        <v>53675</v>
      </c>
      <c r="Q2050" s="81" t="e">
        <v>#N/A</v>
      </c>
      <c r="R2050" s="85" t="e">
        <v>#N/A</v>
      </c>
    </row>
    <row r="2051" spans="14:18" x14ac:dyDescent="0.2">
      <c r="N2051" s="88" t="str">
        <f t="shared" si="37"/>
        <v>1w</v>
      </c>
      <c r="O2051" s="82">
        <f>_xll.qlCalendarAdvance(Calendar,O2050,N2051,"f",FALSE)</f>
        <v>53680</v>
      </c>
      <c r="P2051" s="92">
        <f>_xll.qlCalendarAdvance(Calendar,O2051,NDays&amp;"D")</f>
        <v>53682</v>
      </c>
      <c r="Q2051" s="81" t="e">
        <v>#N/A</v>
      </c>
      <c r="R2051" s="85" t="e">
        <v>#N/A</v>
      </c>
    </row>
    <row r="2052" spans="14:18" x14ac:dyDescent="0.2">
      <c r="N2052" s="88" t="str">
        <f t="shared" si="37"/>
        <v>1w</v>
      </c>
      <c r="O2052" s="82">
        <f>_xll.qlCalendarAdvance(Calendar,O2051,N2052,"f",FALSE)</f>
        <v>53688</v>
      </c>
      <c r="P2052" s="92">
        <f>_xll.qlCalendarAdvance(Calendar,O2052,NDays&amp;"D")</f>
        <v>53694</v>
      </c>
      <c r="Q2052" s="81" t="e">
        <v>#N/A</v>
      </c>
      <c r="R2052" s="85" t="e">
        <v>#N/A</v>
      </c>
    </row>
    <row r="2053" spans="14:18" x14ac:dyDescent="0.2">
      <c r="N2053" s="88" t="str">
        <f t="shared" si="37"/>
        <v>1w</v>
      </c>
      <c r="O2053" s="82">
        <f>_xll.qlCalendarAdvance(Calendar,O2052,N2053,"f",FALSE)</f>
        <v>53695</v>
      </c>
      <c r="P2053" s="92">
        <f>_xll.qlCalendarAdvance(Calendar,O2053,NDays&amp;"D")</f>
        <v>53699</v>
      </c>
      <c r="Q2053" s="81" t="e">
        <v>#N/A</v>
      </c>
      <c r="R2053" s="85" t="e">
        <v>#N/A</v>
      </c>
    </row>
    <row r="2054" spans="14:18" x14ac:dyDescent="0.2">
      <c r="N2054" s="88" t="str">
        <f t="shared" si="37"/>
        <v>1w</v>
      </c>
      <c r="O2054" s="82">
        <f>_xll.qlCalendarAdvance(Calendar,O2053,N2054,"f",FALSE)</f>
        <v>53702</v>
      </c>
      <c r="P2054" s="92">
        <f>_xll.qlCalendarAdvance(Calendar,O2054,NDays&amp;"D")</f>
        <v>53706</v>
      </c>
      <c r="Q2054" s="81" t="e">
        <v>#N/A</v>
      </c>
      <c r="R2054" s="85" t="e">
        <v>#N/A</v>
      </c>
    </row>
    <row r="2055" spans="14:18" x14ac:dyDescent="0.2">
      <c r="N2055" s="88" t="str">
        <f t="shared" si="37"/>
        <v>1w</v>
      </c>
      <c r="O2055" s="82">
        <f>_xll.qlCalendarAdvance(Calendar,O2054,N2055,"f",FALSE)</f>
        <v>53709</v>
      </c>
      <c r="P2055" s="92">
        <f>_xll.qlCalendarAdvance(Calendar,O2055,NDays&amp;"D")</f>
        <v>53713</v>
      </c>
      <c r="Q2055" s="81" t="e">
        <v>#N/A</v>
      </c>
      <c r="R2055" s="85" t="e">
        <v>#N/A</v>
      </c>
    </row>
    <row r="2056" spans="14:18" x14ac:dyDescent="0.2">
      <c r="N2056" s="88" t="str">
        <f t="shared" si="37"/>
        <v>1w</v>
      </c>
      <c r="O2056" s="82">
        <f>_xll.qlCalendarAdvance(Calendar,O2055,N2056,"f",FALSE)</f>
        <v>53716</v>
      </c>
      <c r="P2056" s="92">
        <f>_xll.qlCalendarAdvance(Calendar,O2056,NDays&amp;"D")</f>
        <v>53720</v>
      </c>
      <c r="Q2056" s="81" t="e">
        <v>#N/A</v>
      </c>
      <c r="R2056" s="85" t="e">
        <v>#N/A</v>
      </c>
    </row>
    <row r="2057" spans="14:18" x14ac:dyDescent="0.2">
      <c r="N2057" s="88" t="str">
        <f t="shared" si="37"/>
        <v>1w</v>
      </c>
      <c r="O2057" s="82">
        <f>_xll.qlCalendarAdvance(Calendar,O2056,N2057,"f",FALSE)</f>
        <v>53723</v>
      </c>
      <c r="P2057" s="92">
        <f>_xll.qlCalendarAdvance(Calendar,O2057,NDays&amp;"D")</f>
        <v>53727</v>
      </c>
      <c r="Q2057" s="81" t="e">
        <v>#N/A</v>
      </c>
      <c r="R2057" s="85" t="e">
        <v>#N/A</v>
      </c>
    </row>
    <row r="2058" spans="14:18" x14ac:dyDescent="0.2">
      <c r="N2058" s="88" t="str">
        <f t="shared" si="37"/>
        <v>1w</v>
      </c>
      <c r="O2058" s="82">
        <f>_xll.qlCalendarAdvance(Calendar,O2057,N2058,"f",FALSE)</f>
        <v>53730</v>
      </c>
      <c r="P2058" s="92">
        <f>_xll.qlCalendarAdvance(Calendar,O2058,NDays&amp;"D")</f>
        <v>53734</v>
      </c>
      <c r="Q2058" s="81" t="e">
        <v>#N/A</v>
      </c>
      <c r="R2058" s="85" t="e">
        <v>#N/A</v>
      </c>
    </row>
    <row r="2059" spans="14:18" x14ac:dyDescent="0.2">
      <c r="N2059" s="88" t="str">
        <f t="shared" si="37"/>
        <v>1w</v>
      </c>
      <c r="O2059" s="82">
        <f>_xll.qlCalendarAdvance(Calendar,O2058,N2059,"f",FALSE)</f>
        <v>53737</v>
      </c>
      <c r="P2059" s="92">
        <f>_xll.qlCalendarAdvance(Calendar,O2059,NDays&amp;"D")</f>
        <v>53741</v>
      </c>
      <c r="Q2059" s="81" t="e">
        <v>#N/A</v>
      </c>
      <c r="R2059" s="85" t="e">
        <v>#N/A</v>
      </c>
    </row>
    <row r="2060" spans="14:18" x14ac:dyDescent="0.2">
      <c r="N2060" s="88" t="str">
        <f t="shared" si="37"/>
        <v>1w</v>
      </c>
      <c r="O2060" s="82">
        <f>_xll.qlCalendarAdvance(Calendar,O2059,N2060,"f",FALSE)</f>
        <v>53744</v>
      </c>
      <c r="P2060" s="92">
        <f>_xll.qlCalendarAdvance(Calendar,O2060,NDays&amp;"D")</f>
        <v>53748</v>
      </c>
      <c r="Q2060" s="81" t="e">
        <v>#N/A</v>
      </c>
      <c r="R2060" s="85" t="e">
        <v>#N/A</v>
      </c>
    </row>
    <row r="2061" spans="14:18" x14ac:dyDescent="0.2">
      <c r="N2061" s="88" t="str">
        <f t="shared" si="37"/>
        <v>1w</v>
      </c>
      <c r="O2061" s="82">
        <f>_xll.qlCalendarAdvance(Calendar,O2060,N2061,"f",FALSE)</f>
        <v>53751</v>
      </c>
      <c r="P2061" s="92">
        <f>_xll.qlCalendarAdvance(Calendar,O2061,NDays&amp;"D")</f>
        <v>53755</v>
      </c>
      <c r="Q2061" s="81" t="e">
        <v>#N/A</v>
      </c>
      <c r="R2061" s="85" t="e">
        <v>#N/A</v>
      </c>
    </row>
    <row r="2062" spans="14:18" x14ac:dyDescent="0.2">
      <c r="N2062" s="88" t="str">
        <f t="shared" si="37"/>
        <v>1w</v>
      </c>
      <c r="O2062" s="82">
        <f>_xll.qlCalendarAdvance(Calendar,O2061,N2062,"f",FALSE)</f>
        <v>53758</v>
      </c>
      <c r="P2062" s="92">
        <f>_xll.qlCalendarAdvance(Calendar,O2062,NDays&amp;"D")</f>
        <v>53762</v>
      </c>
      <c r="Q2062" s="81" t="e">
        <v>#N/A</v>
      </c>
      <c r="R2062" s="85" t="e">
        <v>#N/A</v>
      </c>
    </row>
    <row r="2063" spans="14:18" x14ac:dyDescent="0.2">
      <c r="N2063" s="88" t="str">
        <f t="shared" si="37"/>
        <v>1w</v>
      </c>
      <c r="O2063" s="82">
        <f>_xll.qlCalendarAdvance(Calendar,O2062,N2063,"f",FALSE)</f>
        <v>53765</v>
      </c>
      <c r="P2063" s="92">
        <f>_xll.qlCalendarAdvance(Calendar,O2063,NDays&amp;"D")</f>
        <v>53769</v>
      </c>
      <c r="Q2063" s="81" t="e">
        <v>#N/A</v>
      </c>
      <c r="R2063" s="85" t="e">
        <v>#N/A</v>
      </c>
    </row>
    <row r="2064" spans="14:18" x14ac:dyDescent="0.2">
      <c r="N2064" s="88" t="str">
        <f t="shared" si="37"/>
        <v>1w</v>
      </c>
      <c r="O2064" s="82">
        <f>_xll.qlCalendarAdvance(Calendar,O2063,N2064,"f",FALSE)</f>
        <v>53772</v>
      </c>
      <c r="P2064" s="92">
        <f>_xll.qlCalendarAdvance(Calendar,O2064,NDays&amp;"D")</f>
        <v>53776</v>
      </c>
      <c r="Q2064" s="81" t="e">
        <v>#N/A</v>
      </c>
      <c r="R2064" s="85" t="e">
        <v>#N/A</v>
      </c>
    </row>
    <row r="2065" spans="14:18" x14ac:dyDescent="0.2">
      <c r="N2065" s="88" t="str">
        <f t="shared" si="37"/>
        <v>1w</v>
      </c>
      <c r="O2065" s="82">
        <f>_xll.qlCalendarAdvance(Calendar,O2064,N2065,"f",FALSE)</f>
        <v>53779</v>
      </c>
      <c r="P2065" s="92">
        <f>_xll.qlCalendarAdvance(Calendar,O2065,NDays&amp;"D")</f>
        <v>53783</v>
      </c>
      <c r="Q2065" s="81" t="e">
        <v>#N/A</v>
      </c>
      <c r="R2065" s="85" t="e">
        <v>#N/A</v>
      </c>
    </row>
    <row r="2066" spans="14:18" x14ac:dyDescent="0.2">
      <c r="N2066" s="88" t="str">
        <f t="shared" si="37"/>
        <v>1w</v>
      </c>
      <c r="O2066" s="82">
        <f>_xll.qlCalendarAdvance(Calendar,O2065,N2066,"f",FALSE)</f>
        <v>53786</v>
      </c>
      <c r="P2066" s="92">
        <f>_xll.qlCalendarAdvance(Calendar,O2066,NDays&amp;"D")</f>
        <v>53790</v>
      </c>
      <c r="Q2066" s="81" t="e">
        <v>#N/A</v>
      </c>
      <c r="R2066" s="85" t="e">
        <v>#N/A</v>
      </c>
    </row>
    <row r="2067" spans="14:18" x14ac:dyDescent="0.2">
      <c r="N2067" s="88" t="str">
        <f t="shared" si="37"/>
        <v>1w</v>
      </c>
      <c r="O2067" s="82">
        <f>_xll.qlCalendarAdvance(Calendar,O2066,N2067,"f",FALSE)</f>
        <v>53793</v>
      </c>
      <c r="P2067" s="92">
        <f>_xll.qlCalendarAdvance(Calendar,O2067,NDays&amp;"D")</f>
        <v>53799</v>
      </c>
      <c r="Q2067" s="81" t="e">
        <v>#N/A</v>
      </c>
      <c r="R2067" s="85" t="e">
        <v>#N/A</v>
      </c>
    </row>
    <row r="2068" spans="14:18" x14ac:dyDescent="0.2">
      <c r="N2068" s="88" t="str">
        <f t="shared" si="37"/>
        <v>1w</v>
      </c>
      <c r="O2068" s="82">
        <f>_xll.qlCalendarAdvance(Calendar,O2067,N2068,"f",FALSE)</f>
        <v>53800</v>
      </c>
      <c r="P2068" s="92">
        <f>_xll.qlCalendarAdvance(Calendar,O2068,NDays&amp;"D")</f>
        <v>53804</v>
      </c>
      <c r="Q2068" s="81" t="e">
        <v>#N/A</v>
      </c>
      <c r="R2068" s="85" t="e">
        <v>#N/A</v>
      </c>
    </row>
    <row r="2069" spans="14:18" x14ac:dyDescent="0.2">
      <c r="N2069" s="88" t="str">
        <f t="shared" ref="N2069:N2132" si="38">N2068</f>
        <v>1w</v>
      </c>
      <c r="O2069" s="82">
        <f>_xll.qlCalendarAdvance(Calendar,O2068,N2069,"f",FALSE)</f>
        <v>53807</v>
      </c>
      <c r="P2069" s="92">
        <f>_xll.qlCalendarAdvance(Calendar,O2069,NDays&amp;"D")</f>
        <v>53811</v>
      </c>
      <c r="Q2069" s="81" t="e">
        <v>#N/A</v>
      </c>
      <c r="R2069" s="85" t="e">
        <v>#N/A</v>
      </c>
    </row>
    <row r="2070" spans="14:18" x14ac:dyDescent="0.2">
      <c r="N2070" s="88" t="str">
        <f t="shared" si="38"/>
        <v>1w</v>
      </c>
      <c r="O2070" s="82">
        <f>_xll.qlCalendarAdvance(Calendar,O2069,N2070,"f",FALSE)</f>
        <v>53814</v>
      </c>
      <c r="P2070" s="92">
        <f>_xll.qlCalendarAdvance(Calendar,O2070,NDays&amp;"D")</f>
        <v>53818</v>
      </c>
      <c r="Q2070" s="81" t="e">
        <v>#N/A</v>
      </c>
      <c r="R2070" s="85" t="e">
        <v>#N/A</v>
      </c>
    </row>
    <row r="2071" spans="14:18" x14ac:dyDescent="0.2">
      <c r="N2071" s="88" t="str">
        <f t="shared" si="38"/>
        <v>1w</v>
      </c>
      <c r="O2071" s="82">
        <f>_xll.qlCalendarAdvance(Calendar,O2070,N2071,"f",FALSE)</f>
        <v>53821</v>
      </c>
      <c r="P2071" s="92">
        <f>_xll.qlCalendarAdvance(Calendar,O2071,NDays&amp;"D")</f>
        <v>53825</v>
      </c>
      <c r="Q2071" s="81" t="e">
        <v>#N/A</v>
      </c>
      <c r="R2071" s="85" t="e">
        <v>#N/A</v>
      </c>
    </row>
    <row r="2072" spans="14:18" x14ac:dyDescent="0.2">
      <c r="N2072" s="88" t="str">
        <f t="shared" si="38"/>
        <v>1w</v>
      </c>
      <c r="O2072" s="82">
        <f>_xll.qlCalendarAdvance(Calendar,O2071,N2072,"f",FALSE)</f>
        <v>53828</v>
      </c>
      <c r="P2072" s="92">
        <f>_xll.qlCalendarAdvance(Calendar,O2072,NDays&amp;"D")</f>
        <v>53832</v>
      </c>
      <c r="Q2072" s="81" t="e">
        <v>#N/A</v>
      </c>
      <c r="R2072" s="85" t="e">
        <v>#N/A</v>
      </c>
    </row>
    <row r="2073" spans="14:18" x14ac:dyDescent="0.2">
      <c r="N2073" s="88" t="str">
        <f t="shared" si="38"/>
        <v>1w</v>
      </c>
      <c r="O2073" s="82">
        <f>_xll.qlCalendarAdvance(Calendar,O2072,N2073,"f",FALSE)</f>
        <v>53836</v>
      </c>
      <c r="P2073" s="92">
        <f>_xll.qlCalendarAdvance(Calendar,O2073,NDays&amp;"D")</f>
        <v>53840</v>
      </c>
      <c r="Q2073" s="81" t="e">
        <v>#N/A</v>
      </c>
      <c r="R2073" s="85" t="e">
        <v>#N/A</v>
      </c>
    </row>
    <row r="2074" spans="14:18" x14ac:dyDescent="0.2">
      <c r="N2074" s="88" t="str">
        <f t="shared" si="38"/>
        <v>1w</v>
      </c>
      <c r="O2074" s="82">
        <f>_xll.qlCalendarAdvance(Calendar,O2073,N2074,"f",FALSE)</f>
        <v>53843</v>
      </c>
      <c r="P2074" s="92">
        <f>_xll.qlCalendarAdvance(Calendar,O2074,NDays&amp;"D")</f>
        <v>53848</v>
      </c>
      <c r="Q2074" s="81" t="e">
        <v>#N/A</v>
      </c>
      <c r="R2074" s="85" t="e">
        <v>#N/A</v>
      </c>
    </row>
    <row r="2075" spans="14:18" x14ac:dyDescent="0.2">
      <c r="N2075" s="88" t="str">
        <f t="shared" si="38"/>
        <v>1w</v>
      </c>
      <c r="O2075" s="82">
        <f>_xll.qlCalendarAdvance(Calendar,O2074,N2075,"f",FALSE)</f>
        <v>53850</v>
      </c>
      <c r="P2075" s="92">
        <f>_xll.qlCalendarAdvance(Calendar,O2075,NDays&amp;"D")</f>
        <v>53854</v>
      </c>
      <c r="Q2075" s="81" t="e">
        <v>#N/A</v>
      </c>
      <c r="R2075" s="85" t="e">
        <v>#N/A</v>
      </c>
    </row>
    <row r="2076" spans="14:18" x14ac:dyDescent="0.2">
      <c r="N2076" s="88" t="str">
        <f t="shared" si="38"/>
        <v>1w</v>
      </c>
      <c r="O2076" s="82">
        <f>_xll.qlCalendarAdvance(Calendar,O2075,N2076,"f",FALSE)</f>
        <v>53857</v>
      </c>
      <c r="P2076" s="92">
        <f>_xll.qlCalendarAdvance(Calendar,O2076,NDays&amp;"D")</f>
        <v>53861</v>
      </c>
      <c r="Q2076" s="81" t="e">
        <v>#N/A</v>
      </c>
      <c r="R2076" s="85" t="e">
        <v>#N/A</v>
      </c>
    </row>
    <row r="2077" spans="14:18" x14ac:dyDescent="0.2">
      <c r="N2077" s="88" t="str">
        <f t="shared" si="38"/>
        <v>1w</v>
      </c>
      <c r="O2077" s="82">
        <f>_xll.qlCalendarAdvance(Calendar,O2076,N2077,"f",FALSE)</f>
        <v>53867</v>
      </c>
      <c r="P2077" s="92">
        <f>_xll.qlCalendarAdvance(Calendar,O2077,NDays&amp;"D")</f>
        <v>53869</v>
      </c>
      <c r="Q2077" s="81" t="e">
        <v>#N/A</v>
      </c>
      <c r="R2077" s="85" t="e">
        <v>#N/A</v>
      </c>
    </row>
    <row r="2078" spans="14:18" x14ac:dyDescent="0.2">
      <c r="N2078" s="88" t="str">
        <f t="shared" si="38"/>
        <v>1w</v>
      </c>
      <c r="O2078" s="82">
        <f>_xll.qlCalendarAdvance(Calendar,O2077,N2078,"f",FALSE)</f>
        <v>53874</v>
      </c>
      <c r="P2078" s="92">
        <f>_xll.qlCalendarAdvance(Calendar,O2078,NDays&amp;"D")</f>
        <v>53876</v>
      </c>
      <c r="Q2078" s="81" t="e">
        <v>#N/A</v>
      </c>
      <c r="R2078" s="85" t="e">
        <v>#N/A</v>
      </c>
    </row>
    <row r="2079" spans="14:18" x14ac:dyDescent="0.2">
      <c r="N2079" s="88" t="str">
        <f t="shared" si="38"/>
        <v>1w</v>
      </c>
      <c r="O2079" s="82">
        <f>_xll.qlCalendarAdvance(Calendar,O2078,N2079,"f",FALSE)</f>
        <v>53881</v>
      </c>
      <c r="P2079" s="92">
        <f>_xll.qlCalendarAdvance(Calendar,O2079,NDays&amp;"D")</f>
        <v>53883</v>
      </c>
      <c r="Q2079" s="81" t="e">
        <v>#N/A</v>
      </c>
      <c r="R2079" s="85" t="e">
        <v>#N/A</v>
      </c>
    </row>
    <row r="2080" spans="14:18" x14ac:dyDescent="0.2">
      <c r="N2080" s="88" t="str">
        <f t="shared" si="38"/>
        <v>1w</v>
      </c>
      <c r="O2080" s="82">
        <f>_xll.qlCalendarAdvance(Calendar,O2079,N2080,"f",FALSE)</f>
        <v>53888</v>
      </c>
      <c r="P2080" s="92">
        <f>_xll.qlCalendarAdvance(Calendar,O2080,NDays&amp;"D")</f>
        <v>53890</v>
      </c>
      <c r="Q2080" s="81" t="e">
        <v>#N/A</v>
      </c>
      <c r="R2080" s="85" t="e">
        <v>#N/A</v>
      </c>
    </row>
    <row r="2081" spans="14:18" x14ac:dyDescent="0.2">
      <c r="N2081" s="88" t="str">
        <f t="shared" si="38"/>
        <v>1w</v>
      </c>
      <c r="O2081" s="82">
        <f>_xll.qlCalendarAdvance(Calendar,O2080,N2081,"f",FALSE)</f>
        <v>53895</v>
      </c>
      <c r="P2081" s="92">
        <f>_xll.qlCalendarAdvance(Calendar,O2081,NDays&amp;"D")</f>
        <v>53897</v>
      </c>
      <c r="Q2081" s="81" t="e">
        <v>#N/A</v>
      </c>
      <c r="R2081" s="85" t="e">
        <v>#N/A</v>
      </c>
    </row>
    <row r="2082" spans="14:18" x14ac:dyDescent="0.2">
      <c r="N2082" s="88" t="str">
        <f t="shared" si="38"/>
        <v>1w</v>
      </c>
      <c r="O2082" s="82">
        <f>_xll.qlCalendarAdvance(Calendar,O2081,N2082,"f",FALSE)</f>
        <v>53902</v>
      </c>
      <c r="P2082" s="92">
        <f>_xll.qlCalendarAdvance(Calendar,O2082,NDays&amp;"D")</f>
        <v>53904</v>
      </c>
      <c r="Q2082" s="81" t="e">
        <v>#N/A</v>
      </c>
      <c r="R2082" s="85" t="e">
        <v>#N/A</v>
      </c>
    </row>
    <row r="2083" spans="14:18" x14ac:dyDescent="0.2">
      <c r="N2083" s="88" t="str">
        <f t="shared" si="38"/>
        <v>1w</v>
      </c>
      <c r="O2083" s="82">
        <f>_xll.qlCalendarAdvance(Calendar,O2082,N2083,"f",FALSE)</f>
        <v>53909</v>
      </c>
      <c r="P2083" s="92">
        <f>_xll.qlCalendarAdvance(Calendar,O2083,NDays&amp;"D")</f>
        <v>53911</v>
      </c>
      <c r="Q2083" s="81" t="e">
        <v>#N/A</v>
      </c>
      <c r="R2083" s="85" t="e">
        <v>#N/A</v>
      </c>
    </row>
    <row r="2084" spans="14:18" x14ac:dyDescent="0.2">
      <c r="N2084" s="88" t="str">
        <f t="shared" si="38"/>
        <v>1w</v>
      </c>
      <c r="O2084" s="82">
        <f>_xll.qlCalendarAdvance(Calendar,O2083,N2084,"f",FALSE)</f>
        <v>53916</v>
      </c>
      <c r="P2084" s="92">
        <f>_xll.qlCalendarAdvance(Calendar,O2084,NDays&amp;"D")</f>
        <v>53918</v>
      </c>
      <c r="Q2084" s="81" t="e">
        <v>#N/A</v>
      </c>
      <c r="R2084" s="85" t="e">
        <v>#N/A</v>
      </c>
    </row>
    <row r="2085" spans="14:18" x14ac:dyDescent="0.2">
      <c r="N2085" s="88" t="str">
        <f t="shared" si="38"/>
        <v>1w</v>
      </c>
      <c r="O2085" s="82">
        <f>_xll.qlCalendarAdvance(Calendar,O2084,N2085,"f",FALSE)</f>
        <v>53923</v>
      </c>
      <c r="P2085" s="92">
        <f>_xll.qlCalendarAdvance(Calendar,O2085,NDays&amp;"D")</f>
        <v>53925</v>
      </c>
      <c r="Q2085" s="81" t="e">
        <v>#N/A</v>
      </c>
      <c r="R2085" s="85" t="e">
        <v>#N/A</v>
      </c>
    </row>
    <row r="2086" spans="14:18" x14ac:dyDescent="0.2">
      <c r="N2086" s="88" t="str">
        <f t="shared" si="38"/>
        <v>1w</v>
      </c>
      <c r="O2086" s="82">
        <f>_xll.qlCalendarAdvance(Calendar,O2085,N2086,"f",FALSE)</f>
        <v>53930</v>
      </c>
      <c r="P2086" s="92">
        <f>_xll.qlCalendarAdvance(Calendar,O2086,NDays&amp;"D")</f>
        <v>53932</v>
      </c>
      <c r="Q2086" s="81" t="e">
        <v>#N/A</v>
      </c>
      <c r="R2086" s="85" t="e">
        <v>#N/A</v>
      </c>
    </row>
    <row r="2087" spans="14:18" x14ac:dyDescent="0.2">
      <c r="N2087" s="88" t="str">
        <f t="shared" si="38"/>
        <v>1w</v>
      </c>
      <c r="O2087" s="82">
        <f>_xll.qlCalendarAdvance(Calendar,O2086,N2087,"f",FALSE)</f>
        <v>53937</v>
      </c>
      <c r="P2087" s="92">
        <f>_xll.qlCalendarAdvance(Calendar,O2087,NDays&amp;"D")</f>
        <v>53939</v>
      </c>
      <c r="Q2087" s="81" t="e">
        <v>#N/A</v>
      </c>
      <c r="R2087" s="85" t="e">
        <v>#N/A</v>
      </c>
    </row>
    <row r="2088" spans="14:18" x14ac:dyDescent="0.2">
      <c r="N2088" s="88" t="str">
        <f t="shared" si="38"/>
        <v>1w</v>
      </c>
      <c r="O2088" s="82">
        <f>_xll.qlCalendarAdvance(Calendar,O2087,N2088,"f",FALSE)</f>
        <v>53944</v>
      </c>
      <c r="P2088" s="92">
        <f>_xll.qlCalendarAdvance(Calendar,O2088,NDays&amp;"D")</f>
        <v>53946</v>
      </c>
      <c r="Q2088" s="81" t="e">
        <v>#N/A</v>
      </c>
      <c r="R2088" s="85" t="e">
        <v>#N/A</v>
      </c>
    </row>
    <row r="2089" spans="14:18" x14ac:dyDescent="0.2">
      <c r="N2089" s="88" t="str">
        <f t="shared" si="38"/>
        <v>1w</v>
      </c>
      <c r="O2089" s="82">
        <f>_xll.qlCalendarAdvance(Calendar,O2088,N2089,"f",FALSE)</f>
        <v>53951</v>
      </c>
      <c r="P2089" s="92">
        <f>_xll.qlCalendarAdvance(Calendar,O2089,NDays&amp;"D")</f>
        <v>53953</v>
      </c>
      <c r="Q2089" s="81" t="e">
        <v>#N/A</v>
      </c>
      <c r="R2089" s="85" t="e">
        <v>#N/A</v>
      </c>
    </row>
    <row r="2090" spans="14:18" x14ac:dyDescent="0.2">
      <c r="N2090" s="88" t="str">
        <f t="shared" si="38"/>
        <v>1w</v>
      </c>
      <c r="O2090" s="82">
        <f>_xll.qlCalendarAdvance(Calendar,O2089,N2090,"f",FALSE)</f>
        <v>53958</v>
      </c>
      <c r="P2090" s="92">
        <f>_xll.qlCalendarAdvance(Calendar,O2090,NDays&amp;"D")</f>
        <v>53960</v>
      </c>
      <c r="Q2090" s="81" t="e">
        <v>#N/A</v>
      </c>
      <c r="R2090" s="85" t="e">
        <v>#N/A</v>
      </c>
    </row>
    <row r="2091" spans="14:18" x14ac:dyDescent="0.2">
      <c r="N2091" s="88" t="str">
        <f t="shared" si="38"/>
        <v>1w</v>
      </c>
      <c r="O2091" s="82">
        <f>_xll.qlCalendarAdvance(Calendar,O2090,N2091,"f",FALSE)</f>
        <v>53965</v>
      </c>
      <c r="P2091" s="92">
        <f>_xll.qlCalendarAdvance(Calendar,O2091,NDays&amp;"D")</f>
        <v>53967</v>
      </c>
      <c r="Q2091" s="81" t="e">
        <v>#N/A</v>
      </c>
      <c r="R2091" s="85" t="e">
        <v>#N/A</v>
      </c>
    </row>
    <row r="2092" spans="14:18" x14ac:dyDescent="0.2">
      <c r="N2092" s="88" t="str">
        <f t="shared" si="38"/>
        <v>1w</v>
      </c>
      <c r="O2092" s="82">
        <f>_xll.qlCalendarAdvance(Calendar,O2091,N2092,"f",FALSE)</f>
        <v>53972</v>
      </c>
      <c r="P2092" s="92">
        <f>_xll.qlCalendarAdvance(Calendar,O2092,NDays&amp;"D")</f>
        <v>53974</v>
      </c>
      <c r="Q2092" s="81" t="e">
        <v>#N/A</v>
      </c>
      <c r="R2092" s="85" t="e">
        <v>#N/A</v>
      </c>
    </row>
    <row r="2093" spans="14:18" x14ac:dyDescent="0.2">
      <c r="N2093" s="88" t="str">
        <f t="shared" si="38"/>
        <v>1w</v>
      </c>
      <c r="O2093" s="82">
        <f>_xll.qlCalendarAdvance(Calendar,O2092,N2093,"f",FALSE)</f>
        <v>53979</v>
      </c>
      <c r="P2093" s="92">
        <f>_xll.qlCalendarAdvance(Calendar,O2093,NDays&amp;"D")</f>
        <v>53981</v>
      </c>
      <c r="Q2093" s="81" t="e">
        <v>#N/A</v>
      </c>
      <c r="R2093" s="85" t="e">
        <v>#N/A</v>
      </c>
    </row>
    <row r="2094" spans="14:18" x14ac:dyDescent="0.2">
      <c r="N2094" s="88" t="str">
        <f t="shared" si="38"/>
        <v>1w</v>
      </c>
      <c r="O2094" s="82">
        <f>_xll.qlCalendarAdvance(Calendar,O2093,N2094,"f",FALSE)</f>
        <v>53986</v>
      </c>
      <c r="P2094" s="92">
        <f>_xll.qlCalendarAdvance(Calendar,O2094,NDays&amp;"D")</f>
        <v>53988</v>
      </c>
      <c r="Q2094" s="81" t="e">
        <v>#N/A</v>
      </c>
      <c r="R2094" s="85" t="e">
        <v>#N/A</v>
      </c>
    </row>
    <row r="2095" spans="14:18" x14ac:dyDescent="0.2">
      <c r="N2095" s="88" t="str">
        <f t="shared" si="38"/>
        <v>1w</v>
      </c>
      <c r="O2095" s="82">
        <f>_xll.qlCalendarAdvance(Calendar,O2094,N2095,"f",FALSE)</f>
        <v>53993</v>
      </c>
      <c r="P2095" s="92">
        <f>_xll.qlCalendarAdvance(Calendar,O2095,NDays&amp;"D")</f>
        <v>53995</v>
      </c>
      <c r="Q2095" s="81" t="e">
        <v>#N/A</v>
      </c>
      <c r="R2095" s="85" t="e">
        <v>#N/A</v>
      </c>
    </row>
    <row r="2096" spans="14:18" x14ac:dyDescent="0.2">
      <c r="N2096" s="88" t="str">
        <f t="shared" si="38"/>
        <v>1w</v>
      </c>
      <c r="O2096" s="82">
        <f>_xll.qlCalendarAdvance(Calendar,O2095,N2096,"f",FALSE)</f>
        <v>54000</v>
      </c>
      <c r="P2096" s="92">
        <f>_xll.qlCalendarAdvance(Calendar,O2096,NDays&amp;"D")</f>
        <v>54002</v>
      </c>
      <c r="Q2096" s="81" t="e">
        <v>#N/A</v>
      </c>
      <c r="R2096" s="85" t="e">
        <v>#N/A</v>
      </c>
    </row>
    <row r="2097" spans="14:18" x14ac:dyDescent="0.2">
      <c r="N2097" s="88" t="str">
        <f t="shared" si="38"/>
        <v>1w</v>
      </c>
      <c r="O2097" s="82">
        <f>_xll.qlCalendarAdvance(Calendar,O2096,N2097,"f",FALSE)</f>
        <v>54007</v>
      </c>
      <c r="P2097" s="92">
        <f>_xll.qlCalendarAdvance(Calendar,O2097,NDays&amp;"D")</f>
        <v>54009</v>
      </c>
      <c r="Q2097" s="81" t="e">
        <v>#N/A</v>
      </c>
      <c r="R2097" s="85" t="e">
        <v>#N/A</v>
      </c>
    </row>
    <row r="2098" spans="14:18" x14ac:dyDescent="0.2">
      <c r="N2098" s="88" t="str">
        <f t="shared" si="38"/>
        <v>1w</v>
      </c>
      <c r="O2098" s="82">
        <f>_xll.qlCalendarAdvance(Calendar,O2097,N2098,"f",FALSE)</f>
        <v>54014</v>
      </c>
      <c r="P2098" s="92">
        <f>_xll.qlCalendarAdvance(Calendar,O2098,NDays&amp;"D")</f>
        <v>54016</v>
      </c>
      <c r="Q2098" s="81" t="e">
        <v>#N/A</v>
      </c>
      <c r="R2098" s="85" t="e">
        <v>#N/A</v>
      </c>
    </row>
    <row r="2099" spans="14:18" x14ac:dyDescent="0.2">
      <c r="N2099" s="88" t="str">
        <f t="shared" si="38"/>
        <v>1w</v>
      </c>
      <c r="O2099" s="82">
        <f>_xll.qlCalendarAdvance(Calendar,O2098,N2099,"f",FALSE)</f>
        <v>54021</v>
      </c>
      <c r="P2099" s="92">
        <f>_xll.qlCalendarAdvance(Calendar,O2099,NDays&amp;"D")</f>
        <v>54023</v>
      </c>
      <c r="Q2099" s="81" t="e">
        <v>#N/A</v>
      </c>
      <c r="R2099" s="85" t="e">
        <v>#N/A</v>
      </c>
    </row>
    <row r="2100" spans="14:18" x14ac:dyDescent="0.2">
      <c r="N2100" s="88" t="str">
        <f t="shared" si="38"/>
        <v>1w</v>
      </c>
      <c r="O2100" s="82">
        <f>_xll.qlCalendarAdvance(Calendar,O2099,N2100,"f",FALSE)</f>
        <v>54028</v>
      </c>
      <c r="P2100" s="92">
        <f>_xll.qlCalendarAdvance(Calendar,O2100,NDays&amp;"D")</f>
        <v>54030</v>
      </c>
      <c r="Q2100" s="81" t="e">
        <v>#N/A</v>
      </c>
      <c r="R2100" s="85" t="e">
        <v>#N/A</v>
      </c>
    </row>
    <row r="2101" spans="14:18" x14ac:dyDescent="0.2">
      <c r="N2101" s="88" t="str">
        <f t="shared" si="38"/>
        <v>1w</v>
      </c>
      <c r="O2101" s="82">
        <f>_xll.qlCalendarAdvance(Calendar,O2100,N2101,"f",FALSE)</f>
        <v>54035</v>
      </c>
      <c r="P2101" s="92">
        <f>_xll.qlCalendarAdvance(Calendar,O2101,NDays&amp;"D")</f>
        <v>54037</v>
      </c>
      <c r="Q2101" s="81" t="e">
        <v>#N/A</v>
      </c>
      <c r="R2101" s="85" t="e">
        <v>#N/A</v>
      </c>
    </row>
    <row r="2102" spans="14:18" x14ac:dyDescent="0.2">
      <c r="N2102" s="88" t="str">
        <f t="shared" si="38"/>
        <v>1w</v>
      </c>
      <c r="O2102" s="82">
        <f>_xll.qlCalendarAdvance(Calendar,O2101,N2102,"f",FALSE)</f>
        <v>54042</v>
      </c>
      <c r="P2102" s="92">
        <f>_xll.qlCalendarAdvance(Calendar,O2102,NDays&amp;"D")</f>
        <v>54044</v>
      </c>
      <c r="Q2102" s="81" t="e">
        <v>#N/A</v>
      </c>
      <c r="R2102" s="85" t="e">
        <v>#N/A</v>
      </c>
    </row>
    <row r="2103" spans="14:18" x14ac:dyDescent="0.2">
      <c r="N2103" s="88" t="str">
        <f t="shared" si="38"/>
        <v>1w</v>
      </c>
      <c r="O2103" s="82">
        <f>_xll.qlCalendarAdvance(Calendar,O2102,N2103,"f",FALSE)</f>
        <v>54049</v>
      </c>
      <c r="P2103" s="92">
        <f>_xll.qlCalendarAdvance(Calendar,O2103,NDays&amp;"D")</f>
        <v>54056</v>
      </c>
      <c r="Q2103" s="81" t="e">
        <v>#N/A</v>
      </c>
      <c r="R2103" s="85" t="e">
        <v>#N/A</v>
      </c>
    </row>
    <row r="2104" spans="14:18" x14ac:dyDescent="0.2">
      <c r="N2104" s="88" t="str">
        <f t="shared" si="38"/>
        <v>1w</v>
      </c>
      <c r="O2104" s="82">
        <f>_xll.qlCalendarAdvance(Calendar,O2103,N2104,"f",FALSE)</f>
        <v>54056</v>
      </c>
      <c r="P2104" s="92">
        <f>_xll.qlCalendarAdvance(Calendar,O2104,NDays&amp;"D")</f>
        <v>54060</v>
      </c>
      <c r="Q2104" s="81" t="e">
        <v>#N/A</v>
      </c>
      <c r="R2104" s="85" t="e">
        <v>#N/A</v>
      </c>
    </row>
    <row r="2105" spans="14:18" x14ac:dyDescent="0.2">
      <c r="N2105" s="88" t="str">
        <f t="shared" si="38"/>
        <v>1w</v>
      </c>
      <c r="O2105" s="82">
        <f>_xll.qlCalendarAdvance(Calendar,O2104,N2105,"f",FALSE)</f>
        <v>54064</v>
      </c>
      <c r="P2105" s="92">
        <f>_xll.qlCalendarAdvance(Calendar,O2105,NDays&amp;"D")</f>
        <v>54066</v>
      </c>
      <c r="Q2105" s="81" t="e">
        <v>#N/A</v>
      </c>
      <c r="R2105" s="85" t="e">
        <v>#N/A</v>
      </c>
    </row>
    <row r="2106" spans="14:18" x14ac:dyDescent="0.2">
      <c r="N2106" s="88" t="str">
        <f t="shared" si="38"/>
        <v>1w</v>
      </c>
      <c r="O2106" s="82">
        <f>_xll.qlCalendarAdvance(Calendar,O2105,N2106,"f",FALSE)</f>
        <v>54071</v>
      </c>
      <c r="P2106" s="92">
        <f>_xll.qlCalendarAdvance(Calendar,O2106,NDays&amp;"D")</f>
        <v>54073</v>
      </c>
      <c r="Q2106" s="81" t="e">
        <v>#N/A</v>
      </c>
      <c r="R2106" s="85" t="e">
        <v>#N/A</v>
      </c>
    </row>
    <row r="2107" spans="14:18" x14ac:dyDescent="0.2">
      <c r="N2107" s="88" t="str">
        <f t="shared" si="38"/>
        <v>1w</v>
      </c>
      <c r="O2107" s="82">
        <f>_xll.qlCalendarAdvance(Calendar,O2106,N2107,"f",FALSE)</f>
        <v>54078</v>
      </c>
      <c r="P2107" s="92">
        <f>_xll.qlCalendarAdvance(Calendar,O2107,NDays&amp;"D")</f>
        <v>54080</v>
      </c>
      <c r="Q2107" s="81" t="e">
        <v>#N/A</v>
      </c>
      <c r="R2107" s="85" t="e">
        <v>#N/A</v>
      </c>
    </row>
    <row r="2108" spans="14:18" x14ac:dyDescent="0.2">
      <c r="N2108" s="88" t="str">
        <f t="shared" si="38"/>
        <v>1w</v>
      </c>
      <c r="O2108" s="82">
        <f>_xll.qlCalendarAdvance(Calendar,O2107,N2108,"f",FALSE)</f>
        <v>54085</v>
      </c>
      <c r="P2108" s="92">
        <f>_xll.qlCalendarAdvance(Calendar,O2108,NDays&amp;"D")</f>
        <v>54087</v>
      </c>
      <c r="Q2108" s="81" t="e">
        <v>#N/A</v>
      </c>
      <c r="R2108" s="85" t="e">
        <v>#N/A</v>
      </c>
    </row>
    <row r="2109" spans="14:18" x14ac:dyDescent="0.2">
      <c r="N2109" s="88" t="str">
        <f t="shared" si="38"/>
        <v>1w</v>
      </c>
      <c r="O2109" s="82">
        <f>_xll.qlCalendarAdvance(Calendar,O2108,N2109,"f",FALSE)</f>
        <v>54092</v>
      </c>
      <c r="P2109" s="92">
        <f>_xll.qlCalendarAdvance(Calendar,O2109,NDays&amp;"D")</f>
        <v>54094</v>
      </c>
      <c r="Q2109" s="81" t="e">
        <v>#N/A</v>
      </c>
      <c r="R2109" s="85" t="e">
        <v>#N/A</v>
      </c>
    </row>
    <row r="2110" spans="14:18" x14ac:dyDescent="0.2">
      <c r="N2110" s="88" t="str">
        <f t="shared" si="38"/>
        <v>1w</v>
      </c>
      <c r="O2110" s="82">
        <f>_xll.qlCalendarAdvance(Calendar,O2109,N2110,"f",FALSE)</f>
        <v>54099</v>
      </c>
      <c r="P2110" s="92">
        <f>_xll.qlCalendarAdvance(Calendar,O2110,NDays&amp;"D")</f>
        <v>54101</v>
      </c>
      <c r="Q2110" s="81" t="e">
        <v>#N/A</v>
      </c>
      <c r="R2110" s="85" t="e">
        <v>#N/A</v>
      </c>
    </row>
    <row r="2111" spans="14:18" x14ac:dyDescent="0.2">
      <c r="N2111" s="88" t="str">
        <f t="shared" si="38"/>
        <v>1w</v>
      </c>
      <c r="O2111" s="82">
        <f>_xll.qlCalendarAdvance(Calendar,O2110,N2111,"f",FALSE)</f>
        <v>54106</v>
      </c>
      <c r="P2111" s="92">
        <f>_xll.qlCalendarAdvance(Calendar,O2111,NDays&amp;"D")</f>
        <v>54108</v>
      </c>
      <c r="Q2111" s="81" t="e">
        <v>#N/A</v>
      </c>
      <c r="R2111" s="85" t="e">
        <v>#N/A</v>
      </c>
    </row>
    <row r="2112" spans="14:18" x14ac:dyDescent="0.2">
      <c r="N2112" s="88" t="str">
        <f t="shared" si="38"/>
        <v>1w</v>
      </c>
      <c r="O2112" s="82">
        <f>_xll.qlCalendarAdvance(Calendar,O2111,N2112,"f",FALSE)</f>
        <v>54113</v>
      </c>
      <c r="P2112" s="92">
        <f>_xll.qlCalendarAdvance(Calendar,O2112,NDays&amp;"D")</f>
        <v>54115</v>
      </c>
      <c r="Q2112" s="81" t="e">
        <v>#N/A</v>
      </c>
      <c r="R2112" s="85" t="e">
        <v>#N/A</v>
      </c>
    </row>
    <row r="2113" spans="14:18" x14ac:dyDescent="0.2">
      <c r="N2113" s="88" t="str">
        <f t="shared" si="38"/>
        <v>1w</v>
      </c>
      <c r="O2113" s="82">
        <f>_xll.qlCalendarAdvance(Calendar,O2112,N2113,"f",FALSE)</f>
        <v>54120</v>
      </c>
      <c r="P2113" s="92">
        <f>_xll.qlCalendarAdvance(Calendar,O2113,NDays&amp;"D")</f>
        <v>54122</v>
      </c>
      <c r="Q2113" s="81" t="e">
        <v>#N/A</v>
      </c>
      <c r="R2113" s="85" t="e">
        <v>#N/A</v>
      </c>
    </row>
    <row r="2114" spans="14:18" x14ac:dyDescent="0.2">
      <c r="N2114" s="88" t="str">
        <f t="shared" si="38"/>
        <v>1w</v>
      </c>
      <c r="O2114" s="82">
        <f>_xll.qlCalendarAdvance(Calendar,O2113,N2114,"f",FALSE)</f>
        <v>54127</v>
      </c>
      <c r="P2114" s="92">
        <f>_xll.qlCalendarAdvance(Calendar,O2114,NDays&amp;"D")</f>
        <v>54129</v>
      </c>
      <c r="Q2114" s="81" t="e">
        <v>#N/A</v>
      </c>
      <c r="R2114" s="85" t="e">
        <v>#N/A</v>
      </c>
    </row>
    <row r="2115" spans="14:18" x14ac:dyDescent="0.2">
      <c r="N2115" s="88" t="str">
        <f t="shared" si="38"/>
        <v>1w</v>
      </c>
      <c r="O2115" s="82">
        <f>_xll.qlCalendarAdvance(Calendar,O2114,N2115,"f",FALSE)</f>
        <v>54134</v>
      </c>
      <c r="P2115" s="92">
        <f>_xll.qlCalendarAdvance(Calendar,O2115,NDays&amp;"D")</f>
        <v>54136</v>
      </c>
      <c r="Q2115" s="81" t="e">
        <v>#N/A</v>
      </c>
      <c r="R2115" s="85" t="e">
        <v>#N/A</v>
      </c>
    </row>
    <row r="2116" spans="14:18" x14ac:dyDescent="0.2">
      <c r="N2116" s="88" t="str">
        <f t="shared" si="38"/>
        <v>1w</v>
      </c>
      <c r="O2116" s="82">
        <f>_xll.qlCalendarAdvance(Calendar,O2115,N2116,"f",FALSE)</f>
        <v>54141</v>
      </c>
      <c r="P2116" s="92">
        <f>_xll.qlCalendarAdvance(Calendar,O2116,NDays&amp;"D")</f>
        <v>54143</v>
      </c>
      <c r="Q2116" s="81" t="e">
        <v>#N/A</v>
      </c>
      <c r="R2116" s="85" t="e">
        <v>#N/A</v>
      </c>
    </row>
    <row r="2117" spans="14:18" x14ac:dyDescent="0.2">
      <c r="N2117" s="88" t="str">
        <f t="shared" si="38"/>
        <v>1w</v>
      </c>
      <c r="O2117" s="82">
        <f>_xll.qlCalendarAdvance(Calendar,O2116,N2117,"f",FALSE)</f>
        <v>54148</v>
      </c>
      <c r="P2117" s="92">
        <f>_xll.qlCalendarAdvance(Calendar,O2117,NDays&amp;"D")</f>
        <v>54150</v>
      </c>
      <c r="Q2117" s="81" t="e">
        <v>#N/A</v>
      </c>
      <c r="R2117" s="85" t="e">
        <v>#N/A</v>
      </c>
    </row>
    <row r="2118" spans="14:18" x14ac:dyDescent="0.2">
      <c r="N2118" s="88" t="str">
        <f t="shared" si="38"/>
        <v>1w</v>
      </c>
      <c r="O2118" s="82">
        <f>_xll.qlCalendarAdvance(Calendar,O2117,N2118,"f",FALSE)</f>
        <v>54155</v>
      </c>
      <c r="P2118" s="92">
        <f>_xll.qlCalendarAdvance(Calendar,O2118,NDays&amp;"D")</f>
        <v>54157</v>
      </c>
      <c r="Q2118" s="81" t="e">
        <v>#N/A</v>
      </c>
      <c r="R2118" s="85" t="e">
        <v>#N/A</v>
      </c>
    </row>
    <row r="2119" spans="14:18" x14ac:dyDescent="0.2">
      <c r="N2119" s="88" t="str">
        <f t="shared" si="38"/>
        <v>1w</v>
      </c>
      <c r="O2119" s="82">
        <f>_xll.qlCalendarAdvance(Calendar,O2118,N2119,"f",FALSE)</f>
        <v>54162</v>
      </c>
      <c r="P2119" s="92">
        <f>_xll.qlCalendarAdvance(Calendar,O2119,NDays&amp;"D")</f>
        <v>54164</v>
      </c>
      <c r="Q2119" s="81" t="e">
        <v>#N/A</v>
      </c>
      <c r="R2119" s="85" t="e">
        <v>#N/A</v>
      </c>
    </row>
    <row r="2120" spans="14:18" x14ac:dyDescent="0.2">
      <c r="N2120" s="88" t="str">
        <f t="shared" si="38"/>
        <v>1w</v>
      </c>
      <c r="O2120" s="82">
        <f>_xll.qlCalendarAdvance(Calendar,O2119,N2120,"f",FALSE)</f>
        <v>54169</v>
      </c>
      <c r="P2120" s="92">
        <f>_xll.qlCalendarAdvance(Calendar,O2120,NDays&amp;"D")</f>
        <v>54171</v>
      </c>
      <c r="Q2120" s="81" t="e">
        <v>#N/A</v>
      </c>
      <c r="R2120" s="85" t="e">
        <v>#N/A</v>
      </c>
    </row>
    <row r="2121" spans="14:18" x14ac:dyDescent="0.2">
      <c r="N2121" s="88" t="str">
        <f t="shared" si="38"/>
        <v>1w</v>
      </c>
      <c r="O2121" s="82">
        <f>_xll.qlCalendarAdvance(Calendar,O2120,N2121,"f",FALSE)</f>
        <v>54176</v>
      </c>
      <c r="P2121" s="92">
        <f>_xll.qlCalendarAdvance(Calendar,O2121,NDays&amp;"D")</f>
        <v>54178</v>
      </c>
      <c r="Q2121" s="81" t="e">
        <v>#N/A</v>
      </c>
      <c r="R2121" s="85" t="e">
        <v>#N/A</v>
      </c>
    </row>
    <row r="2122" spans="14:18" x14ac:dyDescent="0.2">
      <c r="N2122" s="88" t="str">
        <f t="shared" si="38"/>
        <v>1w</v>
      </c>
      <c r="O2122" s="82">
        <f>_xll.qlCalendarAdvance(Calendar,O2121,N2122,"f",FALSE)</f>
        <v>54183</v>
      </c>
      <c r="P2122" s="92">
        <f>_xll.qlCalendarAdvance(Calendar,O2122,NDays&amp;"D")</f>
        <v>54185</v>
      </c>
      <c r="Q2122" s="81" t="e">
        <v>#N/A</v>
      </c>
      <c r="R2122" s="85" t="e">
        <v>#N/A</v>
      </c>
    </row>
    <row r="2123" spans="14:18" x14ac:dyDescent="0.2">
      <c r="N2123" s="88" t="str">
        <f t="shared" si="38"/>
        <v>1w</v>
      </c>
      <c r="O2123" s="82">
        <f>_xll.qlCalendarAdvance(Calendar,O2122,N2123,"f",FALSE)</f>
        <v>54190</v>
      </c>
      <c r="P2123" s="92">
        <f>_xll.qlCalendarAdvance(Calendar,O2123,NDays&amp;"D")</f>
        <v>54193</v>
      </c>
      <c r="Q2123" s="81" t="e">
        <v>#N/A</v>
      </c>
      <c r="R2123" s="85" t="e">
        <v>#N/A</v>
      </c>
    </row>
    <row r="2124" spans="14:18" x14ac:dyDescent="0.2">
      <c r="N2124" s="88" t="str">
        <f t="shared" si="38"/>
        <v>1w</v>
      </c>
      <c r="O2124" s="82">
        <f>_xll.qlCalendarAdvance(Calendar,O2123,N2124,"f",FALSE)</f>
        <v>54197</v>
      </c>
      <c r="P2124" s="92">
        <f>_xll.qlCalendarAdvance(Calendar,O2124,NDays&amp;"D")</f>
        <v>54199</v>
      </c>
      <c r="Q2124" s="81" t="e">
        <v>#N/A</v>
      </c>
      <c r="R2124" s="85" t="e">
        <v>#N/A</v>
      </c>
    </row>
    <row r="2125" spans="14:18" x14ac:dyDescent="0.2">
      <c r="N2125" s="88" t="str">
        <f t="shared" si="38"/>
        <v>1w</v>
      </c>
      <c r="O2125" s="82">
        <f>_xll.qlCalendarAdvance(Calendar,O2124,N2125,"f",FALSE)</f>
        <v>54204</v>
      </c>
      <c r="P2125" s="92">
        <f>_xll.qlCalendarAdvance(Calendar,O2125,NDays&amp;"D")</f>
        <v>54206</v>
      </c>
      <c r="Q2125" s="81" t="e">
        <v>#N/A</v>
      </c>
      <c r="R2125" s="85" t="e">
        <v>#N/A</v>
      </c>
    </row>
    <row r="2126" spans="14:18" x14ac:dyDescent="0.2">
      <c r="N2126" s="88" t="str">
        <f t="shared" si="38"/>
        <v>1w</v>
      </c>
      <c r="O2126" s="82">
        <f>_xll.qlCalendarAdvance(Calendar,O2125,N2126,"f",FALSE)</f>
        <v>54211</v>
      </c>
      <c r="P2126" s="92">
        <f>_xll.qlCalendarAdvance(Calendar,O2126,NDays&amp;"D")</f>
        <v>54213</v>
      </c>
      <c r="Q2126" s="81" t="e">
        <v>#N/A</v>
      </c>
      <c r="R2126" s="85" t="e">
        <v>#N/A</v>
      </c>
    </row>
    <row r="2127" spans="14:18" x14ac:dyDescent="0.2">
      <c r="N2127" s="88" t="str">
        <f t="shared" si="38"/>
        <v>1w</v>
      </c>
      <c r="O2127" s="82">
        <f>_xll.qlCalendarAdvance(Calendar,O2126,N2127,"f",FALSE)</f>
        <v>54218</v>
      </c>
      <c r="P2127" s="92">
        <f>_xll.qlCalendarAdvance(Calendar,O2127,NDays&amp;"D")</f>
        <v>54220</v>
      </c>
      <c r="Q2127" s="81" t="e">
        <v>#N/A</v>
      </c>
      <c r="R2127" s="85" t="e">
        <v>#N/A</v>
      </c>
    </row>
    <row r="2128" spans="14:18" x14ac:dyDescent="0.2">
      <c r="N2128" s="88" t="str">
        <f t="shared" si="38"/>
        <v>1w</v>
      </c>
      <c r="O2128" s="82">
        <f>_xll.qlCalendarAdvance(Calendar,O2127,N2128,"f",FALSE)</f>
        <v>54225</v>
      </c>
      <c r="P2128" s="92">
        <f>_xll.qlCalendarAdvance(Calendar,O2128,NDays&amp;"D")</f>
        <v>54227</v>
      </c>
      <c r="Q2128" s="81" t="e">
        <v>#N/A</v>
      </c>
      <c r="R2128" s="85" t="e">
        <v>#N/A</v>
      </c>
    </row>
    <row r="2129" spans="14:18" x14ac:dyDescent="0.2">
      <c r="N2129" s="88" t="str">
        <f t="shared" si="38"/>
        <v>1w</v>
      </c>
      <c r="O2129" s="82">
        <f>_xll.qlCalendarAdvance(Calendar,O2128,N2129,"f",FALSE)</f>
        <v>54232</v>
      </c>
      <c r="P2129" s="92">
        <f>_xll.qlCalendarAdvance(Calendar,O2129,NDays&amp;"D")</f>
        <v>54234</v>
      </c>
      <c r="Q2129" s="81" t="e">
        <v>#N/A</v>
      </c>
      <c r="R2129" s="85" t="e">
        <v>#N/A</v>
      </c>
    </row>
    <row r="2130" spans="14:18" x14ac:dyDescent="0.2">
      <c r="N2130" s="88" t="str">
        <f t="shared" si="38"/>
        <v>1w</v>
      </c>
      <c r="O2130" s="82">
        <f>_xll.qlCalendarAdvance(Calendar,O2129,N2130,"f",FALSE)</f>
        <v>54239</v>
      </c>
      <c r="P2130" s="92">
        <f>_xll.qlCalendarAdvance(Calendar,O2130,NDays&amp;"D")</f>
        <v>54241</v>
      </c>
      <c r="Q2130" s="81" t="e">
        <v>#N/A</v>
      </c>
      <c r="R2130" s="85" t="e">
        <v>#N/A</v>
      </c>
    </row>
    <row r="2131" spans="14:18" x14ac:dyDescent="0.2">
      <c r="N2131" s="88" t="str">
        <f t="shared" si="38"/>
        <v>1w</v>
      </c>
      <c r="O2131" s="82">
        <f>_xll.qlCalendarAdvance(Calendar,O2130,N2131,"f",FALSE)</f>
        <v>54246</v>
      </c>
      <c r="P2131" s="92">
        <f>_xll.qlCalendarAdvance(Calendar,O2131,NDays&amp;"D")</f>
        <v>54248</v>
      </c>
      <c r="Q2131" s="81" t="e">
        <v>#N/A</v>
      </c>
      <c r="R2131" s="85" t="e">
        <v>#N/A</v>
      </c>
    </row>
    <row r="2132" spans="14:18" x14ac:dyDescent="0.2">
      <c r="N2132" s="88" t="str">
        <f t="shared" si="38"/>
        <v>1w</v>
      </c>
      <c r="O2132" s="82">
        <f>_xll.qlCalendarAdvance(Calendar,O2131,N2132,"f",FALSE)</f>
        <v>54253</v>
      </c>
      <c r="P2132" s="92">
        <f>_xll.qlCalendarAdvance(Calendar,O2132,NDays&amp;"D")</f>
        <v>54255</v>
      </c>
      <c r="Q2132" s="81" t="e">
        <v>#N/A</v>
      </c>
      <c r="R2132" s="85" t="e">
        <v>#N/A</v>
      </c>
    </row>
    <row r="2133" spans="14:18" x14ac:dyDescent="0.2">
      <c r="N2133" s="88" t="str">
        <f t="shared" ref="N2133:N2196" si="39">N2132</f>
        <v>1w</v>
      </c>
      <c r="O2133" s="82">
        <f>_xll.qlCalendarAdvance(Calendar,O2132,N2133,"f",FALSE)</f>
        <v>54260</v>
      </c>
      <c r="P2133" s="92">
        <f>_xll.qlCalendarAdvance(Calendar,O2133,NDays&amp;"D")</f>
        <v>54262</v>
      </c>
      <c r="Q2133" s="81" t="e">
        <v>#N/A</v>
      </c>
      <c r="R2133" s="85" t="e">
        <v>#N/A</v>
      </c>
    </row>
    <row r="2134" spans="14:18" x14ac:dyDescent="0.2">
      <c r="N2134" s="88" t="str">
        <f t="shared" si="39"/>
        <v>1w</v>
      </c>
      <c r="O2134" s="82">
        <f>_xll.qlCalendarAdvance(Calendar,O2133,N2134,"f",FALSE)</f>
        <v>54267</v>
      </c>
      <c r="P2134" s="92">
        <f>_xll.qlCalendarAdvance(Calendar,O2134,NDays&amp;"D")</f>
        <v>54269</v>
      </c>
      <c r="Q2134" s="81" t="e">
        <v>#N/A</v>
      </c>
      <c r="R2134" s="85" t="e">
        <v>#N/A</v>
      </c>
    </row>
    <row r="2135" spans="14:18" x14ac:dyDescent="0.2">
      <c r="N2135" s="88" t="str">
        <f t="shared" si="39"/>
        <v>1w</v>
      </c>
      <c r="O2135" s="82">
        <f>_xll.qlCalendarAdvance(Calendar,O2134,N2135,"f",FALSE)</f>
        <v>54274</v>
      </c>
      <c r="P2135" s="92">
        <f>_xll.qlCalendarAdvance(Calendar,O2135,NDays&amp;"D")</f>
        <v>54276</v>
      </c>
      <c r="Q2135" s="81" t="e">
        <v>#N/A</v>
      </c>
      <c r="R2135" s="85" t="e">
        <v>#N/A</v>
      </c>
    </row>
    <row r="2136" spans="14:18" x14ac:dyDescent="0.2">
      <c r="N2136" s="88" t="str">
        <f t="shared" si="39"/>
        <v>1w</v>
      </c>
      <c r="O2136" s="82">
        <f>_xll.qlCalendarAdvance(Calendar,O2135,N2136,"f",FALSE)</f>
        <v>54281</v>
      </c>
      <c r="P2136" s="92">
        <f>_xll.qlCalendarAdvance(Calendar,O2136,NDays&amp;"D")</f>
        <v>54283</v>
      </c>
      <c r="Q2136" s="81" t="e">
        <v>#N/A</v>
      </c>
      <c r="R2136" s="85" t="e">
        <v>#N/A</v>
      </c>
    </row>
    <row r="2137" spans="14:18" x14ac:dyDescent="0.2">
      <c r="N2137" s="88" t="str">
        <f t="shared" si="39"/>
        <v>1w</v>
      </c>
      <c r="O2137" s="82">
        <f>_xll.qlCalendarAdvance(Calendar,O2136,N2137,"f",FALSE)</f>
        <v>54288</v>
      </c>
      <c r="P2137" s="92">
        <f>_xll.qlCalendarAdvance(Calendar,O2137,NDays&amp;"D")</f>
        <v>54290</v>
      </c>
      <c r="Q2137" s="81" t="e">
        <v>#N/A</v>
      </c>
      <c r="R2137" s="85" t="e">
        <v>#N/A</v>
      </c>
    </row>
    <row r="2138" spans="14:18" x14ac:dyDescent="0.2">
      <c r="N2138" s="88" t="str">
        <f t="shared" si="39"/>
        <v>1w</v>
      </c>
      <c r="O2138" s="82">
        <f>_xll.qlCalendarAdvance(Calendar,O2137,N2138,"f",FALSE)</f>
        <v>54295</v>
      </c>
      <c r="P2138" s="92">
        <f>_xll.qlCalendarAdvance(Calendar,O2138,NDays&amp;"D")</f>
        <v>54297</v>
      </c>
      <c r="Q2138" s="81" t="e">
        <v>#N/A</v>
      </c>
      <c r="R2138" s="85" t="e">
        <v>#N/A</v>
      </c>
    </row>
    <row r="2139" spans="14:18" x14ac:dyDescent="0.2">
      <c r="N2139" s="88" t="str">
        <f t="shared" si="39"/>
        <v>1w</v>
      </c>
      <c r="O2139" s="82">
        <f>_xll.qlCalendarAdvance(Calendar,O2138,N2139,"f",FALSE)</f>
        <v>54302</v>
      </c>
      <c r="P2139" s="92">
        <f>_xll.qlCalendarAdvance(Calendar,O2139,NDays&amp;"D")</f>
        <v>54304</v>
      </c>
      <c r="Q2139" s="81" t="e">
        <v>#N/A</v>
      </c>
      <c r="R2139" s="85" t="e">
        <v>#N/A</v>
      </c>
    </row>
    <row r="2140" spans="14:18" x14ac:dyDescent="0.2">
      <c r="N2140" s="88" t="str">
        <f t="shared" si="39"/>
        <v>1w</v>
      </c>
      <c r="O2140" s="82">
        <f>_xll.qlCalendarAdvance(Calendar,O2139,N2140,"f",FALSE)</f>
        <v>54309</v>
      </c>
      <c r="P2140" s="92">
        <f>_xll.qlCalendarAdvance(Calendar,O2140,NDays&amp;"D")</f>
        <v>54311</v>
      </c>
      <c r="Q2140" s="81" t="e">
        <v>#N/A</v>
      </c>
      <c r="R2140" s="85" t="e">
        <v>#N/A</v>
      </c>
    </row>
    <row r="2141" spans="14:18" x14ac:dyDescent="0.2">
      <c r="N2141" s="88" t="str">
        <f t="shared" si="39"/>
        <v>1w</v>
      </c>
      <c r="O2141" s="82">
        <f>_xll.qlCalendarAdvance(Calendar,O2140,N2141,"f",FALSE)</f>
        <v>54316</v>
      </c>
      <c r="P2141" s="92">
        <f>_xll.qlCalendarAdvance(Calendar,O2141,NDays&amp;"D")</f>
        <v>54318</v>
      </c>
      <c r="Q2141" s="81" t="e">
        <v>#N/A</v>
      </c>
      <c r="R2141" s="85" t="e">
        <v>#N/A</v>
      </c>
    </row>
    <row r="2142" spans="14:18" x14ac:dyDescent="0.2">
      <c r="N2142" s="88" t="str">
        <f t="shared" si="39"/>
        <v>1w</v>
      </c>
      <c r="O2142" s="82">
        <f>_xll.qlCalendarAdvance(Calendar,O2141,N2142,"f",FALSE)</f>
        <v>54323</v>
      </c>
      <c r="P2142" s="92">
        <f>_xll.qlCalendarAdvance(Calendar,O2142,NDays&amp;"D")</f>
        <v>54325</v>
      </c>
      <c r="Q2142" s="81" t="e">
        <v>#N/A</v>
      </c>
      <c r="R2142" s="85" t="e">
        <v>#N/A</v>
      </c>
    </row>
    <row r="2143" spans="14:18" x14ac:dyDescent="0.2">
      <c r="N2143" s="88" t="str">
        <f t="shared" si="39"/>
        <v>1w</v>
      </c>
      <c r="O2143" s="82">
        <f>_xll.qlCalendarAdvance(Calendar,O2142,N2143,"f",FALSE)</f>
        <v>54330</v>
      </c>
      <c r="P2143" s="92">
        <f>_xll.qlCalendarAdvance(Calendar,O2143,NDays&amp;"D")</f>
        <v>54332</v>
      </c>
      <c r="Q2143" s="81" t="e">
        <v>#N/A</v>
      </c>
      <c r="R2143" s="85" t="e">
        <v>#N/A</v>
      </c>
    </row>
    <row r="2144" spans="14:18" x14ac:dyDescent="0.2">
      <c r="N2144" s="88" t="str">
        <f t="shared" si="39"/>
        <v>1w</v>
      </c>
      <c r="O2144" s="82">
        <f>_xll.qlCalendarAdvance(Calendar,O2143,N2144,"f",FALSE)</f>
        <v>54337</v>
      </c>
      <c r="P2144" s="92">
        <f>_xll.qlCalendarAdvance(Calendar,O2144,NDays&amp;"D")</f>
        <v>54339</v>
      </c>
      <c r="Q2144" s="81" t="e">
        <v>#N/A</v>
      </c>
      <c r="R2144" s="85" t="e">
        <v>#N/A</v>
      </c>
    </row>
    <row r="2145" spans="14:18" x14ac:dyDescent="0.2">
      <c r="N2145" s="88" t="str">
        <f t="shared" si="39"/>
        <v>1w</v>
      </c>
      <c r="O2145" s="82">
        <f>_xll.qlCalendarAdvance(Calendar,O2144,N2145,"f",FALSE)</f>
        <v>54344</v>
      </c>
      <c r="P2145" s="92">
        <f>_xll.qlCalendarAdvance(Calendar,O2145,NDays&amp;"D")</f>
        <v>54346</v>
      </c>
      <c r="Q2145" s="81" t="e">
        <v>#N/A</v>
      </c>
      <c r="R2145" s="85" t="e">
        <v>#N/A</v>
      </c>
    </row>
    <row r="2146" spans="14:18" x14ac:dyDescent="0.2">
      <c r="N2146" s="88" t="str">
        <f t="shared" si="39"/>
        <v>1w</v>
      </c>
      <c r="O2146" s="82">
        <f>_xll.qlCalendarAdvance(Calendar,O2145,N2146,"f",FALSE)</f>
        <v>54351</v>
      </c>
      <c r="P2146" s="92">
        <f>_xll.qlCalendarAdvance(Calendar,O2146,NDays&amp;"D")</f>
        <v>54353</v>
      </c>
      <c r="Q2146" s="81" t="e">
        <v>#N/A</v>
      </c>
      <c r="R2146" s="85" t="e">
        <v>#N/A</v>
      </c>
    </row>
    <row r="2147" spans="14:18" x14ac:dyDescent="0.2">
      <c r="N2147" s="88" t="str">
        <f t="shared" si="39"/>
        <v>1w</v>
      </c>
      <c r="O2147" s="82">
        <f>_xll.qlCalendarAdvance(Calendar,O2146,N2147,"f",FALSE)</f>
        <v>54358</v>
      </c>
      <c r="P2147" s="92">
        <f>_xll.qlCalendarAdvance(Calendar,O2147,NDays&amp;"D")</f>
        <v>54360</v>
      </c>
      <c r="Q2147" s="81" t="e">
        <v>#N/A</v>
      </c>
      <c r="R2147" s="85" t="e">
        <v>#N/A</v>
      </c>
    </row>
    <row r="2148" spans="14:18" x14ac:dyDescent="0.2">
      <c r="N2148" s="88" t="str">
        <f t="shared" si="39"/>
        <v>1w</v>
      </c>
      <c r="O2148" s="82">
        <f>_xll.qlCalendarAdvance(Calendar,O2147,N2148,"f",FALSE)</f>
        <v>54365</v>
      </c>
      <c r="P2148" s="92">
        <f>_xll.qlCalendarAdvance(Calendar,O2148,NDays&amp;"D")</f>
        <v>54367</v>
      </c>
      <c r="Q2148" s="81" t="e">
        <v>#N/A</v>
      </c>
      <c r="R2148" s="85" t="e">
        <v>#N/A</v>
      </c>
    </row>
    <row r="2149" spans="14:18" x14ac:dyDescent="0.2">
      <c r="N2149" s="88" t="str">
        <f t="shared" si="39"/>
        <v>1w</v>
      </c>
      <c r="O2149" s="82">
        <f>_xll.qlCalendarAdvance(Calendar,O2148,N2149,"f",FALSE)</f>
        <v>54372</v>
      </c>
      <c r="P2149" s="92">
        <f>_xll.qlCalendarAdvance(Calendar,O2149,NDays&amp;"D")</f>
        <v>54374</v>
      </c>
      <c r="Q2149" s="81" t="e">
        <v>#N/A</v>
      </c>
      <c r="R2149" s="85" t="e">
        <v>#N/A</v>
      </c>
    </row>
    <row r="2150" spans="14:18" x14ac:dyDescent="0.2">
      <c r="N2150" s="88" t="str">
        <f t="shared" si="39"/>
        <v>1w</v>
      </c>
      <c r="O2150" s="82">
        <f>_xll.qlCalendarAdvance(Calendar,O2149,N2150,"f",FALSE)</f>
        <v>54379</v>
      </c>
      <c r="P2150" s="92">
        <f>_xll.qlCalendarAdvance(Calendar,O2150,NDays&amp;"D")</f>
        <v>54381</v>
      </c>
      <c r="Q2150" s="81" t="e">
        <v>#N/A</v>
      </c>
      <c r="R2150" s="85" t="e">
        <v>#N/A</v>
      </c>
    </row>
    <row r="2151" spans="14:18" x14ac:dyDescent="0.2">
      <c r="N2151" s="88" t="str">
        <f t="shared" si="39"/>
        <v>1w</v>
      </c>
      <c r="O2151" s="82">
        <f>_xll.qlCalendarAdvance(Calendar,O2150,N2151,"f",FALSE)</f>
        <v>54386</v>
      </c>
      <c r="P2151" s="92">
        <f>_xll.qlCalendarAdvance(Calendar,O2151,NDays&amp;"D")</f>
        <v>54388</v>
      </c>
      <c r="Q2151" s="81" t="e">
        <v>#N/A</v>
      </c>
      <c r="R2151" s="85" t="e">
        <v>#N/A</v>
      </c>
    </row>
    <row r="2152" spans="14:18" x14ac:dyDescent="0.2">
      <c r="N2152" s="88" t="str">
        <f t="shared" si="39"/>
        <v>1w</v>
      </c>
      <c r="O2152" s="82">
        <f>_xll.qlCalendarAdvance(Calendar,O2151,N2152,"f",FALSE)</f>
        <v>54393</v>
      </c>
      <c r="P2152" s="92">
        <f>_xll.qlCalendarAdvance(Calendar,O2152,NDays&amp;"D")</f>
        <v>54395</v>
      </c>
      <c r="Q2152" s="81" t="e">
        <v>#N/A</v>
      </c>
      <c r="R2152" s="85" t="e">
        <v>#N/A</v>
      </c>
    </row>
    <row r="2153" spans="14:18" x14ac:dyDescent="0.2">
      <c r="N2153" s="88" t="str">
        <f t="shared" si="39"/>
        <v>1w</v>
      </c>
      <c r="O2153" s="82">
        <f>_xll.qlCalendarAdvance(Calendar,O2152,N2153,"f",FALSE)</f>
        <v>54400</v>
      </c>
      <c r="P2153" s="92">
        <f>_xll.qlCalendarAdvance(Calendar,O2153,NDays&amp;"D")</f>
        <v>54402</v>
      </c>
      <c r="Q2153" s="81" t="e">
        <v>#N/A</v>
      </c>
      <c r="R2153" s="85" t="e">
        <v>#N/A</v>
      </c>
    </row>
    <row r="2154" spans="14:18" x14ac:dyDescent="0.2">
      <c r="N2154" s="88" t="str">
        <f t="shared" si="39"/>
        <v>1w</v>
      </c>
      <c r="O2154" s="82">
        <f>_xll.qlCalendarAdvance(Calendar,O2153,N2154,"f",FALSE)</f>
        <v>54407</v>
      </c>
      <c r="P2154" s="92">
        <f>_xll.qlCalendarAdvance(Calendar,O2154,NDays&amp;"D")</f>
        <v>54409</v>
      </c>
      <c r="Q2154" s="81" t="e">
        <v>#N/A</v>
      </c>
      <c r="R2154" s="85" t="e">
        <v>#N/A</v>
      </c>
    </row>
    <row r="2155" spans="14:18" x14ac:dyDescent="0.2">
      <c r="N2155" s="88" t="str">
        <f t="shared" si="39"/>
        <v>1w</v>
      </c>
      <c r="O2155" s="82">
        <f>_xll.qlCalendarAdvance(Calendar,O2154,N2155,"f",FALSE)</f>
        <v>54414</v>
      </c>
      <c r="P2155" s="92">
        <f>_xll.qlCalendarAdvance(Calendar,O2155,NDays&amp;"D")</f>
        <v>54420</v>
      </c>
      <c r="Q2155" s="81" t="e">
        <v>#N/A</v>
      </c>
      <c r="R2155" s="85" t="e">
        <v>#N/A</v>
      </c>
    </row>
    <row r="2156" spans="14:18" x14ac:dyDescent="0.2">
      <c r="N2156" s="88" t="str">
        <f t="shared" si="39"/>
        <v>1w</v>
      </c>
      <c r="O2156" s="82">
        <f>_xll.qlCalendarAdvance(Calendar,O2155,N2156,"f",FALSE)</f>
        <v>54421</v>
      </c>
      <c r="P2156" s="92">
        <f>_xll.qlCalendarAdvance(Calendar,O2156,NDays&amp;"D")</f>
        <v>54427</v>
      </c>
      <c r="Q2156" s="81" t="e">
        <v>#N/A</v>
      </c>
      <c r="R2156" s="85" t="e">
        <v>#N/A</v>
      </c>
    </row>
    <row r="2157" spans="14:18" x14ac:dyDescent="0.2">
      <c r="N2157" s="88" t="str">
        <f t="shared" si="39"/>
        <v>1w</v>
      </c>
      <c r="O2157" s="82">
        <f>_xll.qlCalendarAdvance(Calendar,O2156,N2157,"f",FALSE)</f>
        <v>54428</v>
      </c>
      <c r="P2157" s="92">
        <f>_xll.qlCalendarAdvance(Calendar,O2157,NDays&amp;"D")</f>
        <v>54431</v>
      </c>
      <c r="Q2157" s="81" t="e">
        <v>#N/A</v>
      </c>
      <c r="R2157" s="85" t="e">
        <v>#N/A</v>
      </c>
    </row>
    <row r="2158" spans="14:18" x14ac:dyDescent="0.2">
      <c r="N2158" s="88" t="str">
        <f t="shared" si="39"/>
        <v>1w</v>
      </c>
      <c r="O2158" s="82">
        <f>_xll.qlCalendarAdvance(Calendar,O2157,N2158,"f",FALSE)</f>
        <v>54435</v>
      </c>
      <c r="P2158" s="92">
        <f>_xll.qlCalendarAdvance(Calendar,O2158,NDays&amp;"D")</f>
        <v>54437</v>
      </c>
      <c r="Q2158" s="81" t="e">
        <v>#N/A</v>
      </c>
      <c r="R2158" s="85" t="e">
        <v>#N/A</v>
      </c>
    </row>
    <row r="2159" spans="14:18" x14ac:dyDescent="0.2">
      <c r="N2159" s="88" t="str">
        <f t="shared" si="39"/>
        <v>1w</v>
      </c>
      <c r="O2159" s="82">
        <f>_xll.qlCalendarAdvance(Calendar,O2158,N2159,"f",FALSE)</f>
        <v>54442</v>
      </c>
      <c r="P2159" s="92">
        <f>_xll.qlCalendarAdvance(Calendar,O2159,NDays&amp;"D")</f>
        <v>54444</v>
      </c>
      <c r="Q2159" s="81" t="e">
        <v>#N/A</v>
      </c>
      <c r="R2159" s="85" t="e">
        <v>#N/A</v>
      </c>
    </row>
    <row r="2160" spans="14:18" x14ac:dyDescent="0.2">
      <c r="N2160" s="88" t="str">
        <f t="shared" si="39"/>
        <v>1w</v>
      </c>
      <c r="O2160" s="82">
        <f>_xll.qlCalendarAdvance(Calendar,O2159,N2160,"f",FALSE)</f>
        <v>54449</v>
      </c>
      <c r="P2160" s="92">
        <f>_xll.qlCalendarAdvance(Calendar,O2160,NDays&amp;"D")</f>
        <v>54451</v>
      </c>
      <c r="Q2160" s="81" t="e">
        <v>#N/A</v>
      </c>
      <c r="R2160" s="85" t="e">
        <v>#N/A</v>
      </c>
    </row>
    <row r="2161" spans="14:18" x14ac:dyDescent="0.2">
      <c r="N2161" s="88" t="str">
        <f t="shared" si="39"/>
        <v>1w</v>
      </c>
      <c r="O2161" s="82">
        <f>_xll.qlCalendarAdvance(Calendar,O2160,N2161,"f",FALSE)</f>
        <v>54456</v>
      </c>
      <c r="P2161" s="92">
        <f>_xll.qlCalendarAdvance(Calendar,O2161,NDays&amp;"D")</f>
        <v>54458</v>
      </c>
      <c r="Q2161" s="81" t="e">
        <v>#N/A</v>
      </c>
      <c r="R2161" s="85" t="e">
        <v>#N/A</v>
      </c>
    </row>
    <row r="2162" spans="14:18" x14ac:dyDescent="0.2">
      <c r="N2162" s="88" t="str">
        <f t="shared" si="39"/>
        <v>1w</v>
      </c>
      <c r="O2162" s="82">
        <f>_xll.qlCalendarAdvance(Calendar,O2161,N2162,"f",FALSE)</f>
        <v>54463</v>
      </c>
      <c r="P2162" s="92">
        <f>_xll.qlCalendarAdvance(Calendar,O2162,NDays&amp;"D")</f>
        <v>54465</v>
      </c>
      <c r="Q2162" s="81" t="e">
        <v>#N/A</v>
      </c>
      <c r="R2162" s="85" t="e">
        <v>#N/A</v>
      </c>
    </row>
    <row r="2163" spans="14:18" x14ac:dyDescent="0.2">
      <c r="N2163" s="88" t="str">
        <f t="shared" si="39"/>
        <v>1w</v>
      </c>
      <c r="O2163" s="82">
        <f>_xll.qlCalendarAdvance(Calendar,O2162,N2163,"f",FALSE)</f>
        <v>54470</v>
      </c>
      <c r="P2163" s="92">
        <f>_xll.qlCalendarAdvance(Calendar,O2163,NDays&amp;"D")</f>
        <v>54472</v>
      </c>
      <c r="Q2163" s="81" t="e">
        <v>#N/A</v>
      </c>
      <c r="R2163" s="85" t="e">
        <v>#N/A</v>
      </c>
    </row>
    <row r="2164" spans="14:18" x14ac:dyDescent="0.2">
      <c r="N2164" s="88" t="str">
        <f t="shared" si="39"/>
        <v>1w</v>
      </c>
      <c r="O2164" s="82">
        <f>_xll.qlCalendarAdvance(Calendar,O2163,N2164,"f",FALSE)</f>
        <v>54477</v>
      </c>
      <c r="P2164" s="92">
        <f>_xll.qlCalendarAdvance(Calendar,O2164,NDays&amp;"D")</f>
        <v>54479</v>
      </c>
      <c r="Q2164" s="81" t="e">
        <v>#N/A</v>
      </c>
      <c r="R2164" s="85" t="e">
        <v>#N/A</v>
      </c>
    </row>
    <row r="2165" spans="14:18" x14ac:dyDescent="0.2">
      <c r="N2165" s="88" t="str">
        <f t="shared" si="39"/>
        <v>1w</v>
      </c>
      <c r="O2165" s="82">
        <f>_xll.qlCalendarAdvance(Calendar,O2164,N2165,"f",FALSE)</f>
        <v>54484</v>
      </c>
      <c r="P2165" s="92">
        <f>_xll.qlCalendarAdvance(Calendar,O2165,NDays&amp;"D")</f>
        <v>54486</v>
      </c>
      <c r="Q2165" s="81" t="e">
        <v>#N/A</v>
      </c>
      <c r="R2165" s="85" t="e">
        <v>#N/A</v>
      </c>
    </row>
    <row r="2166" spans="14:18" x14ac:dyDescent="0.2">
      <c r="N2166" s="88" t="str">
        <f t="shared" si="39"/>
        <v>1w</v>
      </c>
      <c r="O2166" s="82">
        <f>_xll.qlCalendarAdvance(Calendar,O2165,N2166,"f",FALSE)</f>
        <v>54491</v>
      </c>
      <c r="P2166" s="92">
        <f>_xll.qlCalendarAdvance(Calendar,O2166,NDays&amp;"D")</f>
        <v>54493</v>
      </c>
      <c r="Q2166" s="81" t="e">
        <v>#N/A</v>
      </c>
      <c r="R2166" s="85" t="e">
        <v>#N/A</v>
      </c>
    </row>
    <row r="2167" spans="14:18" x14ac:dyDescent="0.2">
      <c r="N2167" s="88" t="str">
        <f t="shared" si="39"/>
        <v>1w</v>
      </c>
      <c r="O2167" s="82">
        <f>_xll.qlCalendarAdvance(Calendar,O2166,N2167,"f",FALSE)</f>
        <v>54498</v>
      </c>
      <c r="P2167" s="92">
        <f>_xll.qlCalendarAdvance(Calendar,O2167,NDays&amp;"D")</f>
        <v>54500</v>
      </c>
      <c r="Q2167" s="81" t="e">
        <v>#N/A</v>
      </c>
      <c r="R2167" s="85" t="e">
        <v>#N/A</v>
      </c>
    </row>
    <row r="2168" spans="14:18" x14ac:dyDescent="0.2">
      <c r="N2168" s="88" t="str">
        <f t="shared" si="39"/>
        <v>1w</v>
      </c>
      <c r="O2168" s="82">
        <f>_xll.qlCalendarAdvance(Calendar,O2167,N2168,"f",FALSE)</f>
        <v>54505</v>
      </c>
      <c r="P2168" s="92">
        <f>_xll.qlCalendarAdvance(Calendar,O2168,NDays&amp;"D")</f>
        <v>54507</v>
      </c>
      <c r="Q2168" s="81" t="e">
        <v>#N/A</v>
      </c>
      <c r="R2168" s="85" t="e">
        <v>#N/A</v>
      </c>
    </row>
    <row r="2169" spans="14:18" x14ac:dyDescent="0.2">
      <c r="N2169" s="88" t="str">
        <f t="shared" si="39"/>
        <v>1w</v>
      </c>
      <c r="O2169" s="82">
        <f>_xll.qlCalendarAdvance(Calendar,O2168,N2169,"f",FALSE)</f>
        <v>54512</v>
      </c>
      <c r="P2169" s="92">
        <f>_xll.qlCalendarAdvance(Calendar,O2169,NDays&amp;"D")</f>
        <v>54514</v>
      </c>
      <c r="Q2169" s="81" t="e">
        <v>#N/A</v>
      </c>
      <c r="R2169" s="85" t="e">
        <v>#N/A</v>
      </c>
    </row>
    <row r="2170" spans="14:18" x14ac:dyDescent="0.2">
      <c r="N2170" s="88" t="str">
        <f t="shared" si="39"/>
        <v>1w</v>
      </c>
      <c r="O2170" s="82">
        <f>_xll.qlCalendarAdvance(Calendar,O2169,N2170,"f",FALSE)</f>
        <v>54519</v>
      </c>
      <c r="P2170" s="92">
        <f>_xll.qlCalendarAdvance(Calendar,O2170,NDays&amp;"D")</f>
        <v>54521</v>
      </c>
      <c r="Q2170" s="81" t="e">
        <v>#N/A</v>
      </c>
      <c r="R2170" s="85" t="e">
        <v>#N/A</v>
      </c>
    </row>
    <row r="2171" spans="14:18" x14ac:dyDescent="0.2">
      <c r="N2171" s="88" t="str">
        <f t="shared" si="39"/>
        <v>1w</v>
      </c>
      <c r="O2171" s="82">
        <f>_xll.qlCalendarAdvance(Calendar,O2170,N2171,"f",FALSE)</f>
        <v>54526</v>
      </c>
      <c r="P2171" s="92">
        <f>_xll.qlCalendarAdvance(Calendar,O2171,NDays&amp;"D")</f>
        <v>54528</v>
      </c>
      <c r="Q2171" s="81" t="e">
        <v>#N/A</v>
      </c>
      <c r="R2171" s="85" t="e">
        <v>#N/A</v>
      </c>
    </row>
    <row r="2172" spans="14:18" x14ac:dyDescent="0.2">
      <c r="N2172" s="88" t="str">
        <f t="shared" si="39"/>
        <v>1w</v>
      </c>
      <c r="O2172" s="82">
        <f>_xll.qlCalendarAdvance(Calendar,O2171,N2172,"f",FALSE)</f>
        <v>54533</v>
      </c>
      <c r="P2172" s="92">
        <f>_xll.qlCalendarAdvance(Calendar,O2172,NDays&amp;"D")</f>
        <v>54535</v>
      </c>
      <c r="Q2172" s="81" t="e">
        <v>#N/A</v>
      </c>
      <c r="R2172" s="85" t="e">
        <v>#N/A</v>
      </c>
    </row>
    <row r="2173" spans="14:18" x14ac:dyDescent="0.2">
      <c r="N2173" s="88" t="str">
        <f t="shared" si="39"/>
        <v>1w</v>
      </c>
      <c r="O2173" s="82">
        <f>_xll.qlCalendarAdvance(Calendar,O2172,N2173,"f",FALSE)</f>
        <v>54540</v>
      </c>
      <c r="P2173" s="92">
        <f>_xll.qlCalendarAdvance(Calendar,O2173,NDays&amp;"D")</f>
        <v>54542</v>
      </c>
      <c r="Q2173" s="81" t="e">
        <v>#N/A</v>
      </c>
      <c r="R2173" s="85" t="e">
        <v>#N/A</v>
      </c>
    </row>
    <row r="2174" spans="14:18" x14ac:dyDescent="0.2">
      <c r="N2174" s="88" t="str">
        <f t="shared" si="39"/>
        <v>1w</v>
      </c>
      <c r="O2174" s="82">
        <f>_xll.qlCalendarAdvance(Calendar,O2173,N2174,"f",FALSE)</f>
        <v>54547</v>
      </c>
      <c r="P2174" s="92">
        <f>_xll.qlCalendarAdvance(Calendar,O2174,NDays&amp;"D")</f>
        <v>54549</v>
      </c>
      <c r="Q2174" s="81" t="e">
        <v>#N/A</v>
      </c>
      <c r="R2174" s="85" t="e">
        <v>#N/A</v>
      </c>
    </row>
    <row r="2175" spans="14:18" x14ac:dyDescent="0.2">
      <c r="N2175" s="88" t="str">
        <f t="shared" si="39"/>
        <v>1w</v>
      </c>
      <c r="O2175" s="82">
        <f>_xll.qlCalendarAdvance(Calendar,O2174,N2175,"f",FALSE)</f>
        <v>54554</v>
      </c>
      <c r="P2175" s="92">
        <f>_xll.qlCalendarAdvance(Calendar,O2175,NDays&amp;"D")</f>
        <v>54556</v>
      </c>
      <c r="Q2175" s="81" t="e">
        <v>#N/A</v>
      </c>
      <c r="R2175" s="85" t="e">
        <v>#N/A</v>
      </c>
    </row>
    <row r="2176" spans="14:18" x14ac:dyDescent="0.2">
      <c r="N2176" s="88" t="str">
        <f t="shared" si="39"/>
        <v>1w</v>
      </c>
      <c r="O2176" s="82">
        <f>_xll.qlCalendarAdvance(Calendar,O2175,N2176,"f",FALSE)</f>
        <v>54561</v>
      </c>
      <c r="P2176" s="92">
        <f>_xll.qlCalendarAdvance(Calendar,O2176,NDays&amp;"D")</f>
        <v>54563</v>
      </c>
      <c r="Q2176" s="81" t="e">
        <v>#N/A</v>
      </c>
      <c r="R2176" s="85" t="e">
        <v>#N/A</v>
      </c>
    </row>
    <row r="2177" spans="14:18" x14ac:dyDescent="0.2">
      <c r="N2177" s="88" t="str">
        <f t="shared" si="39"/>
        <v>1w</v>
      </c>
      <c r="O2177" s="82">
        <f>_xll.qlCalendarAdvance(Calendar,O2176,N2177,"f",FALSE)</f>
        <v>54568</v>
      </c>
      <c r="P2177" s="92">
        <f>_xll.qlCalendarAdvance(Calendar,O2177,NDays&amp;"D")</f>
        <v>54571</v>
      </c>
      <c r="Q2177" s="81" t="e">
        <v>#N/A</v>
      </c>
      <c r="R2177" s="85" t="e">
        <v>#N/A</v>
      </c>
    </row>
    <row r="2178" spans="14:18" x14ac:dyDescent="0.2">
      <c r="N2178" s="88" t="str">
        <f t="shared" si="39"/>
        <v>1w</v>
      </c>
      <c r="O2178" s="82">
        <f>_xll.qlCalendarAdvance(Calendar,O2177,N2178,"f",FALSE)</f>
        <v>54575</v>
      </c>
      <c r="P2178" s="92">
        <f>_xll.qlCalendarAdvance(Calendar,O2178,NDays&amp;"D")</f>
        <v>54577</v>
      </c>
      <c r="Q2178" s="81" t="e">
        <v>#N/A</v>
      </c>
      <c r="R2178" s="85" t="e">
        <v>#N/A</v>
      </c>
    </row>
    <row r="2179" spans="14:18" x14ac:dyDescent="0.2">
      <c r="N2179" s="88" t="str">
        <f t="shared" si="39"/>
        <v>1w</v>
      </c>
      <c r="O2179" s="82">
        <f>_xll.qlCalendarAdvance(Calendar,O2178,N2179,"f",FALSE)</f>
        <v>54582</v>
      </c>
      <c r="P2179" s="92">
        <f>_xll.qlCalendarAdvance(Calendar,O2179,NDays&amp;"D")</f>
        <v>54584</v>
      </c>
      <c r="Q2179" s="81" t="e">
        <v>#N/A</v>
      </c>
      <c r="R2179" s="85" t="e">
        <v>#N/A</v>
      </c>
    </row>
    <row r="2180" spans="14:18" x14ac:dyDescent="0.2">
      <c r="N2180" s="88" t="str">
        <f t="shared" si="39"/>
        <v>1w</v>
      </c>
      <c r="O2180" s="82">
        <f>_xll.qlCalendarAdvance(Calendar,O2179,N2180,"f",FALSE)</f>
        <v>54589</v>
      </c>
      <c r="P2180" s="92">
        <f>_xll.qlCalendarAdvance(Calendar,O2180,NDays&amp;"D")</f>
        <v>54591</v>
      </c>
      <c r="Q2180" s="81" t="e">
        <v>#N/A</v>
      </c>
      <c r="R2180" s="85" t="e">
        <v>#N/A</v>
      </c>
    </row>
    <row r="2181" spans="14:18" x14ac:dyDescent="0.2">
      <c r="N2181" s="88" t="str">
        <f t="shared" si="39"/>
        <v>1w</v>
      </c>
      <c r="O2181" s="82">
        <f>_xll.qlCalendarAdvance(Calendar,O2180,N2181,"f",FALSE)</f>
        <v>54596</v>
      </c>
      <c r="P2181" s="92">
        <f>_xll.qlCalendarAdvance(Calendar,O2181,NDays&amp;"D")</f>
        <v>54598</v>
      </c>
      <c r="Q2181" s="81" t="e">
        <v>#N/A</v>
      </c>
      <c r="R2181" s="85" t="e">
        <v>#N/A</v>
      </c>
    </row>
    <row r="2182" spans="14:18" x14ac:dyDescent="0.2">
      <c r="N2182" s="88" t="str">
        <f t="shared" si="39"/>
        <v>1w</v>
      </c>
      <c r="O2182" s="82">
        <f>_xll.qlCalendarAdvance(Calendar,O2181,N2182,"f",FALSE)</f>
        <v>54603</v>
      </c>
      <c r="P2182" s="92">
        <f>_xll.qlCalendarAdvance(Calendar,O2182,NDays&amp;"D")</f>
        <v>54605</v>
      </c>
      <c r="Q2182" s="81" t="e">
        <v>#N/A</v>
      </c>
      <c r="R2182" s="85" t="e">
        <v>#N/A</v>
      </c>
    </row>
    <row r="2183" spans="14:18" x14ac:dyDescent="0.2">
      <c r="N2183" s="88" t="str">
        <f t="shared" si="39"/>
        <v>1w</v>
      </c>
      <c r="O2183" s="82">
        <f>_xll.qlCalendarAdvance(Calendar,O2182,N2183,"f",FALSE)</f>
        <v>54610</v>
      </c>
      <c r="P2183" s="92">
        <f>_xll.qlCalendarAdvance(Calendar,O2183,NDays&amp;"D")</f>
        <v>54612</v>
      </c>
      <c r="Q2183" s="81" t="e">
        <v>#N/A</v>
      </c>
      <c r="R2183" s="85" t="e">
        <v>#N/A</v>
      </c>
    </row>
    <row r="2184" spans="14:18" x14ac:dyDescent="0.2">
      <c r="N2184" s="88" t="str">
        <f t="shared" si="39"/>
        <v>1w</v>
      </c>
      <c r="O2184" s="82">
        <f>_xll.qlCalendarAdvance(Calendar,O2183,N2184,"f",FALSE)</f>
        <v>54617</v>
      </c>
      <c r="P2184" s="92">
        <f>_xll.qlCalendarAdvance(Calendar,O2184,NDays&amp;"D")</f>
        <v>54619</v>
      </c>
      <c r="Q2184" s="81" t="e">
        <v>#N/A</v>
      </c>
      <c r="R2184" s="85" t="e">
        <v>#N/A</v>
      </c>
    </row>
    <row r="2185" spans="14:18" x14ac:dyDescent="0.2">
      <c r="N2185" s="88" t="str">
        <f t="shared" si="39"/>
        <v>1w</v>
      </c>
      <c r="O2185" s="82">
        <f>_xll.qlCalendarAdvance(Calendar,O2184,N2185,"f",FALSE)</f>
        <v>54624</v>
      </c>
      <c r="P2185" s="92">
        <f>_xll.qlCalendarAdvance(Calendar,O2185,NDays&amp;"D")</f>
        <v>54626</v>
      </c>
      <c r="Q2185" s="81" t="e">
        <v>#N/A</v>
      </c>
      <c r="R2185" s="85" t="e">
        <v>#N/A</v>
      </c>
    </row>
    <row r="2186" spans="14:18" x14ac:dyDescent="0.2">
      <c r="N2186" s="88" t="str">
        <f t="shared" si="39"/>
        <v>1w</v>
      </c>
      <c r="O2186" s="82">
        <f>_xll.qlCalendarAdvance(Calendar,O2185,N2186,"f",FALSE)</f>
        <v>54631</v>
      </c>
      <c r="P2186" s="92">
        <f>_xll.qlCalendarAdvance(Calendar,O2186,NDays&amp;"D")</f>
        <v>54633</v>
      </c>
      <c r="Q2186" s="81" t="e">
        <v>#N/A</v>
      </c>
      <c r="R2186" s="85" t="e">
        <v>#N/A</v>
      </c>
    </row>
    <row r="2187" spans="14:18" x14ac:dyDescent="0.2">
      <c r="N2187" s="88" t="str">
        <f t="shared" si="39"/>
        <v>1w</v>
      </c>
      <c r="O2187" s="82">
        <f>_xll.qlCalendarAdvance(Calendar,O2186,N2187,"f",FALSE)</f>
        <v>54638</v>
      </c>
      <c r="P2187" s="92">
        <f>_xll.qlCalendarAdvance(Calendar,O2187,NDays&amp;"D")</f>
        <v>54640</v>
      </c>
      <c r="Q2187" s="81" t="e">
        <v>#N/A</v>
      </c>
      <c r="R2187" s="85" t="e">
        <v>#N/A</v>
      </c>
    </row>
    <row r="2188" spans="14:18" x14ac:dyDescent="0.2">
      <c r="N2188" s="88" t="str">
        <f t="shared" si="39"/>
        <v>1w</v>
      </c>
      <c r="O2188" s="82">
        <f>_xll.qlCalendarAdvance(Calendar,O2187,N2188,"f",FALSE)</f>
        <v>54645</v>
      </c>
      <c r="P2188" s="92">
        <f>_xll.qlCalendarAdvance(Calendar,O2188,NDays&amp;"D")</f>
        <v>54647</v>
      </c>
      <c r="Q2188" s="81" t="e">
        <v>#N/A</v>
      </c>
      <c r="R2188" s="85" t="e">
        <v>#N/A</v>
      </c>
    </row>
    <row r="2189" spans="14:18" x14ac:dyDescent="0.2">
      <c r="N2189" s="88" t="str">
        <f t="shared" si="39"/>
        <v>1w</v>
      </c>
      <c r="O2189" s="82">
        <f>_xll.qlCalendarAdvance(Calendar,O2188,N2189,"f",FALSE)</f>
        <v>54652</v>
      </c>
      <c r="P2189" s="92">
        <f>_xll.qlCalendarAdvance(Calendar,O2189,NDays&amp;"D")</f>
        <v>54654</v>
      </c>
      <c r="Q2189" s="81" t="e">
        <v>#N/A</v>
      </c>
      <c r="R2189" s="85" t="e">
        <v>#N/A</v>
      </c>
    </row>
    <row r="2190" spans="14:18" x14ac:dyDescent="0.2">
      <c r="N2190" s="88" t="str">
        <f t="shared" si="39"/>
        <v>1w</v>
      </c>
      <c r="O2190" s="82">
        <f>_xll.qlCalendarAdvance(Calendar,O2189,N2190,"f",FALSE)</f>
        <v>54659</v>
      </c>
      <c r="P2190" s="92">
        <f>_xll.qlCalendarAdvance(Calendar,O2190,NDays&amp;"D")</f>
        <v>54661</v>
      </c>
      <c r="Q2190" s="81" t="e">
        <v>#N/A</v>
      </c>
      <c r="R2190" s="85" t="e">
        <v>#N/A</v>
      </c>
    </row>
    <row r="2191" spans="14:18" x14ac:dyDescent="0.2">
      <c r="N2191" s="88" t="str">
        <f t="shared" si="39"/>
        <v>1w</v>
      </c>
      <c r="O2191" s="82">
        <f>_xll.qlCalendarAdvance(Calendar,O2190,N2191,"f",FALSE)</f>
        <v>54666</v>
      </c>
      <c r="P2191" s="92">
        <f>_xll.qlCalendarAdvance(Calendar,O2191,NDays&amp;"D")</f>
        <v>54668</v>
      </c>
      <c r="Q2191" s="81" t="e">
        <v>#N/A</v>
      </c>
      <c r="R2191" s="85" t="e">
        <v>#N/A</v>
      </c>
    </row>
    <row r="2192" spans="14:18" x14ac:dyDescent="0.2">
      <c r="N2192" s="88" t="str">
        <f t="shared" si="39"/>
        <v>1w</v>
      </c>
      <c r="O2192" s="82">
        <f>_xll.qlCalendarAdvance(Calendar,O2191,N2192,"f",FALSE)</f>
        <v>54673</v>
      </c>
      <c r="P2192" s="92">
        <f>_xll.qlCalendarAdvance(Calendar,O2192,NDays&amp;"D")</f>
        <v>54675</v>
      </c>
      <c r="Q2192" s="81" t="e">
        <v>#N/A</v>
      </c>
      <c r="R2192" s="85" t="e">
        <v>#N/A</v>
      </c>
    </row>
    <row r="2193" spans="14:18" x14ac:dyDescent="0.2">
      <c r="N2193" s="88" t="str">
        <f t="shared" si="39"/>
        <v>1w</v>
      </c>
      <c r="O2193" s="82">
        <f>_xll.qlCalendarAdvance(Calendar,O2192,N2193,"f",FALSE)</f>
        <v>54680</v>
      </c>
      <c r="P2193" s="92">
        <f>_xll.qlCalendarAdvance(Calendar,O2193,NDays&amp;"D")</f>
        <v>54682</v>
      </c>
      <c r="Q2193" s="81" t="e">
        <v>#N/A</v>
      </c>
      <c r="R2193" s="85" t="e">
        <v>#N/A</v>
      </c>
    </row>
    <row r="2194" spans="14:18" x14ac:dyDescent="0.2">
      <c r="N2194" s="88" t="str">
        <f t="shared" si="39"/>
        <v>1w</v>
      </c>
      <c r="O2194" s="82">
        <f>_xll.qlCalendarAdvance(Calendar,O2193,N2194,"f",FALSE)</f>
        <v>54687</v>
      </c>
      <c r="P2194" s="92">
        <f>_xll.qlCalendarAdvance(Calendar,O2194,NDays&amp;"D")</f>
        <v>54689</v>
      </c>
      <c r="Q2194" s="81" t="e">
        <v>#N/A</v>
      </c>
      <c r="R2194" s="85" t="e">
        <v>#N/A</v>
      </c>
    </row>
    <row r="2195" spans="14:18" x14ac:dyDescent="0.2">
      <c r="N2195" s="88" t="str">
        <f t="shared" si="39"/>
        <v>1w</v>
      </c>
      <c r="O2195" s="82">
        <f>_xll.qlCalendarAdvance(Calendar,O2194,N2195,"f",FALSE)</f>
        <v>54694</v>
      </c>
      <c r="P2195" s="92">
        <f>_xll.qlCalendarAdvance(Calendar,O2195,NDays&amp;"D")</f>
        <v>54696</v>
      </c>
      <c r="Q2195" s="81" t="e">
        <v>#N/A</v>
      </c>
      <c r="R2195" s="85" t="e">
        <v>#N/A</v>
      </c>
    </row>
    <row r="2196" spans="14:18" x14ac:dyDescent="0.2">
      <c r="N2196" s="88" t="str">
        <f t="shared" si="39"/>
        <v>1w</v>
      </c>
      <c r="O2196" s="82">
        <f>_xll.qlCalendarAdvance(Calendar,O2195,N2196,"f",FALSE)</f>
        <v>54701</v>
      </c>
      <c r="P2196" s="92">
        <f>_xll.qlCalendarAdvance(Calendar,O2196,NDays&amp;"D")</f>
        <v>54703</v>
      </c>
      <c r="Q2196" s="81" t="e">
        <v>#N/A</v>
      </c>
      <c r="R2196" s="85" t="e">
        <v>#N/A</v>
      </c>
    </row>
    <row r="2197" spans="14:18" x14ac:dyDescent="0.2">
      <c r="N2197" s="88" t="str">
        <f t="shared" ref="N2197:N2260" si="40">N2196</f>
        <v>1w</v>
      </c>
      <c r="O2197" s="82">
        <f>_xll.qlCalendarAdvance(Calendar,O2196,N2197,"f",FALSE)</f>
        <v>54708</v>
      </c>
      <c r="P2197" s="92">
        <f>_xll.qlCalendarAdvance(Calendar,O2197,NDays&amp;"D")</f>
        <v>54710</v>
      </c>
      <c r="Q2197" s="81" t="e">
        <v>#N/A</v>
      </c>
      <c r="R2197" s="85" t="e">
        <v>#N/A</v>
      </c>
    </row>
    <row r="2198" spans="14:18" x14ac:dyDescent="0.2">
      <c r="N2198" s="88" t="str">
        <f t="shared" si="40"/>
        <v>1w</v>
      </c>
      <c r="O2198" s="82">
        <f>_xll.qlCalendarAdvance(Calendar,O2197,N2198,"f",FALSE)</f>
        <v>54715</v>
      </c>
      <c r="P2198" s="92">
        <f>_xll.qlCalendarAdvance(Calendar,O2198,NDays&amp;"D")</f>
        <v>54717</v>
      </c>
      <c r="Q2198" s="81" t="e">
        <v>#N/A</v>
      </c>
      <c r="R2198" s="85" t="e">
        <v>#N/A</v>
      </c>
    </row>
    <row r="2199" spans="14:18" x14ac:dyDescent="0.2">
      <c r="N2199" s="88" t="str">
        <f t="shared" si="40"/>
        <v>1w</v>
      </c>
      <c r="O2199" s="82">
        <f>_xll.qlCalendarAdvance(Calendar,O2198,N2199,"f",FALSE)</f>
        <v>54722</v>
      </c>
      <c r="P2199" s="92">
        <f>_xll.qlCalendarAdvance(Calendar,O2199,NDays&amp;"D")</f>
        <v>54724</v>
      </c>
      <c r="Q2199" s="81" t="e">
        <v>#N/A</v>
      </c>
      <c r="R2199" s="85" t="e">
        <v>#N/A</v>
      </c>
    </row>
    <row r="2200" spans="14:18" x14ac:dyDescent="0.2">
      <c r="N2200" s="88" t="str">
        <f t="shared" si="40"/>
        <v>1w</v>
      </c>
      <c r="O2200" s="82">
        <f>_xll.qlCalendarAdvance(Calendar,O2199,N2200,"f",FALSE)</f>
        <v>54729</v>
      </c>
      <c r="P2200" s="92">
        <f>_xll.qlCalendarAdvance(Calendar,O2200,NDays&amp;"D")</f>
        <v>54731</v>
      </c>
      <c r="Q2200" s="81" t="e">
        <v>#N/A</v>
      </c>
      <c r="R2200" s="85" t="e">
        <v>#N/A</v>
      </c>
    </row>
    <row r="2201" spans="14:18" x14ac:dyDescent="0.2">
      <c r="N2201" s="88" t="str">
        <f t="shared" si="40"/>
        <v>1w</v>
      </c>
      <c r="O2201" s="82">
        <f>_xll.qlCalendarAdvance(Calendar,O2200,N2201,"f",FALSE)</f>
        <v>54736</v>
      </c>
      <c r="P2201" s="92">
        <f>_xll.qlCalendarAdvance(Calendar,O2201,NDays&amp;"D")</f>
        <v>54738</v>
      </c>
      <c r="Q2201" s="81" t="e">
        <v>#N/A</v>
      </c>
      <c r="R2201" s="85" t="e">
        <v>#N/A</v>
      </c>
    </row>
    <row r="2202" spans="14:18" x14ac:dyDescent="0.2">
      <c r="N2202" s="88" t="str">
        <f t="shared" si="40"/>
        <v>1w</v>
      </c>
      <c r="O2202" s="82">
        <f>_xll.qlCalendarAdvance(Calendar,O2201,N2202,"f",FALSE)</f>
        <v>54743</v>
      </c>
      <c r="P2202" s="92">
        <f>_xll.qlCalendarAdvance(Calendar,O2202,NDays&amp;"D")</f>
        <v>54745</v>
      </c>
      <c r="Q2202" s="81" t="e">
        <v>#N/A</v>
      </c>
      <c r="R2202" s="85" t="e">
        <v>#N/A</v>
      </c>
    </row>
    <row r="2203" spans="14:18" x14ac:dyDescent="0.2">
      <c r="N2203" s="88" t="str">
        <f t="shared" si="40"/>
        <v>1w</v>
      </c>
      <c r="O2203" s="82">
        <f>_xll.qlCalendarAdvance(Calendar,O2202,N2203,"f",FALSE)</f>
        <v>54750</v>
      </c>
      <c r="P2203" s="92">
        <f>_xll.qlCalendarAdvance(Calendar,O2203,NDays&amp;"D")</f>
        <v>54752</v>
      </c>
      <c r="Q2203" s="81" t="e">
        <v>#N/A</v>
      </c>
      <c r="R2203" s="85" t="e">
        <v>#N/A</v>
      </c>
    </row>
    <row r="2204" spans="14:18" x14ac:dyDescent="0.2">
      <c r="N2204" s="88" t="str">
        <f t="shared" si="40"/>
        <v>1w</v>
      </c>
      <c r="O2204" s="82">
        <f>_xll.qlCalendarAdvance(Calendar,O2203,N2204,"f",FALSE)</f>
        <v>54757</v>
      </c>
      <c r="P2204" s="92">
        <f>_xll.qlCalendarAdvance(Calendar,O2204,NDays&amp;"D")</f>
        <v>54759</v>
      </c>
      <c r="Q2204" s="81" t="e">
        <v>#N/A</v>
      </c>
      <c r="R2204" s="85" t="e">
        <v>#N/A</v>
      </c>
    </row>
    <row r="2205" spans="14:18" x14ac:dyDescent="0.2">
      <c r="N2205" s="88" t="str">
        <f t="shared" si="40"/>
        <v>1w</v>
      </c>
      <c r="O2205" s="82">
        <f>_xll.qlCalendarAdvance(Calendar,O2204,N2205,"f",FALSE)</f>
        <v>54764</v>
      </c>
      <c r="P2205" s="92">
        <f>_xll.qlCalendarAdvance(Calendar,O2205,NDays&amp;"D")</f>
        <v>54766</v>
      </c>
      <c r="Q2205" s="81" t="e">
        <v>#N/A</v>
      </c>
      <c r="R2205" s="85" t="e">
        <v>#N/A</v>
      </c>
    </row>
    <row r="2206" spans="14:18" x14ac:dyDescent="0.2">
      <c r="N2206" s="88" t="str">
        <f t="shared" si="40"/>
        <v>1w</v>
      </c>
      <c r="O2206" s="82">
        <f>_xll.qlCalendarAdvance(Calendar,O2205,N2206,"f",FALSE)</f>
        <v>54771</v>
      </c>
      <c r="P2206" s="92">
        <f>_xll.qlCalendarAdvance(Calendar,O2206,NDays&amp;"D")</f>
        <v>54773</v>
      </c>
      <c r="Q2206" s="81" t="e">
        <v>#N/A</v>
      </c>
      <c r="R2206" s="85" t="e">
        <v>#N/A</v>
      </c>
    </row>
    <row r="2207" spans="14:18" x14ac:dyDescent="0.2">
      <c r="N2207" s="88" t="str">
        <f t="shared" si="40"/>
        <v>1w</v>
      </c>
      <c r="O2207" s="82">
        <f>_xll.qlCalendarAdvance(Calendar,O2206,N2207,"f",FALSE)</f>
        <v>54778</v>
      </c>
      <c r="P2207" s="92">
        <f>_xll.qlCalendarAdvance(Calendar,O2207,NDays&amp;"D")</f>
        <v>54780</v>
      </c>
      <c r="Q2207" s="81" t="e">
        <v>#N/A</v>
      </c>
      <c r="R2207" s="85" t="e">
        <v>#N/A</v>
      </c>
    </row>
    <row r="2208" spans="14:18" x14ac:dyDescent="0.2">
      <c r="N2208" s="88" t="str">
        <f t="shared" si="40"/>
        <v>1w</v>
      </c>
      <c r="O2208" s="82">
        <f>_xll.qlCalendarAdvance(Calendar,O2207,N2208,"f",FALSE)</f>
        <v>54785</v>
      </c>
      <c r="P2208" s="92">
        <f>_xll.qlCalendarAdvance(Calendar,O2208,NDays&amp;"D")</f>
        <v>54787</v>
      </c>
      <c r="Q2208" s="81" t="e">
        <v>#N/A</v>
      </c>
      <c r="R2208" s="85" t="e">
        <v>#N/A</v>
      </c>
    </row>
    <row r="2209" spans="14:18" x14ac:dyDescent="0.2">
      <c r="N2209" s="88" t="str">
        <f t="shared" si="40"/>
        <v>1w</v>
      </c>
      <c r="O2209" s="82">
        <f>_xll.qlCalendarAdvance(Calendar,O2208,N2209,"f",FALSE)</f>
        <v>54792</v>
      </c>
      <c r="P2209" s="92">
        <f>_xll.qlCalendarAdvance(Calendar,O2209,NDays&amp;"D")</f>
        <v>54795</v>
      </c>
      <c r="Q2209" s="81" t="e">
        <v>#N/A</v>
      </c>
      <c r="R2209" s="85" t="e">
        <v>#N/A</v>
      </c>
    </row>
    <row r="2210" spans="14:18" x14ac:dyDescent="0.2">
      <c r="N2210" s="88" t="str">
        <f t="shared" si="40"/>
        <v>1w</v>
      </c>
      <c r="O2210" s="82">
        <f>_xll.qlCalendarAdvance(Calendar,O2209,N2210,"f",FALSE)</f>
        <v>54799</v>
      </c>
      <c r="P2210" s="92">
        <f>_xll.qlCalendarAdvance(Calendar,O2210,NDays&amp;"D")</f>
        <v>54801</v>
      </c>
      <c r="Q2210" s="81" t="e">
        <v>#N/A</v>
      </c>
      <c r="R2210" s="85" t="e">
        <v>#N/A</v>
      </c>
    </row>
    <row r="2211" spans="14:18" x14ac:dyDescent="0.2">
      <c r="N2211" s="88" t="str">
        <f t="shared" si="40"/>
        <v>1w</v>
      </c>
      <c r="O2211" s="82">
        <f>_xll.qlCalendarAdvance(Calendar,O2210,N2211,"f",FALSE)</f>
        <v>54806</v>
      </c>
      <c r="P2211" s="92">
        <f>_xll.qlCalendarAdvance(Calendar,O2211,NDays&amp;"D")</f>
        <v>54808</v>
      </c>
      <c r="Q2211" s="81" t="e">
        <v>#N/A</v>
      </c>
      <c r="R2211" s="85" t="e">
        <v>#N/A</v>
      </c>
    </row>
    <row r="2212" spans="14:18" x14ac:dyDescent="0.2">
      <c r="N2212" s="88" t="str">
        <f t="shared" si="40"/>
        <v>1w</v>
      </c>
      <c r="O2212" s="82">
        <f>_xll.qlCalendarAdvance(Calendar,O2211,N2212,"f",FALSE)</f>
        <v>54813</v>
      </c>
      <c r="P2212" s="92">
        <f>_xll.qlCalendarAdvance(Calendar,O2212,NDays&amp;"D")</f>
        <v>54815</v>
      </c>
      <c r="Q2212" s="81" t="e">
        <v>#N/A</v>
      </c>
      <c r="R2212" s="85" t="e">
        <v>#N/A</v>
      </c>
    </row>
    <row r="2213" spans="14:18" x14ac:dyDescent="0.2">
      <c r="N2213" s="88" t="str">
        <f t="shared" si="40"/>
        <v>1w</v>
      </c>
      <c r="O2213" s="82">
        <f>_xll.qlCalendarAdvance(Calendar,O2212,N2213,"f",FALSE)</f>
        <v>54820</v>
      </c>
      <c r="P2213" s="92">
        <f>_xll.qlCalendarAdvance(Calendar,O2213,NDays&amp;"D")</f>
        <v>54822</v>
      </c>
      <c r="Q2213" s="81" t="e">
        <v>#N/A</v>
      </c>
      <c r="R2213" s="85" t="e">
        <v>#N/A</v>
      </c>
    </row>
    <row r="2214" spans="14:18" x14ac:dyDescent="0.2">
      <c r="N2214" s="88" t="str">
        <f t="shared" si="40"/>
        <v>1w</v>
      </c>
      <c r="O2214" s="82">
        <f>_xll.qlCalendarAdvance(Calendar,O2213,N2214,"f",FALSE)</f>
        <v>54827</v>
      </c>
      <c r="P2214" s="92">
        <f>_xll.qlCalendarAdvance(Calendar,O2214,NDays&amp;"D")</f>
        <v>54829</v>
      </c>
      <c r="Q2214" s="81" t="e">
        <v>#N/A</v>
      </c>
      <c r="R2214" s="85" t="e">
        <v>#N/A</v>
      </c>
    </row>
    <row r="2215" spans="14:18" x14ac:dyDescent="0.2">
      <c r="N2215" s="88" t="str">
        <f t="shared" si="40"/>
        <v>1w</v>
      </c>
      <c r="O2215" s="82">
        <f>_xll.qlCalendarAdvance(Calendar,O2214,N2215,"f",FALSE)</f>
        <v>54834</v>
      </c>
      <c r="P2215" s="92">
        <f>_xll.qlCalendarAdvance(Calendar,O2215,NDays&amp;"D")</f>
        <v>54836</v>
      </c>
      <c r="Q2215" s="81" t="e">
        <v>#N/A</v>
      </c>
      <c r="R2215" s="85" t="e">
        <v>#N/A</v>
      </c>
    </row>
    <row r="2216" spans="14:18" x14ac:dyDescent="0.2">
      <c r="N2216" s="88" t="str">
        <f t="shared" si="40"/>
        <v>1w</v>
      </c>
      <c r="O2216" s="82">
        <f>_xll.qlCalendarAdvance(Calendar,O2215,N2216,"f",FALSE)</f>
        <v>54841</v>
      </c>
      <c r="P2216" s="92">
        <f>_xll.qlCalendarAdvance(Calendar,O2216,NDays&amp;"D")</f>
        <v>54843</v>
      </c>
      <c r="Q2216" s="81" t="e">
        <v>#N/A</v>
      </c>
      <c r="R2216" s="85" t="e">
        <v>#N/A</v>
      </c>
    </row>
    <row r="2217" spans="14:18" x14ac:dyDescent="0.2">
      <c r="N2217" s="88" t="str">
        <f t="shared" si="40"/>
        <v>1w</v>
      </c>
      <c r="O2217" s="82">
        <f>_xll.qlCalendarAdvance(Calendar,O2216,N2217,"f",FALSE)</f>
        <v>54848</v>
      </c>
      <c r="P2217" s="92">
        <f>_xll.qlCalendarAdvance(Calendar,O2217,NDays&amp;"D")</f>
        <v>54850</v>
      </c>
      <c r="Q2217" s="81" t="e">
        <v>#N/A</v>
      </c>
      <c r="R2217" s="85" t="e">
        <v>#N/A</v>
      </c>
    </row>
    <row r="2218" spans="14:18" x14ac:dyDescent="0.2">
      <c r="N2218" s="88" t="str">
        <f t="shared" si="40"/>
        <v>1w</v>
      </c>
      <c r="O2218" s="82">
        <f>_xll.qlCalendarAdvance(Calendar,O2217,N2218,"f",FALSE)</f>
        <v>54855</v>
      </c>
      <c r="P2218" s="92">
        <f>_xll.qlCalendarAdvance(Calendar,O2218,NDays&amp;"D")</f>
        <v>54857</v>
      </c>
      <c r="Q2218" s="81" t="e">
        <v>#N/A</v>
      </c>
      <c r="R2218" s="85" t="e">
        <v>#N/A</v>
      </c>
    </row>
    <row r="2219" spans="14:18" x14ac:dyDescent="0.2">
      <c r="N2219" s="88" t="str">
        <f t="shared" si="40"/>
        <v>1w</v>
      </c>
      <c r="O2219" s="82">
        <f>_xll.qlCalendarAdvance(Calendar,O2218,N2219,"f",FALSE)</f>
        <v>54862</v>
      </c>
      <c r="P2219" s="92">
        <f>_xll.qlCalendarAdvance(Calendar,O2219,NDays&amp;"D")</f>
        <v>54864</v>
      </c>
      <c r="Q2219" s="81" t="e">
        <v>#N/A</v>
      </c>
      <c r="R2219" s="85" t="e">
        <v>#N/A</v>
      </c>
    </row>
    <row r="2220" spans="14:18" x14ac:dyDescent="0.2">
      <c r="N2220" s="88" t="str">
        <f t="shared" si="40"/>
        <v>1w</v>
      </c>
      <c r="O2220" s="82">
        <f>_xll.qlCalendarAdvance(Calendar,O2219,N2220,"f",FALSE)</f>
        <v>54869</v>
      </c>
      <c r="P2220" s="92">
        <f>_xll.qlCalendarAdvance(Calendar,O2220,NDays&amp;"D")</f>
        <v>54871</v>
      </c>
      <c r="Q2220" s="81" t="e">
        <v>#N/A</v>
      </c>
      <c r="R2220" s="85" t="e">
        <v>#N/A</v>
      </c>
    </row>
    <row r="2221" spans="14:18" x14ac:dyDescent="0.2">
      <c r="N2221" s="88" t="str">
        <f t="shared" si="40"/>
        <v>1w</v>
      </c>
      <c r="O2221" s="82">
        <f>_xll.qlCalendarAdvance(Calendar,O2220,N2221,"f",FALSE)</f>
        <v>54876</v>
      </c>
      <c r="P2221" s="92">
        <f>_xll.qlCalendarAdvance(Calendar,O2221,NDays&amp;"D")</f>
        <v>54878</v>
      </c>
      <c r="Q2221" s="81" t="e">
        <v>#N/A</v>
      </c>
      <c r="R2221" s="85" t="e">
        <v>#N/A</v>
      </c>
    </row>
    <row r="2222" spans="14:18" x14ac:dyDescent="0.2">
      <c r="N2222" s="88" t="str">
        <f t="shared" si="40"/>
        <v>1w</v>
      </c>
      <c r="O2222" s="82">
        <f>_xll.qlCalendarAdvance(Calendar,O2221,N2222,"f",FALSE)</f>
        <v>54883</v>
      </c>
      <c r="P2222" s="92">
        <f>_xll.qlCalendarAdvance(Calendar,O2222,NDays&amp;"D")</f>
        <v>54885</v>
      </c>
      <c r="Q2222" s="81" t="e">
        <v>#N/A</v>
      </c>
      <c r="R2222" s="85" t="e">
        <v>#N/A</v>
      </c>
    </row>
    <row r="2223" spans="14:18" x14ac:dyDescent="0.2">
      <c r="N2223" s="88" t="str">
        <f t="shared" si="40"/>
        <v>1w</v>
      </c>
      <c r="O2223" s="82">
        <f>_xll.qlCalendarAdvance(Calendar,O2222,N2223,"f",FALSE)</f>
        <v>54890</v>
      </c>
      <c r="P2223" s="92">
        <f>_xll.qlCalendarAdvance(Calendar,O2223,NDays&amp;"D")</f>
        <v>54892</v>
      </c>
      <c r="Q2223" s="81" t="e">
        <v>#N/A</v>
      </c>
      <c r="R2223" s="85" t="e">
        <v>#N/A</v>
      </c>
    </row>
    <row r="2224" spans="14:18" x14ac:dyDescent="0.2">
      <c r="N2224" s="88" t="str">
        <f t="shared" si="40"/>
        <v>1w</v>
      </c>
      <c r="O2224" s="82">
        <f>_xll.qlCalendarAdvance(Calendar,O2223,N2224,"f",FALSE)</f>
        <v>54897</v>
      </c>
      <c r="P2224" s="92">
        <f>_xll.qlCalendarAdvance(Calendar,O2224,NDays&amp;"D")</f>
        <v>54899</v>
      </c>
      <c r="Q2224" s="81" t="e">
        <v>#N/A</v>
      </c>
      <c r="R2224" s="85" t="e">
        <v>#N/A</v>
      </c>
    </row>
    <row r="2225" spans="14:18" x14ac:dyDescent="0.2">
      <c r="N2225" s="88" t="str">
        <f t="shared" si="40"/>
        <v>1w</v>
      </c>
      <c r="O2225" s="82">
        <f>_xll.qlCalendarAdvance(Calendar,O2224,N2225,"f",FALSE)</f>
        <v>54904</v>
      </c>
      <c r="P2225" s="92">
        <f>_xll.qlCalendarAdvance(Calendar,O2225,NDays&amp;"D")</f>
        <v>54906</v>
      </c>
      <c r="Q2225" s="81" t="e">
        <v>#N/A</v>
      </c>
      <c r="R2225" s="85" t="e">
        <v>#N/A</v>
      </c>
    </row>
    <row r="2226" spans="14:18" x14ac:dyDescent="0.2">
      <c r="N2226" s="88" t="str">
        <f t="shared" si="40"/>
        <v>1w</v>
      </c>
      <c r="O2226" s="82">
        <f>_xll.qlCalendarAdvance(Calendar,O2225,N2226,"f",FALSE)</f>
        <v>54911</v>
      </c>
      <c r="P2226" s="92">
        <f>_xll.qlCalendarAdvance(Calendar,O2226,NDays&amp;"D")</f>
        <v>54913</v>
      </c>
      <c r="Q2226" s="81" t="e">
        <v>#N/A</v>
      </c>
      <c r="R2226" s="85" t="e">
        <v>#N/A</v>
      </c>
    </row>
    <row r="2227" spans="14:18" x14ac:dyDescent="0.2">
      <c r="N2227" s="88" t="str">
        <f t="shared" si="40"/>
        <v>1w</v>
      </c>
      <c r="O2227" s="82">
        <f>_xll.qlCalendarAdvance(Calendar,O2226,N2227,"f",FALSE)</f>
        <v>54918</v>
      </c>
      <c r="P2227" s="92">
        <f>_xll.qlCalendarAdvance(Calendar,O2227,NDays&amp;"D")</f>
        <v>54920</v>
      </c>
      <c r="Q2227" s="81" t="e">
        <v>#N/A</v>
      </c>
      <c r="R2227" s="85" t="e">
        <v>#N/A</v>
      </c>
    </row>
    <row r="2228" spans="14:18" x14ac:dyDescent="0.2">
      <c r="N2228" s="88" t="str">
        <f t="shared" si="40"/>
        <v>1w</v>
      </c>
      <c r="O2228" s="82">
        <f>_xll.qlCalendarAdvance(Calendar,O2227,N2228,"f",FALSE)</f>
        <v>54925</v>
      </c>
      <c r="P2228" s="92">
        <f>_xll.qlCalendarAdvance(Calendar,O2228,NDays&amp;"D")</f>
        <v>54928</v>
      </c>
      <c r="Q2228" s="81" t="e">
        <v>#N/A</v>
      </c>
      <c r="R2228" s="85" t="e">
        <v>#N/A</v>
      </c>
    </row>
    <row r="2229" spans="14:18" x14ac:dyDescent="0.2">
      <c r="N2229" s="88" t="str">
        <f t="shared" si="40"/>
        <v>1w</v>
      </c>
      <c r="O2229" s="82">
        <f>_xll.qlCalendarAdvance(Calendar,O2228,N2229,"f",FALSE)</f>
        <v>54932</v>
      </c>
      <c r="P2229" s="92">
        <f>_xll.qlCalendarAdvance(Calendar,O2229,NDays&amp;"D")</f>
        <v>54934</v>
      </c>
      <c r="Q2229" s="81" t="e">
        <v>#N/A</v>
      </c>
      <c r="R2229" s="85" t="e">
        <v>#N/A</v>
      </c>
    </row>
    <row r="2230" spans="14:18" x14ac:dyDescent="0.2">
      <c r="N2230" s="88" t="str">
        <f t="shared" si="40"/>
        <v>1w</v>
      </c>
      <c r="O2230" s="82">
        <f>_xll.qlCalendarAdvance(Calendar,O2229,N2230,"f",FALSE)</f>
        <v>54939</v>
      </c>
      <c r="P2230" s="92">
        <f>_xll.qlCalendarAdvance(Calendar,O2230,NDays&amp;"D")</f>
        <v>54941</v>
      </c>
      <c r="Q2230" s="81" t="e">
        <v>#N/A</v>
      </c>
      <c r="R2230" s="85" t="e">
        <v>#N/A</v>
      </c>
    </row>
    <row r="2231" spans="14:18" x14ac:dyDescent="0.2">
      <c r="N2231" s="88" t="str">
        <f t="shared" si="40"/>
        <v>1w</v>
      </c>
      <c r="O2231" s="82">
        <f>_xll.qlCalendarAdvance(Calendar,O2230,N2231,"f",FALSE)</f>
        <v>54946</v>
      </c>
      <c r="P2231" s="92">
        <f>_xll.qlCalendarAdvance(Calendar,O2231,NDays&amp;"D")</f>
        <v>54948</v>
      </c>
      <c r="Q2231" s="81" t="e">
        <v>#N/A</v>
      </c>
      <c r="R2231" s="85" t="e">
        <v>#N/A</v>
      </c>
    </row>
    <row r="2232" spans="14:18" x14ac:dyDescent="0.2">
      <c r="N2232" s="88" t="str">
        <f t="shared" si="40"/>
        <v>1w</v>
      </c>
      <c r="O2232" s="82">
        <f>_xll.qlCalendarAdvance(Calendar,O2231,N2232,"f",FALSE)</f>
        <v>54953</v>
      </c>
      <c r="P2232" s="92">
        <f>_xll.qlCalendarAdvance(Calendar,O2232,NDays&amp;"D")</f>
        <v>54955</v>
      </c>
      <c r="Q2232" s="81" t="e">
        <v>#N/A</v>
      </c>
      <c r="R2232" s="85" t="e">
        <v>#N/A</v>
      </c>
    </row>
    <row r="2233" spans="14:18" x14ac:dyDescent="0.2">
      <c r="N2233" s="88" t="str">
        <f t="shared" si="40"/>
        <v>1w</v>
      </c>
      <c r="O2233" s="82">
        <f>_xll.qlCalendarAdvance(Calendar,O2232,N2233,"f",FALSE)</f>
        <v>54960</v>
      </c>
      <c r="P2233" s="92">
        <f>_xll.qlCalendarAdvance(Calendar,O2233,NDays&amp;"D")</f>
        <v>54962</v>
      </c>
      <c r="Q2233" s="81" t="e">
        <v>#N/A</v>
      </c>
      <c r="R2233" s="85" t="e">
        <v>#N/A</v>
      </c>
    </row>
    <row r="2234" spans="14:18" x14ac:dyDescent="0.2">
      <c r="N2234" s="88" t="str">
        <f t="shared" si="40"/>
        <v>1w</v>
      </c>
      <c r="O2234" s="82">
        <f>_xll.qlCalendarAdvance(Calendar,O2233,N2234,"f",FALSE)</f>
        <v>54967</v>
      </c>
      <c r="P2234" s="92">
        <f>_xll.qlCalendarAdvance(Calendar,O2234,NDays&amp;"D")</f>
        <v>54969</v>
      </c>
      <c r="Q2234" s="81" t="e">
        <v>#N/A</v>
      </c>
      <c r="R2234" s="85" t="e">
        <v>#N/A</v>
      </c>
    </row>
    <row r="2235" spans="14:18" x14ac:dyDescent="0.2">
      <c r="N2235" s="88" t="str">
        <f t="shared" si="40"/>
        <v>1w</v>
      </c>
      <c r="O2235" s="82">
        <f>_xll.qlCalendarAdvance(Calendar,O2234,N2235,"f",FALSE)</f>
        <v>54974</v>
      </c>
      <c r="P2235" s="92">
        <f>_xll.qlCalendarAdvance(Calendar,O2235,NDays&amp;"D")</f>
        <v>54976</v>
      </c>
      <c r="Q2235" s="81" t="e">
        <v>#N/A</v>
      </c>
      <c r="R2235" s="85" t="e">
        <v>#N/A</v>
      </c>
    </row>
    <row r="2236" spans="14:18" x14ac:dyDescent="0.2">
      <c r="N2236" s="88" t="str">
        <f t="shared" si="40"/>
        <v>1w</v>
      </c>
      <c r="O2236" s="82">
        <f>_xll.qlCalendarAdvance(Calendar,O2235,N2236,"f",FALSE)</f>
        <v>54981</v>
      </c>
      <c r="P2236" s="92">
        <f>_xll.qlCalendarAdvance(Calendar,O2236,NDays&amp;"D")</f>
        <v>54983</v>
      </c>
      <c r="Q2236" s="81" t="e">
        <v>#N/A</v>
      </c>
      <c r="R2236" s="85" t="e">
        <v>#N/A</v>
      </c>
    </row>
    <row r="2237" spans="14:18" x14ac:dyDescent="0.2">
      <c r="N2237" s="88" t="str">
        <f t="shared" si="40"/>
        <v>1w</v>
      </c>
      <c r="O2237" s="82">
        <f>_xll.qlCalendarAdvance(Calendar,O2236,N2237,"f",FALSE)</f>
        <v>54988</v>
      </c>
      <c r="P2237" s="92">
        <f>_xll.qlCalendarAdvance(Calendar,O2237,NDays&amp;"D")</f>
        <v>54990</v>
      </c>
      <c r="Q2237" s="81" t="e">
        <v>#N/A</v>
      </c>
      <c r="R2237" s="85" t="e">
        <v>#N/A</v>
      </c>
    </row>
    <row r="2238" spans="14:18" x14ac:dyDescent="0.2">
      <c r="N2238" s="88" t="str">
        <f t="shared" si="40"/>
        <v>1w</v>
      </c>
      <c r="O2238" s="82">
        <f>_xll.qlCalendarAdvance(Calendar,O2237,N2238,"f",FALSE)</f>
        <v>54995</v>
      </c>
      <c r="P2238" s="92">
        <f>_xll.qlCalendarAdvance(Calendar,O2238,NDays&amp;"D")</f>
        <v>54997</v>
      </c>
      <c r="Q2238" s="81" t="e">
        <v>#N/A</v>
      </c>
      <c r="R2238" s="85" t="e">
        <v>#N/A</v>
      </c>
    </row>
    <row r="2239" spans="14:18" x14ac:dyDescent="0.2">
      <c r="N2239" s="88" t="str">
        <f t="shared" si="40"/>
        <v>1w</v>
      </c>
      <c r="O2239" s="82">
        <f>_xll.qlCalendarAdvance(Calendar,O2238,N2239,"f",FALSE)</f>
        <v>55002</v>
      </c>
      <c r="P2239" s="92">
        <f>_xll.qlCalendarAdvance(Calendar,O2239,NDays&amp;"D")</f>
        <v>55004</v>
      </c>
      <c r="Q2239" s="81" t="e">
        <v>#N/A</v>
      </c>
      <c r="R2239" s="85" t="e">
        <v>#N/A</v>
      </c>
    </row>
    <row r="2240" spans="14:18" x14ac:dyDescent="0.2">
      <c r="N2240" s="88" t="str">
        <f t="shared" si="40"/>
        <v>1w</v>
      </c>
      <c r="O2240" s="82">
        <f>_xll.qlCalendarAdvance(Calendar,O2239,N2240,"f",FALSE)</f>
        <v>55009</v>
      </c>
      <c r="P2240" s="92">
        <f>_xll.qlCalendarAdvance(Calendar,O2240,NDays&amp;"D")</f>
        <v>55011</v>
      </c>
      <c r="Q2240" s="81" t="e">
        <v>#N/A</v>
      </c>
      <c r="R2240" s="85" t="e">
        <v>#N/A</v>
      </c>
    </row>
    <row r="2241" spans="14:18" x14ac:dyDescent="0.2">
      <c r="N2241" s="88" t="str">
        <f t="shared" si="40"/>
        <v>1w</v>
      </c>
      <c r="O2241" s="82">
        <f>_xll.qlCalendarAdvance(Calendar,O2240,N2241,"f",FALSE)</f>
        <v>55016</v>
      </c>
      <c r="P2241" s="92">
        <f>_xll.qlCalendarAdvance(Calendar,O2241,NDays&amp;"D")</f>
        <v>55018</v>
      </c>
      <c r="Q2241" s="81" t="e">
        <v>#N/A</v>
      </c>
      <c r="R2241" s="85" t="e">
        <v>#N/A</v>
      </c>
    </row>
    <row r="2242" spans="14:18" x14ac:dyDescent="0.2">
      <c r="N2242" s="88" t="str">
        <f t="shared" si="40"/>
        <v>1w</v>
      </c>
      <c r="O2242" s="82">
        <f>_xll.qlCalendarAdvance(Calendar,O2241,N2242,"f",FALSE)</f>
        <v>55023</v>
      </c>
      <c r="P2242" s="92">
        <f>_xll.qlCalendarAdvance(Calendar,O2242,NDays&amp;"D")</f>
        <v>55025</v>
      </c>
      <c r="Q2242" s="81" t="e">
        <v>#N/A</v>
      </c>
      <c r="R2242" s="85" t="e">
        <v>#N/A</v>
      </c>
    </row>
    <row r="2243" spans="14:18" x14ac:dyDescent="0.2">
      <c r="N2243" s="88" t="str">
        <f t="shared" si="40"/>
        <v>1w</v>
      </c>
      <c r="O2243" s="82">
        <f>_xll.qlCalendarAdvance(Calendar,O2242,N2243,"f",FALSE)</f>
        <v>55030</v>
      </c>
      <c r="P2243" s="92">
        <f>_xll.qlCalendarAdvance(Calendar,O2243,NDays&amp;"D")</f>
        <v>55032</v>
      </c>
      <c r="Q2243" s="81" t="e">
        <v>#N/A</v>
      </c>
      <c r="R2243" s="85" t="e">
        <v>#N/A</v>
      </c>
    </row>
    <row r="2244" spans="14:18" x14ac:dyDescent="0.2">
      <c r="N2244" s="88" t="str">
        <f t="shared" si="40"/>
        <v>1w</v>
      </c>
      <c r="O2244" s="82">
        <f>_xll.qlCalendarAdvance(Calendar,O2243,N2244,"f",FALSE)</f>
        <v>55037</v>
      </c>
      <c r="P2244" s="92">
        <f>_xll.qlCalendarAdvance(Calendar,O2244,NDays&amp;"D")</f>
        <v>55039</v>
      </c>
      <c r="Q2244" s="81" t="e">
        <v>#N/A</v>
      </c>
      <c r="R2244" s="85" t="e">
        <v>#N/A</v>
      </c>
    </row>
    <row r="2245" spans="14:18" x14ac:dyDescent="0.2">
      <c r="N2245" s="88" t="str">
        <f t="shared" si="40"/>
        <v>1w</v>
      </c>
      <c r="O2245" s="82">
        <f>_xll.qlCalendarAdvance(Calendar,O2244,N2245,"f",FALSE)</f>
        <v>55044</v>
      </c>
      <c r="P2245" s="92">
        <f>_xll.qlCalendarAdvance(Calendar,O2245,NDays&amp;"D")</f>
        <v>55046</v>
      </c>
      <c r="Q2245" s="81" t="e">
        <v>#N/A</v>
      </c>
      <c r="R2245" s="85" t="e">
        <v>#N/A</v>
      </c>
    </row>
    <row r="2246" spans="14:18" x14ac:dyDescent="0.2">
      <c r="N2246" s="88" t="str">
        <f t="shared" si="40"/>
        <v>1w</v>
      </c>
      <c r="O2246" s="82">
        <f>_xll.qlCalendarAdvance(Calendar,O2245,N2246,"f",FALSE)</f>
        <v>55051</v>
      </c>
      <c r="P2246" s="92">
        <f>_xll.qlCalendarAdvance(Calendar,O2246,NDays&amp;"D")</f>
        <v>55053</v>
      </c>
      <c r="Q2246" s="81" t="e">
        <v>#N/A</v>
      </c>
      <c r="R2246" s="85" t="e">
        <v>#N/A</v>
      </c>
    </row>
    <row r="2247" spans="14:18" x14ac:dyDescent="0.2">
      <c r="N2247" s="88" t="str">
        <f t="shared" si="40"/>
        <v>1w</v>
      </c>
      <c r="O2247" s="82">
        <f>_xll.qlCalendarAdvance(Calendar,O2246,N2247,"f",FALSE)</f>
        <v>55058</v>
      </c>
      <c r="P2247" s="92">
        <f>_xll.qlCalendarAdvance(Calendar,O2247,NDays&amp;"D")</f>
        <v>55060</v>
      </c>
      <c r="Q2247" s="81" t="e">
        <v>#N/A</v>
      </c>
      <c r="R2247" s="85" t="e">
        <v>#N/A</v>
      </c>
    </row>
    <row r="2248" spans="14:18" x14ac:dyDescent="0.2">
      <c r="N2248" s="88" t="str">
        <f t="shared" si="40"/>
        <v>1w</v>
      </c>
      <c r="O2248" s="82">
        <f>_xll.qlCalendarAdvance(Calendar,O2247,N2248,"f",FALSE)</f>
        <v>55065</v>
      </c>
      <c r="P2248" s="92">
        <f>_xll.qlCalendarAdvance(Calendar,O2248,NDays&amp;"D")</f>
        <v>55067</v>
      </c>
      <c r="Q2248" s="81" t="e">
        <v>#N/A</v>
      </c>
      <c r="R2248" s="85" t="e">
        <v>#N/A</v>
      </c>
    </row>
    <row r="2249" spans="14:18" x14ac:dyDescent="0.2">
      <c r="N2249" s="88" t="str">
        <f t="shared" si="40"/>
        <v>1w</v>
      </c>
      <c r="O2249" s="82">
        <f>_xll.qlCalendarAdvance(Calendar,O2248,N2249,"f",FALSE)</f>
        <v>55072</v>
      </c>
      <c r="P2249" s="92">
        <f>_xll.qlCalendarAdvance(Calendar,O2249,NDays&amp;"D")</f>
        <v>55074</v>
      </c>
      <c r="Q2249" s="81" t="e">
        <v>#N/A</v>
      </c>
      <c r="R2249" s="85" t="e">
        <v>#N/A</v>
      </c>
    </row>
    <row r="2250" spans="14:18" x14ac:dyDescent="0.2">
      <c r="N2250" s="88" t="str">
        <f t="shared" si="40"/>
        <v>1w</v>
      </c>
      <c r="O2250" s="82">
        <f>_xll.qlCalendarAdvance(Calendar,O2249,N2250,"f",FALSE)</f>
        <v>55079</v>
      </c>
      <c r="P2250" s="92">
        <f>_xll.qlCalendarAdvance(Calendar,O2250,NDays&amp;"D")</f>
        <v>55081</v>
      </c>
      <c r="Q2250" s="81" t="e">
        <v>#N/A</v>
      </c>
      <c r="R2250" s="85" t="e">
        <v>#N/A</v>
      </c>
    </row>
    <row r="2251" spans="14:18" x14ac:dyDescent="0.2">
      <c r="N2251" s="88" t="str">
        <f t="shared" si="40"/>
        <v>1w</v>
      </c>
      <c r="O2251" s="82">
        <f>_xll.qlCalendarAdvance(Calendar,O2250,N2251,"f",FALSE)</f>
        <v>55086</v>
      </c>
      <c r="P2251" s="92">
        <f>_xll.qlCalendarAdvance(Calendar,O2251,NDays&amp;"D")</f>
        <v>55088</v>
      </c>
      <c r="Q2251" s="81" t="e">
        <v>#N/A</v>
      </c>
      <c r="R2251" s="85" t="e">
        <v>#N/A</v>
      </c>
    </row>
    <row r="2252" spans="14:18" x14ac:dyDescent="0.2">
      <c r="N2252" s="88" t="str">
        <f t="shared" si="40"/>
        <v>1w</v>
      </c>
      <c r="O2252" s="82">
        <f>_xll.qlCalendarAdvance(Calendar,O2251,N2252,"f",FALSE)</f>
        <v>55093</v>
      </c>
      <c r="P2252" s="92">
        <f>_xll.qlCalendarAdvance(Calendar,O2252,NDays&amp;"D")</f>
        <v>55095</v>
      </c>
      <c r="Q2252" s="81" t="e">
        <v>#N/A</v>
      </c>
      <c r="R2252" s="85" t="e">
        <v>#N/A</v>
      </c>
    </row>
    <row r="2253" spans="14:18" x14ac:dyDescent="0.2">
      <c r="N2253" s="88" t="str">
        <f t="shared" si="40"/>
        <v>1w</v>
      </c>
      <c r="O2253" s="82">
        <f>_xll.qlCalendarAdvance(Calendar,O2252,N2253,"f",FALSE)</f>
        <v>55100</v>
      </c>
      <c r="P2253" s="92">
        <f>_xll.qlCalendarAdvance(Calendar,O2253,NDays&amp;"D")</f>
        <v>55102</v>
      </c>
      <c r="Q2253" s="81" t="e">
        <v>#N/A</v>
      </c>
      <c r="R2253" s="85" t="e">
        <v>#N/A</v>
      </c>
    </row>
    <row r="2254" spans="14:18" x14ac:dyDescent="0.2">
      <c r="N2254" s="88" t="str">
        <f t="shared" si="40"/>
        <v>1w</v>
      </c>
      <c r="O2254" s="82">
        <f>_xll.qlCalendarAdvance(Calendar,O2253,N2254,"f",FALSE)</f>
        <v>55107</v>
      </c>
      <c r="P2254" s="92">
        <f>_xll.qlCalendarAdvance(Calendar,O2254,NDays&amp;"D")</f>
        <v>55109</v>
      </c>
      <c r="Q2254" s="81" t="e">
        <v>#N/A</v>
      </c>
      <c r="R2254" s="85" t="e">
        <v>#N/A</v>
      </c>
    </row>
    <row r="2255" spans="14:18" x14ac:dyDescent="0.2">
      <c r="N2255" s="88" t="str">
        <f t="shared" si="40"/>
        <v>1w</v>
      </c>
      <c r="O2255" s="82">
        <f>_xll.qlCalendarAdvance(Calendar,O2254,N2255,"f",FALSE)</f>
        <v>55114</v>
      </c>
      <c r="P2255" s="92">
        <f>_xll.qlCalendarAdvance(Calendar,O2255,NDays&amp;"D")</f>
        <v>55116</v>
      </c>
      <c r="Q2255" s="81" t="e">
        <v>#N/A</v>
      </c>
      <c r="R2255" s="85" t="e">
        <v>#N/A</v>
      </c>
    </row>
    <row r="2256" spans="14:18" x14ac:dyDescent="0.2">
      <c r="N2256" s="88" t="str">
        <f t="shared" si="40"/>
        <v>1w</v>
      </c>
      <c r="O2256" s="82">
        <f>_xll.qlCalendarAdvance(Calendar,O2255,N2256,"f",FALSE)</f>
        <v>55121</v>
      </c>
      <c r="P2256" s="92">
        <f>_xll.qlCalendarAdvance(Calendar,O2256,NDays&amp;"D")</f>
        <v>55123</v>
      </c>
      <c r="Q2256" s="81" t="e">
        <v>#N/A</v>
      </c>
      <c r="R2256" s="85" t="e">
        <v>#N/A</v>
      </c>
    </row>
    <row r="2257" spans="14:18" x14ac:dyDescent="0.2">
      <c r="N2257" s="88" t="str">
        <f t="shared" si="40"/>
        <v>1w</v>
      </c>
      <c r="O2257" s="82">
        <f>_xll.qlCalendarAdvance(Calendar,O2256,N2257,"f",FALSE)</f>
        <v>55128</v>
      </c>
      <c r="P2257" s="92">
        <f>_xll.qlCalendarAdvance(Calendar,O2257,NDays&amp;"D")</f>
        <v>55130</v>
      </c>
      <c r="Q2257" s="81" t="e">
        <v>#N/A</v>
      </c>
      <c r="R2257" s="85" t="e">
        <v>#N/A</v>
      </c>
    </row>
    <row r="2258" spans="14:18" x14ac:dyDescent="0.2">
      <c r="N2258" s="88" t="str">
        <f t="shared" si="40"/>
        <v>1w</v>
      </c>
      <c r="O2258" s="82">
        <f>_xll.qlCalendarAdvance(Calendar,O2257,N2258,"f",FALSE)</f>
        <v>55135</v>
      </c>
      <c r="P2258" s="92">
        <f>_xll.qlCalendarAdvance(Calendar,O2258,NDays&amp;"D")</f>
        <v>55137</v>
      </c>
      <c r="Q2258" s="81" t="e">
        <v>#N/A</v>
      </c>
      <c r="R2258" s="85" t="e">
        <v>#N/A</v>
      </c>
    </row>
    <row r="2259" spans="14:18" x14ac:dyDescent="0.2">
      <c r="N2259" s="88" t="str">
        <f t="shared" si="40"/>
        <v>1w</v>
      </c>
      <c r="O2259" s="82">
        <f>_xll.qlCalendarAdvance(Calendar,O2258,N2259,"f",FALSE)</f>
        <v>55142</v>
      </c>
      <c r="P2259" s="92">
        <f>_xll.qlCalendarAdvance(Calendar,O2259,NDays&amp;"D")</f>
        <v>55144</v>
      </c>
      <c r="Q2259" s="81" t="e">
        <v>#N/A</v>
      </c>
      <c r="R2259" s="85" t="e">
        <v>#N/A</v>
      </c>
    </row>
    <row r="2260" spans="14:18" x14ac:dyDescent="0.2">
      <c r="N2260" s="88" t="str">
        <f t="shared" si="40"/>
        <v>1w</v>
      </c>
      <c r="O2260" s="82">
        <f>_xll.qlCalendarAdvance(Calendar,O2259,N2260,"f",FALSE)</f>
        <v>55149</v>
      </c>
      <c r="P2260" s="92">
        <f>_xll.qlCalendarAdvance(Calendar,O2260,NDays&amp;"D")</f>
        <v>55151</v>
      </c>
      <c r="Q2260" s="81" t="e">
        <v>#N/A</v>
      </c>
      <c r="R2260" s="85" t="e">
        <v>#N/A</v>
      </c>
    </row>
    <row r="2261" spans="14:18" x14ac:dyDescent="0.2">
      <c r="N2261" s="88" t="str">
        <f t="shared" ref="N2261:N2324" si="41">N2260</f>
        <v>1w</v>
      </c>
      <c r="O2261" s="82">
        <f>_xll.qlCalendarAdvance(Calendar,O2260,N2261,"f",FALSE)</f>
        <v>55156</v>
      </c>
      <c r="P2261" s="92">
        <f>_xll.qlCalendarAdvance(Calendar,O2261,NDays&amp;"D")</f>
        <v>55158</v>
      </c>
      <c r="Q2261" s="81" t="e">
        <v>#N/A</v>
      </c>
      <c r="R2261" s="85" t="e">
        <v>#N/A</v>
      </c>
    </row>
    <row r="2262" spans="14:18" x14ac:dyDescent="0.2">
      <c r="N2262" s="88" t="str">
        <f t="shared" si="41"/>
        <v>1w</v>
      </c>
      <c r="O2262" s="82">
        <f>_xll.qlCalendarAdvance(Calendar,O2261,N2262,"f",FALSE)</f>
        <v>55163</v>
      </c>
      <c r="P2262" s="92">
        <f>_xll.qlCalendarAdvance(Calendar,O2262,NDays&amp;"D")</f>
        <v>55165</v>
      </c>
      <c r="Q2262" s="81" t="e">
        <v>#N/A</v>
      </c>
      <c r="R2262" s="85" t="e">
        <v>#N/A</v>
      </c>
    </row>
    <row r="2263" spans="14:18" x14ac:dyDescent="0.2">
      <c r="N2263" s="88" t="str">
        <f t="shared" si="41"/>
        <v>1w</v>
      </c>
      <c r="O2263" s="82">
        <f>_xll.qlCalendarAdvance(Calendar,O2262,N2263,"f",FALSE)</f>
        <v>55170</v>
      </c>
      <c r="P2263" s="92">
        <f>_xll.qlCalendarAdvance(Calendar,O2263,NDays&amp;"D")</f>
        <v>55172</v>
      </c>
      <c r="Q2263" s="81" t="e">
        <v>#N/A</v>
      </c>
      <c r="R2263" s="85" t="e">
        <v>#N/A</v>
      </c>
    </row>
    <row r="2264" spans="14:18" x14ac:dyDescent="0.2">
      <c r="N2264" s="88" t="str">
        <f t="shared" si="41"/>
        <v>1w</v>
      </c>
      <c r="O2264" s="82">
        <f>_xll.qlCalendarAdvance(Calendar,O2263,N2264,"f",FALSE)</f>
        <v>55177</v>
      </c>
      <c r="P2264" s="92">
        <f>_xll.qlCalendarAdvance(Calendar,O2264,NDays&amp;"D")</f>
        <v>55179</v>
      </c>
      <c r="Q2264" s="81" t="e">
        <v>#N/A</v>
      </c>
      <c r="R2264" s="85" t="e">
        <v>#N/A</v>
      </c>
    </row>
    <row r="2265" spans="14:18" x14ac:dyDescent="0.2">
      <c r="N2265" s="88" t="str">
        <f t="shared" si="41"/>
        <v>1w</v>
      </c>
      <c r="O2265" s="82">
        <f>_xll.qlCalendarAdvance(Calendar,O2264,N2265,"f",FALSE)</f>
        <v>55184</v>
      </c>
      <c r="P2265" s="92">
        <f>_xll.qlCalendarAdvance(Calendar,O2265,NDays&amp;"D")</f>
        <v>55186</v>
      </c>
      <c r="Q2265" s="81" t="e">
        <v>#N/A</v>
      </c>
      <c r="R2265" s="85" t="e">
        <v>#N/A</v>
      </c>
    </row>
    <row r="2266" spans="14:18" x14ac:dyDescent="0.2">
      <c r="N2266" s="88" t="str">
        <f t="shared" si="41"/>
        <v>1w</v>
      </c>
      <c r="O2266" s="82">
        <f>_xll.qlCalendarAdvance(Calendar,O2265,N2266,"f",FALSE)</f>
        <v>55191</v>
      </c>
      <c r="P2266" s="92">
        <f>_xll.qlCalendarAdvance(Calendar,O2266,NDays&amp;"D")</f>
        <v>55193</v>
      </c>
      <c r="Q2266" s="81" t="e">
        <v>#N/A</v>
      </c>
      <c r="R2266" s="85" t="e">
        <v>#N/A</v>
      </c>
    </row>
    <row r="2267" spans="14:18" x14ac:dyDescent="0.2">
      <c r="N2267" s="88" t="str">
        <f t="shared" si="41"/>
        <v>1w</v>
      </c>
      <c r="O2267" s="82">
        <f>_xll.qlCalendarAdvance(Calendar,O2266,N2267,"f",FALSE)</f>
        <v>55198</v>
      </c>
      <c r="P2267" s="92">
        <f>_xll.qlCalendarAdvance(Calendar,O2267,NDays&amp;"D")</f>
        <v>55200</v>
      </c>
      <c r="Q2267" s="81" t="e">
        <v>#N/A</v>
      </c>
      <c r="R2267" s="85" t="e">
        <v>#N/A</v>
      </c>
    </row>
    <row r="2268" spans="14:18" x14ac:dyDescent="0.2">
      <c r="N2268" s="88" t="str">
        <f t="shared" si="41"/>
        <v>1w</v>
      </c>
      <c r="O2268" s="82">
        <f>_xll.qlCalendarAdvance(Calendar,O2267,N2268,"f",FALSE)</f>
        <v>55205</v>
      </c>
      <c r="P2268" s="92">
        <f>_xll.qlCalendarAdvance(Calendar,O2268,NDays&amp;"D")</f>
        <v>55207</v>
      </c>
      <c r="Q2268" s="81" t="e">
        <v>#N/A</v>
      </c>
      <c r="R2268" s="85" t="e">
        <v>#N/A</v>
      </c>
    </row>
    <row r="2269" spans="14:18" x14ac:dyDescent="0.2">
      <c r="N2269" s="88" t="str">
        <f t="shared" si="41"/>
        <v>1w</v>
      </c>
      <c r="O2269" s="82">
        <f>_xll.qlCalendarAdvance(Calendar,O2268,N2269,"f",FALSE)</f>
        <v>55212</v>
      </c>
      <c r="P2269" s="92">
        <f>_xll.qlCalendarAdvance(Calendar,O2269,NDays&amp;"D")</f>
        <v>55214</v>
      </c>
      <c r="Q2269" s="81" t="e">
        <v>#N/A</v>
      </c>
      <c r="R2269" s="85" t="e">
        <v>#N/A</v>
      </c>
    </row>
    <row r="2270" spans="14:18" x14ac:dyDescent="0.2">
      <c r="N2270" s="88" t="str">
        <f t="shared" si="41"/>
        <v>1w</v>
      </c>
      <c r="O2270" s="82">
        <f>_xll.qlCalendarAdvance(Calendar,O2269,N2270,"f",FALSE)</f>
        <v>55219</v>
      </c>
      <c r="P2270" s="92">
        <f>_xll.qlCalendarAdvance(Calendar,O2270,NDays&amp;"D")</f>
        <v>55221</v>
      </c>
      <c r="Q2270" s="81" t="e">
        <v>#N/A</v>
      </c>
      <c r="R2270" s="85" t="e">
        <v>#N/A</v>
      </c>
    </row>
    <row r="2271" spans="14:18" x14ac:dyDescent="0.2">
      <c r="N2271" s="88" t="str">
        <f t="shared" si="41"/>
        <v>1w</v>
      </c>
      <c r="O2271" s="82">
        <f>_xll.qlCalendarAdvance(Calendar,O2270,N2271,"f",FALSE)</f>
        <v>55226</v>
      </c>
      <c r="P2271" s="92">
        <f>_xll.qlCalendarAdvance(Calendar,O2271,NDays&amp;"D")</f>
        <v>55228</v>
      </c>
      <c r="Q2271" s="81" t="e">
        <v>#N/A</v>
      </c>
      <c r="R2271" s="85" t="e">
        <v>#N/A</v>
      </c>
    </row>
    <row r="2272" spans="14:18" x14ac:dyDescent="0.2">
      <c r="N2272" s="88" t="str">
        <f t="shared" si="41"/>
        <v>1w</v>
      </c>
      <c r="O2272" s="82">
        <f>_xll.qlCalendarAdvance(Calendar,O2271,N2272,"f",FALSE)</f>
        <v>55233</v>
      </c>
      <c r="P2272" s="92">
        <f>_xll.qlCalendarAdvance(Calendar,O2272,NDays&amp;"D")</f>
        <v>55235</v>
      </c>
      <c r="Q2272" s="81" t="e">
        <v>#N/A</v>
      </c>
      <c r="R2272" s="85" t="e">
        <v>#N/A</v>
      </c>
    </row>
    <row r="2273" spans="14:18" x14ac:dyDescent="0.2">
      <c r="N2273" s="88" t="str">
        <f t="shared" si="41"/>
        <v>1w</v>
      </c>
      <c r="O2273" s="82">
        <f>_xll.qlCalendarAdvance(Calendar,O2272,N2273,"f",FALSE)</f>
        <v>55240</v>
      </c>
      <c r="P2273" s="92">
        <f>_xll.qlCalendarAdvance(Calendar,O2273,NDays&amp;"D")</f>
        <v>55242</v>
      </c>
      <c r="Q2273" s="81" t="e">
        <v>#N/A</v>
      </c>
      <c r="R2273" s="85" t="e">
        <v>#N/A</v>
      </c>
    </row>
    <row r="2274" spans="14:18" x14ac:dyDescent="0.2">
      <c r="N2274" s="88" t="str">
        <f t="shared" si="41"/>
        <v>1w</v>
      </c>
      <c r="O2274" s="82">
        <f>_xll.qlCalendarAdvance(Calendar,O2273,N2274,"f",FALSE)</f>
        <v>55247</v>
      </c>
      <c r="P2274" s="92">
        <f>_xll.qlCalendarAdvance(Calendar,O2274,NDays&amp;"D")</f>
        <v>55249</v>
      </c>
      <c r="Q2274" s="81" t="e">
        <v>#N/A</v>
      </c>
      <c r="R2274" s="85" t="e">
        <v>#N/A</v>
      </c>
    </row>
    <row r="2275" spans="14:18" x14ac:dyDescent="0.2">
      <c r="N2275" s="88" t="str">
        <f t="shared" si="41"/>
        <v>1w</v>
      </c>
      <c r="O2275" s="82">
        <f>_xll.qlCalendarAdvance(Calendar,O2274,N2275,"f",FALSE)</f>
        <v>55254</v>
      </c>
      <c r="P2275" s="92">
        <f>_xll.qlCalendarAdvance(Calendar,O2275,NDays&amp;"D")</f>
        <v>55256</v>
      </c>
      <c r="Q2275" s="81" t="e">
        <v>#N/A</v>
      </c>
      <c r="R2275" s="85" t="e">
        <v>#N/A</v>
      </c>
    </row>
    <row r="2276" spans="14:18" x14ac:dyDescent="0.2">
      <c r="N2276" s="88" t="str">
        <f t="shared" si="41"/>
        <v>1w</v>
      </c>
      <c r="O2276" s="82">
        <f>_xll.qlCalendarAdvance(Calendar,O2275,N2276,"f",FALSE)</f>
        <v>55261</v>
      </c>
      <c r="P2276" s="92">
        <f>_xll.qlCalendarAdvance(Calendar,O2276,NDays&amp;"D")</f>
        <v>55263</v>
      </c>
      <c r="Q2276" s="81" t="e">
        <v>#N/A</v>
      </c>
      <c r="R2276" s="85" t="e">
        <v>#N/A</v>
      </c>
    </row>
    <row r="2277" spans="14:18" x14ac:dyDescent="0.2">
      <c r="N2277" s="88" t="str">
        <f t="shared" si="41"/>
        <v>1w</v>
      </c>
      <c r="O2277" s="82">
        <f>_xll.qlCalendarAdvance(Calendar,O2276,N2277,"f",FALSE)</f>
        <v>55268</v>
      </c>
      <c r="P2277" s="92">
        <f>_xll.qlCalendarAdvance(Calendar,O2277,NDays&amp;"D")</f>
        <v>55270</v>
      </c>
      <c r="Q2277" s="81" t="e">
        <v>#N/A</v>
      </c>
      <c r="R2277" s="85" t="e">
        <v>#N/A</v>
      </c>
    </row>
    <row r="2278" spans="14:18" x14ac:dyDescent="0.2">
      <c r="N2278" s="88" t="str">
        <f t="shared" si="41"/>
        <v>1w</v>
      </c>
      <c r="O2278" s="82">
        <f>_xll.qlCalendarAdvance(Calendar,O2277,N2278,"f",FALSE)</f>
        <v>55275</v>
      </c>
      <c r="P2278" s="92">
        <f>_xll.qlCalendarAdvance(Calendar,O2278,NDays&amp;"D")</f>
        <v>55277</v>
      </c>
      <c r="Q2278" s="81" t="e">
        <v>#N/A</v>
      </c>
      <c r="R2278" s="85" t="e">
        <v>#N/A</v>
      </c>
    </row>
    <row r="2279" spans="14:18" x14ac:dyDescent="0.2">
      <c r="N2279" s="88" t="str">
        <f t="shared" si="41"/>
        <v>1w</v>
      </c>
      <c r="O2279" s="82">
        <f>_xll.qlCalendarAdvance(Calendar,O2278,N2279,"f",FALSE)</f>
        <v>55282</v>
      </c>
      <c r="P2279" s="92">
        <f>_xll.qlCalendarAdvance(Calendar,O2279,NDays&amp;"D")</f>
        <v>55285</v>
      </c>
      <c r="Q2279" s="81" t="e">
        <v>#N/A</v>
      </c>
      <c r="R2279" s="85" t="e">
        <v>#N/A</v>
      </c>
    </row>
    <row r="2280" spans="14:18" x14ac:dyDescent="0.2">
      <c r="N2280" s="88" t="str">
        <f t="shared" si="41"/>
        <v>1w</v>
      </c>
      <c r="O2280" s="82">
        <f>_xll.qlCalendarAdvance(Calendar,O2279,N2280,"f",FALSE)</f>
        <v>55289</v>
      </c>
      <c r="P2280" s="92">
        <f>_xll.qlCalendarAdvance(Calendar,O2280,NDays&amp;"D")</f>
        <v>55291</v>
      </c>
      <c r="Q2280" s="81" t="e">
        <v>#N/A</v>
      </c>
      <c r="R2280" s="85" t="e">
        <v>#N/A</v>
      </c>
    </row>
    <row r="2281" spans="14:18" x14ac:dyDescent="0.2">
      <c r="N2281" s="88" t="str">
        <f t="shared" si="41"/>
        <v>1w</v>
      </c>
      <c r="O2281" s="82">
        <f>_xll.qlCalendarAdvance(Calendar,O2280,N2281,"f",FALSE)</f>
        <v>55296</v>
      </c>
      <c r="P2281" s="92">
        <f>_xll.qlCalendarAdvance(Calendar,O2281,NDays&amp;"D")</f>
        <v>55298</v>
      </c>
      <c r="Q2281" s="81" t="e">
        <v>#N/A</v>
      </c>
      <c r="R2281" s="85" t="e">
        <v>#N/A</v>
      </c>
    </row>
    <row r="2282" spans="14:18" x14ac:dyDescent="0.2">
      <c r="N2282" s="88" t="str">
        <f t="shared" si="41"/>
        <v>1w</v>
      </c>
      <c r="O2282" s="82">
        <f>_xll.qlCalendarAdvance(Calendar,O2281,N2282,"f",FALSE)</f>
        <v>55303</v>
      </c>
      <c r="P2282" s="92">
        <f>_xll.qlCalendarAdvance(Calendar,O2282,NDays&amp;"D")</f>
        <v>55305</v>
      </c>
      <c r="Q2282" s="81" t="e">
        <v>#N/A</v>
      </c>
      <c r="R2282" s="85" t="e">
        <v>#N/A</v>
      </c>
    </row>
    <row r="2283" spans="14:18" x14ac:dyDescent="0.2">
      <c r="N2283" s="88" t="str">
        <f t="shared" si="41"/>
        <v>1w</v>
      </c>
      <c r="O2283" s="82">
        <f>_xll.qlCalendarAdvance(Calendar,O2282,N2283,"f",FALSE)</f>
        <v>55310</v>
      </c>
      <c r="P2283" s="92">
        <f>_xll.qlCalendarAdvance(Calendar,O2283,NDays&amp;"D")</f>
        <v>55312</v>
      </c>
      <c r="Q2283" s="81" t="e">
        <v>#N/A</v>
      </c>
      <c r="R2283" s="85" t="e">
        <v>#N/A</v>
      </c>
    </row>
    <row r="2284" spans="14:18" x14ac:dyDescent="0.2">
      <c r="N2284" s="88" t="str">
        <f t="shared" si="41"/>
        <v>1w</v>
      </c>
      <c r="O2284" s="82">
        <f>_xll.qlCalendarAdvance(Calendar,O2283,N2284,"f",FALSE)</f>
        <v>55317</v>
      </c>
      <c r="P2284" s="92">
        <f>_xll.qlCalendarAdvance(Calendar,O2284,NDays&amp;"D")</f>
        <v>55319</v>
      </c>
      <c r="Q2284" s="81" t="e">
        <v>#N/A</v>
      </c>
      <c r="R2284" s="85" t="e">
        <v>#N/A</v>
      </c>
    </row>
    <row r="2285" spans="14:18" x14ac:dyDescent="0.2">
      <c r="N2285" s="88" t="str">
        <f t="shared" si="41"/>
        <v>1w</v>
      </c>
      <c r="O2285" s="82">
        <f>_xll.qlCalendarAdvance(Calendar,O2284,N2285,"f",FALSE)</f>
        <v>55324</v>
      </c>
      <c r="P2285" s="92">
        <f>_xll.qlCalendarAdvance(Calendar,O2285,NDays&amp;"D")</f>
        <v>55326</v>
      </c>
      <c r="Q2285" s="81" t="e">
        <v>#N/A</v>
      </c>
      <c r="R2285" s="85" t="e">
        <v>#N/A</v>
      </c>
    </row>
    <row r="2286" spans="14:18" x14ac:dyDescent="0.2">
      <c r="N2286" s="88" t="str">
        <f t="shared" si="41"/>
        <v>1w</v>
      </c>
      <c r="O2286" s="82">
        <f>_xll.qlCalendarAdvance(Calendar,O2285,N2286,"f",FALSE)</f>
        <v>55331</v>
      </c>
      <c r="P2286" s="92">
        <f>_xll.qlCalendarAdvance(Calendar,O2286,NDays&amp;"D")</f>
        <v>55333</v>
      </c>
      <c r="Q2286" s="81" t="e">
        <v>#N/A</v>
      </c>
      <c r="R2286" s="85" t="e">
        <v>#N/A</v>
      </c>
    </row>
    <row r="2287" spans="14:18" x14ac:dyDescent="0.2">
      <c r="N2287" s="88" t="str">
        <f t="shared" si="41"/>
        <v>1w</v>
      </c>
      <c r="O2287" s="82">
        <f>_xll.qlCalendarAdvance(Calendar,O2286,N2287,"f",FALSE)</f>
        <v>55338</v>
      </c>
      <c r="P2287" s="92">
        <f>_xll.qlCalendarAdvance(Calendar,O2287,NDays&amp;"D")</f>
        <v>55340</v>
      </c>
      <c r="Q2287" s="81" t="e">
        <v>#N/A</v>
      </c>
      <c r="R2287" s="85" t="e">
        <v>#N/A</v>
      </c>
    </row>
    <row r="2288" spans="14:18" x14ac:dyDescent="0.2">
      <c r="N2288" s="88" t="str">
        <f t="shared" si="41"/>
        <v>1w</v>
      </c>
      <c r="O2288" s="82">
        <f>_xll.qlCalendarAdvance(Calendar,O2287,N2288,"f",FALSE)</f>
        <v>55345</v>
      </c>
      <c r="P2288" s="92">
        <f>_xll.qlCalendarAdvance(Calendar,O2288,NDays&amp;"D")</f>
        <v>55347</v>
      </c>
      <c r="Q2288" s="81" t="e">
        <v>#N/A</v>
      </c>
      <c r="R2288" s="85" t="e">
        <v>#N/A</v>
      </c>
    </row>
    <row r="2289" spans="14:18" x14ac:dyDescent="0.2">
      <c r="N2289" s="88" t="str">
        <f t="shared" si="41"/>
        <v>1w</v>
      </c>
      <c r="O2289" s="82">
        <f>_xll.qlCalendarAdvance(Calendar,O2288,N2289,"f",FALSE)</f>
        <v>55352</v>
      </c>
      <c r="P2289" s="92">
        <f>_xll.qlCalendarAdvance(Calendar,O2289,NDays&amp;"D")</f>
        <v>55354</v>
      </c>
      <c r="Q2289" s="81" t="e">
        <v>#N/A</v>
      </c>
      <c r="R2289" s="85" t="e">
        <v>#N/A</v>
      </c>
    </row>
    <row r="2290" spans="14:18" x14ac:dyDescent="0.2">
      <c r="N2290" s="88" t="str">
        <f t="shared" si="41"/>
        <v>1w</v>
      </c>
      <c r="O2290" s="82">
        <f>_xll.qlCalendarAdvance(Calendar,O2289,N2290,"f",FALSE)</f>
        <v>55359</v>
      </c>
      <c r="P2290" s="92">
        <f>_xll.qlCalendarAdvance(Calendar,O2290,NDays&amp;"D")</f>
        <v>55361</v>
      </c>
      <c r="Q2290" s="81" t="e">
        <v>#N/A</v>
      </c>
      <c r="R2290" s="85" t="e">
        <v>#N/A</v>
      </c>
    </row>
    <row r="2291" spans="14:18" x14ac:dyDescent="0.2">
      <c r="N2291" s="88" t="str">
        <f t="shared" si="41"/>
        <v>1w</v>
      </c>
      <c r="O2291" s="82">
        <f>_xll.qlCalendarAdvance(Calendar,O2290,N2291,"f",FALSE)</f>
        <v>55366</v>
      </c>
      <c r="P2291" s="92">
        <f>_xll.qlCalendarAdvance(Calendar,O2291,NDays&amp;"D")</f>
        <v>55368</v>
      </c>
      <c r="Q2291" s="81" t="e">
        <v>#N/A</v>
      </c>
      <c r="R2291" s="85" t="e">
        <v>#N/A</v>
      </c>
    </row>
    <row r="2292" spans="14:18" x14ac:dyDescent="0.2">
      <c r="N2292" s="88" t="str">
        <f t="shared" si="41"/>
        <v>1w</v>
      </c>
      <c r="O2292" s="82">
        <f>_xll.qlCalendarAdvance(Calendar,O2291,N2292,"f",FALSE)</f>
        <v>55373</v>
      </c>
      <c r="P2292" s="92">
        <f>_xll.qlCalendarAdvance(Calendar,O2292,NDays&amp;"D")</f>
        <v>55375</v>
      </c>
      <c r="Q2292" s="81" t="e">
        <v>#N/A</v>
      </c>
      <c r="R2292" s="85" t="e">
        <v>#N/A</v>
      </c>
    </row>
    <row r="2293" spans="14:18" x14ac:dyDescent="0.2">
      <c r="N2293" s="88" t="str">
        <f t="shared" si="41"/>
        <v>1w</v>
      </c>
      <c r="O2293" s="82">
        <f>_xll.qlCalendarAdvance(Calendar,O2292,N2293,"f",FALSE)</f>
        <v>55380</v>
      </c>
      <c r="P2293" s="92">
        <f>_xll.qlCalendarAdvance(Calendar,O2293,NDays&amp;"D")</f>
        <v>55382</v>
      </c>
      <c r="Q2293" s="81" t="e">
        <v>#N/A</v>
      </c>
      <c r="R2293" s="85" t="e">
        <v>#N/A</v>
      </c>
    </row>
    <row r="2294" spans="14:18" x14ac:dyDescent="0.2">
      <c r="N2294" s="88" t="str">
        <f t="shared" si="41"/>
        <v>1w</v>
      </c>
      <c r="O2294" s="82">
        <f>_xll.qlCalendarAdvance(Calendar,O2293,N2294,"f",FALSE)</f>
        <v>55387</v>
      </c>
      <c r="P2294" s="92">
        <f>_xll.qlCalendarAdvance(Calendar,O2294,NDays&amp;"D")</f>
        <v>55389</v>
      </c>
      <c r="Q2294" s="81" t="e">
        <v>#N/A</v>
      </c>
      <c r="R2294" s="85" t="e">
        <v>#N/A</v>
      </c>
    </row>
    <row r="2295" spans="14:18" x14ac:dyDescent="0.2">
      <c r="N2295" s="88" t="str">
        <f t="shared" si="41"/>
        <v>1w</v>
      </c>
      <c r="O2295" s="82">
        <f>_xll.qlCalendarAdvance(Calendar,O2294,N2295,"f",FALSE)</f>
        <v>55394</v>
      </c>
      <c r="P2295" s="92">
        <f>_xll.qlCalendarAdvance(Calendar,O2295,NDays&amp;"D")</f>
        <v>55396</v>
      </c>
      <c r="Q2295" s="81" t="e">
        <v>#N/A</v>
      </c>
      <c r="R2295" s="85" t="e">
        <v>#N/A</v>
      </c>
    </row>
    <row r="2296" spans="14:18" x14ac:dyDescent="0.2">
      <c r="N2296" s="88" t="str">
        <f t="shared" si="41"/>
        <v>1w</v>
      </c>
      <c r="O2296" s="82">
        <f>_xll.qlCalendarAdvance(Calendar,O2295,N2296,"f",FALSE)</f>
        <v>55401</v>
      </c>
      <c r="P2296" s="92">
        <f>_xll.qlCalendarAdvance(Calendar,O2296,NDays&amp;"D")</f>
        <v>55403</v>
      </c>
      <c r="Q2296" s="81" t="e">
        <v>#N/A</v>
      </c>
      <c r="R2296" s="85" t="e">
        <v>#N/A</v>
      </c>
    </row>
    <row r="2297" spans="14:18" x14ac:dyDescent="0.2">
      <c r="N2297" s="88" t="str">
        <f t="shared" si="41"/>
        <v>1w</v>
      </c>
      <c r="O2297" s="82">
        <f>_xll.qlCalendarAdvance(Calendar,O2296,N2297,"f",FALSE)</f>
        <v>55408</v>
      </c>
      <c r="P2297" s="92">
        <f>_xll.qlCalendarAdvance(Calendar,O2297,NDays&amp;"D")</f>
        <v>55410</v>
      </c>
      <c r="Q2297" s="81" t="e">
        <v>#N/A</v>
      </c>
      <c r="R2297" s="85" t="e">
        <v>#N/A</v>
      </c>
    </row>
    <row r="2298" spans="14:18" x14ac:dyDescent="0.2">
      <c r="N2298" s="88" t="str">
        <f t="shared" si="41"/>
        <v>1w</v>
      </c>
      <c r="O2298" s="82">
        <f>_xll.qlCalendarAdvance(Calendar,O2297,N2298,"f",FALSE)</f>
        <v>55415</v>
      </c>
      <c r="P2298" s="92">
        <f>_xll.qlCalendarAdvance(Calendar,O2298,NDays&amp;"D")</f>
        <v>55417</v>
      </c>
      <c r="Q2298" s="81" t="e">
        <v>#N/A</v>
      </c>
      <c r="R2298" s="85" t="e">
        <v>#N/A</v>
      </c>
    </row>
    <row r="2299" spans="14:18" x14ac:dyDescent="0.2">
      <c r="N2299" s="88" t="str">
        <f t="shared" si="41"/>
        <v>1w</v>
      </c>
      <c r="O2299" s="82">
        <f>_xll.qlCalendarAdvance(Calendar,O2298,N2299,"f",FALSE)</f>
        <v>55422</v>
      </c>
      <c r="P2299" s="92">
        <f>_xll.qlCalendarAdvance(Calendar,O2299,NDays&amp;"D")</f>
        <v>55424</v>
      </c>
      <c r="Q2299" s="81" t="e">
        <v>#N/A</v>
      </c>
      <c r="R2299" s="85" t="e">
        <v>#N/A</v>
      </c>
    </row>
    <row r="2300" spans="14:18" x14ac:dyDescent="0.2">
      <c r="N2300" s="88" t="str">
        <f t="shared" si="41"/>
        <v>1w</v>
      </c>
      <c r="O2300" s="82">
        <f>_xll.qlCalendarAdvance(Calendar,O2299,N2300,"f",FALSE)</f>
        <v>55429</v>
      </c>
      <c r="P2300" s="92">
        <f>_xll.qlCalendarAdvance(Calendar,O2300,NDays&amp;"D")</f>
        <v>55431</v>
      </c>
      <c r="Q2300" s="81" t="e">
        <v>#N/A</v>
      </c>
      <c r="R2300" s="85" t="e">
        <v>#N/A</v>
      </c>
    </row>
    <row r="2301" spans="14:18" x14ac:dyDescent="0.2">
      <c r="N2301" s="88" t="str">
        <f t="shared" si="41"/>
        <v>1w</v>
      </c>
      <c r="O2301" s="82">
        <f>_xll.qlCalendarAdvance(Calendar,O2300,N2301,"f",FALSE)</f>
        <v>55436</v>
      </c>
      <c r="P2301" s="92">
        <f>_xll.qlCalendarAdvance(Calendar,O2301,NDays&amp;"D")</f>
        <v>55438</v>
      </c>
      <c r="Q2301" s="81" t="e">
        <v>#N/A</v>
      </c>
      <c r="R2301" s="85" t="e">
        <v>#N/A</v>
      </c>
    </row>
    <row r="2302" spans="14:18" x14ac:dyDescent="0.2">
      <c r="N2302" s="88" t="str">
        <f t="shared" si="41"/>
        <v>1w</v>
      </c>
      <c r="O2302" s="82">
        <f>_xll.qlCalendarAdvance(Calendar,O2301,N2302,"f",FALSE)</f>
        <v>55443</v>
      </c>
      <c r="P2302" s="92">
        <f>_xll.qlCalendarAdvance(Calendar,O2302,NDays&amp;"D")</f>
        <v>55445</v>
      </c>
      <c r="Q2302" s="81" t="e">
        <v>#N/A</v>
      </c>
      <c r="R2302" s="85" t="e">
        <v>#N/A</v>
      </c>
    </row>
    <row r="2303" spans="14:18" x14ac:dyDescent="0.2">
      <c r="N2303" s="88" t="str">
        <f t="shared" si="41"/>
        <v>1w</v>
      </c>
      <c r="O2303" s="82">
        <f>_xll.qlCalendarAdvance(Calendar,O2302,N2303,"f",FALSE)</f>
        <v>55450</v>
      </c>
      <c r="P2303" s="92">
        <f>_xll.qlCalendarAdvance(Calendar,O2303,NDays&amp;"D")</f>
        <v>55452</v>
      </c>
      <c r="Q2303" s="81" t="e">
        <v>#N/A</v>
      </c>
      <c r="R2303" s="85" t="e">
        <v>#N/A</v>
      </c>
    </row>
    <row r="2304" spans="14:18" x14ac:dyDescent="0.2">
      <c r="N2304" s="88" t="str">
        <f t="shared" si="41"/>
        <v>1w</v>
      </c>
      <c r="O2304" s="82">
        <f>_xll.qlCalendarAdvance(Calendar,O2303,N2304,"f",FALSE)</f>
        <v>55457</v>
      </c>
      <c r="P2304" s="92">
        <f>_xll.qlCalendarAdvance(Calendar,O2304,NDays&amp;"D")</f>
        <v>55459</v>
      </c>
      <c r="Q2304" s="81" t="e">
        <v>#N/A</v>
      </c>
      <c r="R2304" s="85" t="e">
        <v>#N/A</v>
      </c>
    </row>
    <row r="2305" spans="14:18" x14ac:dyDescent="0.2">
      <c r="N2305" s="88" t="str">
        <f t="shared" si="41"/>
        <v>1w</v>
      </c>
      <c r="O2305" s="82">
        <f>_xll.qlCalendarAdvance(Calendar,O2304,N2305,"f",FALSE)</f>
        <v>55464</v>
      </c>
      <c r="P2305" s="92">
        <f>_xll.qlCalendarAdvance(Calendar,O2305,NDays&amp;"D")</f>
        <v>55466</v>
      </c>
      <c r="Q2305" s="81" t="e">
        <v>#N/A</v>
      </c>
      <c r="R2305" s="85" t="e">
        <v>#N/A</v>
      </c>
    </row>
    <row r="2306" spans="14:18" x14ac:dyDescent="0.2">
      <c r="N2306" s="88" t="str">
        <f t="shared" si="41"/>
        <v>1w</v>
      </c>
      <c r="O2306" s="82">
        <f>_xll.qlCalendarAdvance(Calendar,O2305,N2306,"f",FALSE)</f>
        <v>55471</v>
      </c>
      <c r="P2306" s="92">
        <f>_xll.qlCalendarAdvance(Calendar,O2306,NDays&amp;"D")</f>
        <v>55473</v>
      </c>
      <c r="Q2306" s="81" t="e">
        <v>#N/A</v>
      </c>
      <c r="R2306" s="85" t="e">
        <v>#N/A</v>
      </c>
    </row>
    <row r="2307" spans="14:18" x14ac:dyDescent="0.2">
      <c r="N2307" s="88" t="str">
        <f t="shared" si="41"/>
        <v>1w</v>
      </c>
      <c r="O2307" s="82">
        <f>_xll.qlCalendarAdvance(Calendar,O2306,N2307,"f",FALSE)</f>
        <v>55478</v>
      </c>
      <c r="P2307" s="92">
        <f>_xll.qlCalendarAdvance(Calendar,O2307,NDays&amp;"D")</f>
        <v>55480</v>
      </c>
      <c r="Q2307" s="81" t="e">
        <v>#N/A</v>
      </c>
      <c r="R2307" s="85" t="e">
        <v>#N/A</v>
      </c>
    </row>
    <row r="2308" spans="14:18" x14ac:dyDescent="0.2">
      <c r="N2308" s="88" t="str">
        <f t="shared" si="41"/>
        <v>1w</v>
      </c>
      <c r="O2308" s="82">
        <f>_xll.qlCalendarAdvance(Calendar,O2307,N2308,"f",FALSE)</f>
        <v>55485</v>
      </c>
      <c r="P2308" s="92">
        <f>_xll.qlCalendarAdvance(Calendar,O2308,NDays&amp;"D")</f>
        <v>55487</v>
      </c>
      <c r="Q2308" s="81" t="e">
        <v>#N/A</v>
      </c>
      <c r="R2308" s="85" t="e">
        <v>#N/A</v>
      </c>
    </row>
    <row r="2309" spans="14:18" x14ac:dyDescent="0.2">
      <c r="N2309" s="88" t="str">
        <f t="shared" si="41"/>
        <v>1w</v>
      </c>
      <c r="O2309" s="82">
        <f>_xll.qlCalendarAdvance(Calendar,O2308,N2309,"f",FALSE)</f>
        <v>55492</v>
      </c>
      <c r="P2309" s="92">
        <f>_xll.qlCalendarAdvance(Calendar,O2309,NDays&amp;"D")</f>
        <v>55494</v>
      </c>
      <c r="Q2309" s="81" t="e">
        <v>#N/A</v>
      </c>
      <c r="R2309" s="85" t="e">
        <v>#N/A</v>
      </c>
    </row>
    <row r="2310" spans="14:18" x14ac:dyDescent="0.2">
      <c r="N2310" s="88" t="str">
        <f t="shared" si="41"/>
        <v>1w</v>
      </c>
      <c r="O2310" s="82">
        <f>_xll.qlCalendarAdvance(Calendar,O2309,N2310,"f",FALSE)</f>
        <v>55499</v>
      </c>
      <c r="P2310" s="92">
        <f>_xll.qlCalendarAdvance(Calendar,O2310,NDays&amp;"D")</f>
        <v>55501</v>
      </c>
      <c r="Q2310" s="81" t="e">
        <v>#N/A</v>
      </c>
      <c r="R2310" s="85" t="e">
        <v>#N/A</v>
      </c>
    </row>
    <row r="2311" spans="14:18" x14ac:dyDescent="0.2">
      <c r="N2311" s="88" t="str">
        <f t="shared" si="41"/>
        <v>1w</v>
      </c>
      <c r="O2311" s="82">
        <f>_xll.qlCalendarAdvance(Calendar,O2310,N2311,"f",FALSE)</f>
        <v>55506</v>
      </c>
      <c r="P2311" s="92">
        <f>_xll.qlCalendarAdvance(Calendar,O2311,NDays&amp;"D")</f>
        <v>55508</v>
      </c>
      <c r="Q2311" s="81" t="e">
        <v>#N/A</v>
      </c>
      <c r="R2311" s="85" t="e">
        <v>#N/A</v>
      </c>
    </row>
    <row r="2312" spans="14:18" x14ac:dyDescent="0.2">
      <c r="N2312" s="88" t="str">
        <f t="shared" si="41"/>
        <v>1w</v>
      </c>
      <c r="O2312" s="82">
        <f>_xll.qlCalendarAdvance(Calendar,O2311,N2312,"f",FALSE)</f>
        <v>55514</v>
      </c>
      <c r="P2312" s="92">
        <f>_xll.qlCalendarAdvance(Calendar,O2312,NDays&amp;"D")</f>
        <v>55516</v>
      </c>
      <c r="Q2312" s="81" t="e">
        <v>#N/A</v>
      </c>
      <c r="R2312" s="85" t="e">
        <v>#N/A</v>
      </c>
    </row>
    <row r="2313" spans="14:18" x14ac:dyDescent="0.2">
      <c r="N2313" s="88" t="str">
        <f t="shared" si="41"/>
        <v>1w</v>
      </c>
      <c r="O2313" s="82">
        <f>_xll.qlCalendarAdvance(Calendar,O2312,N2313,"f",FALSE)</f>
        <v>55521</v>
      </c>
      <c r="P2313" s="92">
        <f>_xll.qlCalendarAdvance(Calendar,O2313,NDays&amp;"D")</f>
        <v>55523</v>
      </c>
      <c r="Q2313" s="81" t="e">
        <v>#N/A</v>
      </c>
      <c r="R2313" s="85" t="e">
        <v>#N/A</v>
      </c>
    </row>
    <row r="2314" spans="14:18" x14ac:dyDescent="0.2">
      <c r="N2314" s="88" t="str">
        <f t="shared" si="41"/>
        <v>1w</v>
      </c>
      <c r="O2314" s="82">
        <f>_xll.qlCalendarAdvance(Calendar,O2313,N2314,"f",FALSE)</f>
        <v>55528</v>
      </c>
      <c r="P2314" s="92">
        <f>_xll.qlCalendarAdvance(Calendar,O2314,NDays&amp;"D")</f>
        <v>55530</v>
      </c>
      <c r="Q2314" s="81" t="e">
        <v>#N/A</v>
      </c>
      <c r="R2314" s="85" t="e">
        <v>#N/A</v>
      </c>
    </row>
    <row r="2315" spans="14:18" x14ac:dyDescent="0.2">
      <c r="N2315" s="88" t="str">
        <f t="shared" si="41"/>
        <v>1w</v>
      </c>
      <c r="O2315" s="82">
        <f>_xll.qlCalendarAdvance(Calendar,O2314,N2315,"f",FALSE)</f>
        <v>55535</v>
      </c>
      <c r="P2315" s="92">
        <f>_xll.qlCalendarAdvance(Calendar,O2315,NDays&amp;"D")</f>
        <v>55537</v>
      </c>
      <c r="Q2315" s="81" t="e">
        <v>#N/A</v>
      </c>
      <c r="R2315" s="85" t="e">
        <v>#N/A</v>
      </c>
    </row>
    <row r="2316" spans="14:18" x14ac:dyDescent="0.2">
      <c r="N2316" s="88" t="str">
        <f t="shared" si="41"/>
        <v>1w</v>
      </c>
      <c r="O2316" s="82">
        <f>_xll.qlCalendarAdvance(Calendar,O2315,N2316,"f",FALSE)</f>
        <v>55542</v>
      </c>
      <c r="P2316" s="92">
        <f>_xll.qlCalendarAdvance(Calendar,O2316,NDays&amp;"D")</f>
        <v>55544</v>
      </c>
      <c r="Q2316" s="81" t="e">
        <v>#N/A</v>
      </c>
      <c r="R2316" s="85" t="e">
        <v>#N/A</v>
      </c>
    </row>
    <row r="2317" spans="14:18" x14ac:dyDescent="0.2">
      <c r="N2317" s="88" t="str">
        <f t="shared" si="41"/>
        <v>1w</v>
      </c>
      <c r="O2317" s="82">
        <f>_xll.qlCalendarAdvance(Calendar,O2316,N2317,"f",FALSE)</f>
        <v>55549</v>
      </c>
      <c r="P2317" s="92">
        <f>_xll.qlCalendarAdvance(Calendar,O2317,NDays&amp;"D")</f>
        <v>55551</v>
      </c>
      <c r="Q2317" s="81" t="e">
        <v>#N/A</v>
      </c>
      <c r="R2317" s="85" t="e">
        <v>#N/A</v>
      </c>
    </row>
    <row r="2318" spans="14:18" x14ac:dyDescent="0.2">
      <c r="N2318" s="88" t="str">
        <f t="shared" si="41"/>
        <v>1w</v>
      </c>
      <c r="O2318" s="82">
        <f>_xll.qlCalendarAdvance(Calendar,O2317,N2318,"f",FALSE)</f>
        <v>55556</v>
      </c>
      <c r="P2318" s="92">
        <f>_xll.qlCalendarAdvance(Calendar,O2318,NDays&amp;"D")</f>
        <v>55558</v>
      </c>
      <c r="Q2318" s="81" t="e">
        <v>#N/A</v>
      </c>
      <c r="R2318" s="85" t="e">
        <v>#N/A</v>
      </c>
    </row>
    <row r="2319" spans="14:18" x14ac:dyDescent="0.2">
      <c r="N2319" s="88" t="str">
        <f t="shared" si="41"/>
        <v>1w</v>
      </c>
      <c r="O2319" s="82">
        <f>_xll.qlCalendarAdvance(Calendar,O2318,N2319,"f",FALSE)</f>
        <v>55563</v>
      </c>
      <c r="P2319" s="92">
        <f>_xll.qlCalendarAdvance(Calendar,O2319,NDays&amp;"D")</f>
        <v>55565</v>
      </c>
      <c r="Q2319" s="81" t="e">
        <v>#N/A</v>
      </c>
      <c r="R2319" s="85" t="e">
        <v>#N/A</v>
      </c>
    </row>
    <row r="2320" spans="14:18" x14ac:dyDescent="0.2">
      <c r="N2320" s="88" t="str">
        <f t="shared" si="41"/>
        <v>1w</v>
      </c>
      <c r="O2320" s="82">
        <f>_xll.qlCalendarAdvance(Calendar,O2319,N2320,"f",FALSE)</f>
        <v>55570</v>
      </c>
      <c r="P2320" s="92">
        <f>_xll.qlCalendarAdvance(Calendar,O2320,NDays&amp;"D")</f>
        <v>55572</v>
      </c>
      <c r="Q2320" s="81" t="e">
        <v>#N/A</v>
      </c>
      <c r="R2320" s="85" t="e">
        <v>#N/A</v>
      </c>
    </row>
    <row r="2321" spans="14:18" x14ac:dyDescent="0.2">
      <c r="N2321" s="88" t="str">
        <f t="shared" si="41"/>
        <v>1w</v>
      </c>
      <c r="O2321" s="82">
        <f>_xll.qlCalendarAdvance(Calendar,O2320,N2321,"f",FALSE)</f>
        <v>55577</v>
      </c>
      <c r="P2321" s="92">
        <f>_xll.qlCalendarAdvance(Calendar,O2321,NDays&amp;"D")</f>
        <v>55579</v>
      </c>
      <c r="Q2321" s="81" t="e">
        <v>#N/A</v>
      </c>
      <c r="R2321" s="85" t="e">
        <v>#N/A</v>
      </c>
    </row>
    <row r="2322" spans="14:18" x14ac:dyDescent="0.2">
      <c r="N2322" s="88" t="str">
        <f t="shared" si="41"/>
        <v>1w</v>
      </c>
      <c r="O2322" s="82">
        <f>_xll.qlCalendarAdvance(Calendar,O2321,N2322,"f",FALSE)</f>
        <v>55584</v>
      </c>
      <c r="P2322" s="92">
        <f>_xll.qlCalendarAdvance(Calendar,O2322,NDays&amp;"D")</f>
        <v>55586</v>
      </c>
      <c r="Q2322" s="81" t="e">
        <v>#N/A</v>
      </c>
      <c r="R2322" s="85" t="e">
        <v>#N/A</v>
      </c>
    </row>
    <row r="2323" spans="14:18" x14ac:dyDescent="0.2">
      <c r="N2323" s="88" t="str">
        <f t="shared" si="41"/>
        <v>1w</v>
      </c>
      <c r="O2323" s="82">
        <f>_xll.qlCalendarAdvance(Calendar,O2322,N2323,"f",FALSE)</f>
        <v>55591</v>
      </c>
      <c r="P2323" s="92">
        <f>_xll.qlCalendarAdvance(Calendar,O2323,NDays&amp;"D")</f>
        <v>55593</v>
      </c>
      <c r="Q2323" s="81" t="e">
        <v>#N/A</v>
      </c>
      <c r="R2323" s="85" t="e">
        <v>#N/A</v>
      </c>
    </row>
    <row r="2324" spans="14:18" x14ac:dyDescent="0.2">
      <c r="N2324" s="88" t="str">
        <f t="shared" si="41"/>
        <v>1w</v>
      </c>
      <c r="O2324" s="82">
        <f>_xll.qlCalendarAdvance(Calendar,O2323,N2324,"f",FALSE)</f>
        <v>55598</v>
      </c>
      <c r="P2324" s="92">
        <f>_xll.qlCalendarAdvance(Calendar,O2324,NDays&amp;"D")</f>
        <v>55600</v>
      </c>
      <c r="Q2324" s="81" t="e">
        <v>#N/A</v>
      </c>
      <c r="R2324" s="85" t="e">
        <v>#N/A</v>
      </c>
    </row>
    <row r="2325" spans="14:18" x14ac:dyDescent="0.2">
      <c r="N2325" s="88" t="str">
        <f t="shared" ref="N2325:N2388" si="42">N2324</f>
        <v>1w</v>
      </c>
      <c r="O2325" s="82">
        <f>_xll.qlCalendarAdvance(Calendar,O2324,N2325,"f",FALSE)</f>
        <v>55605</v>
      </c>
      <c r="P2325" s="92">
        <f>_xll.qlCalendarAdvance(Calendar,O2325,NDays&amp;"D")</f>
        <v>55607</v>
      </c>
      <c r="Q2325" s="81" t="e">
        <v>#N/A</v>
      </c>
      <c r="R2325" s="85" t="e">
        <v>#N/A</v>
      </c>
    </row>
    <row r="2326" spans="14:18" x14ac:dyDescent="0.2">
      <c r="N2326" s="88" t="str">
        <f t="shared" si="42"/>
        <v>1w</v>
      </c>
      <c r="O2326" s="82">
        <f>_xll.qlCalendarAdvance(Calendar,O2325,N2326,"f",FALSE)</f>
        <v>55612</v>
      </c>
      <c r="P2326" s="92">
        <f>_xll.qlCalendarAdvance(Calendar,O2326,NDays&amp;"D")</f>
        <v>55614</v>
      </c>
      <c r="Q2326" s="81" t="e">
        <v>#N/A</v>
      </c>
      <c r="R2326" s="85" t="e">
        <v>#N/A</v>
      </c>
    </row>
    <row r="2327" spans="14:18" x14ac:dyDescent="0.2">
      <c r="N2327" s="88" t="str">
        <f t="shared" si="42"/>
        <v>1w</v>
      </c>
      <c r="O2327" s="82">
        <f>_xll.qlCalendarAdvance(Calendar,O2326,N2327,"f",FALSE)</f>
        <v>55619</v>
      </c>
      <c r="P2327" s="92">
        <f>_xll.qlCalendarAdvance(Calendar,O2327,NDays&amp;"D")</f>
        <v>55621</v>
      </c>
      <c r="Q2327" s="81" t="e">
        <v>#N/A</v>
      </c>
      <c r="R2327" s="85" t="e">
        <v>#N/A</v>
      </c>
    </row>
    <row r="2328" spans="14:18" x14ac:dyDescent="0.2">
      <c r="N2328" s="88" t="str">
        <f t="shared" si="42"/>
        <v>1w</v>
      </c>
      <c r="O2328" s="82">
        <f>_xll.qlCalendarAdvance(Calendar,O2327,N2328,"f",FALSE)</f>
        <v>55626</v>
      </c>
      <c r="P2328" s="92">
        <f>_xll.qlCalendarAdvance(Calendar,O2328,NDays&amp;"D")</f>
        <v>55632</v>
      </c>
      <c r="Q2328" s="81" t="e">
        <v>#N/A</v>
      </c>
      <c r="R2328" s="85" t="e">
        <v>#N/A</v>
      </c>
    </row>
    <row r="2329" spans="14:18" x14ac:dyDescent="0.2">
      <c r="N2329" s="88" t="str">
        <f t="shared" si="42"/>
        <v>1w</v>
      </c>
      <c r="O2329" s="82">
        <f>_xll.qlCalendarAdvance(Calendar,O2328,N2329,"f",FALSE)</f>
        <v>55633</v>
      </c>
      <c r="P2329" s="92">
        <f>_xll.qlCalendarAdvance(Calendar,O2329,NDays&amp;"D")</f>
        <v>55635</v>
      </c>
      <c r="Q2329" s="81" t="e">
        <v>#N/A</v>
      </c>
      <c r="R2329" s="85" t="e">
        <v>#N/A</v>
      </c>
    </row>
    <row r="2330" spans="14:18" x14ac:dyDescent="0.2">
      <c r="N2330" s="88" t="str">
        <f t="shared" si="42"/>
        <v>1w</v>
      </c>
      <c r="O2330" s="82">
        <f>_xll.qlCalendarAdvance(Calendar,O2329,N2330,"f",FALSE)</f>
        <v>55641</v>
      </c>
      <c r="P2330" s="92">
        <f>_xll.qlCalendarAdvance(Calendar,O2330,NDays&amp;"D")</f>
        <v>55645</v>
      </c>
      <c r="Q2330" s="81" t="e">
        <v>#N/A</v>
      </c>
      <c r="R2330" s="85" t="e">
        <v>#N/A</v>
      </c>
    </row>
    <row r="2331" spans="14:18" x14ac:dyDescent="0.2">
      <c r="N2331" s="88" t="str">
        <f t="shared" si="42"/>
        <v>1w</v>
      </c>
      <c r="O2331" s="82">
        <f>_xll.qlCalendarAdvance(Calendar,O2330,N2331,"f",FALSE)</f>
        <v>55648</v>
      </c>
      <c r="P2331" s="92">
        <f>_xll.qlCalendarAdvance(Calendar,O2331,NDays&amp;"D")</f>
        <v>55652</v>
      </c>
      <c r="Q2331" s="81" t="e">
        <v>#N/A</v>
      </c>
      <c r="R2331" s="85" t="e">
        <v>#N/A</v>
      </c>
    </row>
    <row r="2332" spans="14:18" x14ac:dyDescent="0.2">
      <c r="N2332" s="88" t="str">
        <f t="shared" si="42"/>
        <v>1w</v>
      </c>
      <c r="O2332" s="82">
        <f>_xll.qlCalendarAdvance(Calendar,O2331,N2332,"f",FALSE)</f>
        <v>55655</v>
      </c>
      <c r="P2332" s="92">
        <f>_xll.qlCalendarAdvance(Calendar,O2332,NDays&amp;"D")</f>
        <v>55659</v>
      </c>
      <c r="Q2332" s="81" t="e">
        <v>#N/A</v>
      </c>
      <c r="R2332" s="85" t="e">
        <v>#N/A</v>
      </c>
    </row>
    <row r="2333" spans="14:18" x14ac:dyDescent="0.2">
      <c r="N2333" s="88" t="str">
        <f t="shared" si="42"/>
        <v>1w</v>
      </c>
      <c r="O2333" s="82">
        <f>_xll.qlCalendarAdvance(Calendar,O2332,N2333,"f",FALSE)</f>
        <v>55662</v>
      </c>
      <c r="P2333" s="92">
        <f>_xll.qlCalendarAdvance(Calendar,O2333,NDays&amp;"D")</f>
        <v>55666</v>
      </c>
      <c r="Q2333" s="81" t="e">
        <v>#N/A</v>
      </c>
      <c r="R2333" s="85" t="e">
        <v>#N/A</v>
      </c>
    </row>
    <row r="2334" spans="14:18" x14ac:dyDescent="0.2">
      <c r="N2334" s="88" t="str">
        <f t="shared" si="42"/>
        <v>1w</v>
      </c>
      <c r="O2334" s="82">
        <f>_xll.qlCalendarAdvance(Calendar,O2333,N2334,"f",FALSE)</f>
        <v>55670</v>
      </c>
      <c r="P2334" s="92">
        <f>_xll.qlCalendarAdvance(Calendar,O2334,NDays&amp;"D")</f>
        <v>55674</v>
      </c>
      <c r="Q2334" s="81" t="e">
        <v>#N/A</v>
      </c>
      <c r="R2334" s="85" t="e">
        <v>#N/A</v>
      </c>
    </row>
    <row r="2335" spans="14:18" x14ac:dyDescent="0.2">
      <c r="N2335" s="88" t="str">
        <f t="shared" si="42"/>
        <v>1w</v>
      </c>
      <c r="O2335" s="82">
        <f>_xll.qlCalendarAdvance(Calendar,O2334,N2335,"f",FALSE)</f>
        <v>55677</v>
      </c>
      <c r="P2335" s="92">
        <f>_xll.qlCalendarAdvance(Calendar,O2335,NDays&amp;"D")</f>
        <v>55682</v>
      </c>
      <c r="Q2335" s="81" t="e">
        <v>#N/A</v>
      </c>
      <c r="R2335" s="85" t="e">
        <v>#N/A</v>
      </c>
    </row>
    <row r="2336" spans="14:18" x14ac:dyDescent="0.2">
      <c r="N2336" s="88" t="str">
        <f t="shared" si="42"/>
        <v>1w</v>
      </c>
      <c r="O2336" s="82">
        <f>_xll.qlCalendarAdvance(Calendar,O2335,N2336,"f",FALSE)</f>
        <v>55684</v>
      </c>
      <c r="P2336" s="92">
        <f>_xll.qlCalendarAdvance(Calendar,O2336,NDays&amp;"D")</f>
        <v>55688</v>
      </c>
      <c r="Q2336" s="81" t="e">
        <v>#N/A</v>
      </c>
      <c r="R2336" s="85" t="e">
        <v>#N/A</v>
      </c>
    </row>
    <row r="2337" spans="14:18" x14ac:dyDescent="0.2">
      <c r="N2337" s="88" t="str">
        <f t="shared" si="42"/>
        <v>1w</v>
      </c>
      <c r="O2337" s="82">
        <f>_xll.qlCalendarAdvance(Calendar,O2336,N2337,"f",FALSE)</f>
        <v>55694</v>
      </c>
      <c r="P2337" s="92">
        <f>_xll.qlCalendarAdvance(Calendar,O2337,NDays&amp;"D")</f>
        <v>55696</v>
      </c>
      <c r="Q2337" s="81" t="e">
        <v>#N/A</v>
      </c>
      <c r="R2337" s="85" t="e">
        <v>#N/A</v>
      </c>
    </row>
    <row r="2338" spans="14:18" x14ac:dyDescent="0.2">
      <c r="N2338" s="88" t="str">
        <f t="shared" si="42"/>
        <v>1w</v>
      </c>
      <c r="O2338" s="82">
        <f>_xll.qlCalendarAdvance(Calendar,O2337,N2338,"f",FALSE)</f>
        <v>55701</v>
      </c>
      <c r="P2338" s="92">
        <f>_xll.qlCalendarAdvance(Calendar,O2338,NDays&amp;"D")</f>
        <v>55703</v>
      </c>
      <c r="Q2338" s="81" t="e">
        <v>#N/A</v>
      </c>
      <c r="R2338" s="85" t="e">
        <v>#N/A</v>
      </c>
    </row>
    <row r="2339" spans="14:18" x14ac:dyDescent="0.2">
      <c r="N2339" s="88" t="str">
        <f t="shared" si="42"/>
        <v>1w</v>
      </c>
      <c r="O2339" s="82">
        <f>_xll.qlCalendarAdvance(Calendar,O2338,N2339,"f",FALSE)</f>
        <v>55708</v>
      </c>
      <c r="P2339" s="92">
        <f>_xll.qlCalendarAdvance(Calendar,O2339,NDays&amp;"D")</f>
        <v>55710</v>
      </c>
      <c r="Q2339" s="81" t="e">
        <v>#N/A</v>
      </c>
      <c r="R2339" s="85" t="e">
        <v>#N/A</v>
      </c>
    </row>
    <row r="2340" spans="14:18" x14ac:dyDescent="0.2">
      <c r="N2340" s="88" t="str">
        <f t="shared" si="42"/>
        <v>1w</v>
      </c>
      <c r="O2340" s="82">
        <f>_xll.qlCalendarAdvance(Calendar,O2339,N2340,"f",FALSE)</f>
        <v>55715</v>
      </c>
      <c r="P2340" s="92">
        <f>_xll.qlCalendarAdvance(Calendar,O2340,NDays&amp;"D")</f>
        <v>55717</v>
      </c>
      <c r="Q2340" s="81" t="e">
        <v>#N/A</v>
      </c>
      <c r="R2340" s="85" t="e">
        <v>#N/A</v>
      </c>
    </row>
    <row r="2341" spans="14:18" x14ac:dyDescent="0.2">
      <c r="N2341" s="88" t="str">
        <f t="shared" si="42"/>
        <v>1w</v>
      </c>
      <c r="O2341" s="82">
        <f>_xll.qlCalendarAdvance(Calendar,O2340,N2341,"f",FALSE)</f>
        <v>55722</v>
      </c>
      <c r="P2341" s="92">
        <f>_xll.qlCalendarAdvance(Calendar,O2341,NDays&amp;"D")</f>
        <v>55724</v>
      </c>
      <c r="Q2341" s="81" t="e">
        <v>#N/A</v>
      </c>
      <c r="R2341" s="85" t="e">
        <v>#N/A</v>
      </c>
    </row>
    <row r="2342" spans="14:18" x14ac:dyDescent="0.2">
      <c r="N2342" s="88" t="str">
        <f t="shared" si="42"/>
        <v>1w</v>
      </c>
      <c r="O2342" s="82">
        <f>_xll.qlCalendarAdvance(Calendar,O2341,N2342,"f",FALSE)</f>
        <v>55729</v>
      </c>
      <c r="P2342" s="92">
        <f>_xll.qlCalendarAdvance(Calendar,O2342,NDays&amp;"D")</f>
        <v>55731</v>
      </c>
      <c r="Q2342" s="81" t="e">
        <v>#N/A</v>
      </c>
      <c r="R2342" s="85" t="e">
        <v>#N/A</v>
      </c>
    </row>
    <row r="2343" spans="14:18" x14ac:dyDescent="0.2">
      <c r="N2343" s="88" t="str">
        <f t="shared" si="42"/>
        <v>1w</v>
      </c>
      <c r="O2343" s="82">
        <f>_xll.qlCalendarAdvance(Calendar,O2342,N2343,"f",FALSE)</f>
        <v>55736</v>
      </c>
      <c r="P2343" s="92">
        <f>_xll.qlCalendarAdvance(Calendar,O2343,NDays&amp;"D")</f>
        <v>55738</v>
      </c>
      <c r="Q2343" s="81" t="e">
        <v>#N/A</v>
      </c>
      <c r="R2343" s="85" t="e">
        <v>#N/A</v>
      </c>
    </row>
    <row r="2344" spans="14:18" x14ac:dyDescent="0.2">
      <c r="N2344" s="88" t="str">
        <f t="shared" si="42"/>
        <v>1w</v>
      </c>
      <c r="O2344" s="82">
        <f>_xll.qlCalendarAdvance(Calendar,O2343,N2344,"f",FALSE)</f>
        <v>55743</v>
      </c>
      <c r="P2344" s="92">
        <f>_xll.qlCalendarAdvance(Calendar,O2344,NDays&amp;"D")</f>
        <v>55745</v>
      </c>
      <c r="Q2344" s="81" t="e">
        <v>#N/A</v>
      </c>
      <c r="R2344" s="85" t="e">
        <v>#N/A</v>
      </c>
    </row>
    <row r="2345" spans="14:18" x14ac:dyDescent="0.2">
      <c r="N2345" s="88" t="str">
        <f t="shared" si="42"/>
        <v>1w</v>
      </c>
      <c r="O2345" s="82">
        <f>_xll.qlCalendarAdvance(Calendar,O2344,N2345,"f",FALSE)</f>
        <v>55750</v>
      </c>
      <c r="P2345" s="92">
        <f>_xll.qlCalendarAdvance(Calendar,O2345,NDays&amp;"D")</f>
        <v>55752</v>
      </c>
      <c r="Q2345" s="81" t="e">
        <v>#N/A</v>
      </c>
      <c r="R2345" s="85" t="e">
        <v>#N/A</v>
      </c>
    </row>
    <row r="2346" spans="14:18" x14ac:dyDescent="0.2">
      <c r="N2346" s="88" t="str">
        <f t="shared" si="42"/>
        <v>1w</v>
      </c>
      <c r="O2346" s="82">
        <f>_xll.qlCalendarAdvance(Calendar,O2345,N2346,"f",FALSE)</f>
        <v>55757</v>
      </c>
      <c r="P2346" s="92">
        <f>_xll.qlCalendarAdvance(Calendar,O2346,NDays&amp;"D")</f>
        <v>55759</v>
      </c>
      <c r="Q2346" s="81" t="e">
        <v>#N/A</v>
      </c>
      <c r="R2346" s="85" t="e">
        <v>#N/A</v>
      </c>
    </row>
    <row r="2347" spans="14:18" x14ac:dyDescent="0.2">
      <c r="N2347" s="88" t="str">
        <f t="shared" si="42"/>
        <v>1w</v>
      </c>
      <c r="O2347" s="82">
        <f>_xll.qlCalendarAdvance(Calendar,O2346,N2347,"f",FALSE)</f>
        <v>55764</v>
      </c>
      <c r="P2347" s="92">
        <f>_xll.qlCalendarAdvance(Calendar,O2347,NDays&amp;"D")</f>
        <v>55766</v>
      </c>
      <c r="Q2347" s="81" t="e">
        <v>#N/A</v>
      </c>
      <c r="R2347" s="85" t="e">
        <v>#N/A</v>
      </c>
    </row>
    <row r="2348" spans="14:18" x14ac:dyDescent="0.2">
      <c r="N2348" s="88" t="str">
        <f t="shared" si="42"/>
        <v>1w</v>
      </c>
      <c r="O2348" s="82">
        <f>_xll.qlCalendarAdvance(Calendar,O2347,N2348,"f",FALSE)</f>
        <v>55771</v>
      </c>
      <c r="P2348" s="92">
        <f>_xll.qlCalendarAdvance(Calendar,O2348,NDays&amp;"D")</f>
        <v>55773</v>
      </c>
      <c r="Q2348" s="81" t="e">
        <v>#N/A</v>
      </c>
      <c r="R2348" s="85" t="e">
        <v>#N/A</v>
      </c>
    </row>
    <row r="2349" spans="14:18" x14ac:dyDescent="0.2">
      <c r="N2349" s="88" t="str">
        <f t="shared" si="42"/>
        <v>1w</v>
      </c>
      <c r="O2349" s="82">
        <f>_xll.qlCalendarAdvance(Calendar,O2348,N2349,"f",FALSE)</f>
        <v>55778</v>
      </c>
      <c r="P2349" s="92">
        <f>_xll.qlCalendarAdvance(Calendar,O2349,NDays&amp;"D")</f>
        <v>55780</v>
      </c>
      <c r="Q2349" s="81" t="e">
        <v>#N/A</v>
      </c>
      <c r="R2349" s="85" t="e">
        <v>#N/A</v>
      </c>
    </row>
    <row r="2350" spans="14:18" x14ac:dyDescent="0.2">
      <c r="N2350" s="88" t="str">
        <f t="shared" si="42"/>
        <v>1w</v>
      </c>
      <c r="O2350" s="82">
        <f>_xll.qlCalendarAdvance(Calendar,O2349,N2350,"f",FALSE)</f>
        <v>55785</v>
      </c>
      <c r="P2350" s="92">
        <f>_xll.qlCalendarAdvance(Calendar,O2350,NDays&amp;"D")</f>
        <v>55787</v>
      </c>
      <c r="Q2350" s="81" t="e">
        <v>#N/A</v>
      </c>
      <c r="R2350" s="85" t="e">
        <v>#N/A</v>
      </c>
    </row>
    <row r="2351" spans="14:18" x14ac:dyDescent="0.2">
      <c r="N2351" s="88" t="str">
        <f t="shared" si="42"/>
        <v>1w</v>
      </c>
      <c r="O2351" s="82">
        <f>_xll.qlCalendarAdvance(Calendar,O2350,N2351,"f",FALSE)</f>
        <v>55792</v>
      </c>
      <c r="P2351" s="92">
        <f>_xll.qlCalendarAdvance(Calendar,O2351,NDays&amp;"D")</f>
        <v>55794</v>
      </c>
      <c r="Q2351" s="81" t="e">
        <v>#N/A</v>
      </c>
      <c r="R2351" s="85" t="e">
        <v>#N/A</v>
      </c>
    </row>
    <row r="2352" spans="14:18" x14ac:dyDescent="0.2">
      <c r="N2352" s="88" t="str">
        <f t="shared" si="42"/>
        <v>1w</v>
      </c>
      <c r="O2352" s="82">
        <f>_xll.qlCalendarAdvance(Calendar,O2351,N2352,"f",FALSE)</f>
        <v>55799</v>
      </c>
      <c r="P2352" s="92">
        <f>_xll.qlCalendarAdvance(Calendar,O2352,NDays&amp;"D")</f>
        <v>55801</v>
      </c>
      <c r="Q2352" s="81" t="e">
        <v>#N/A</v>
      </c>
      <c r="R2352" s="85" t="e">
        <v>#N/A</v>
      </c>
    </row>
    <row r="2353" spans="14:18" x14ac:dyDescent="0.2">
      <c r="N2353" s="88" t="str">
        <f t="shared" si="42"/>
        <v>1w</v>
      </c>
      <c r="O2353" s="82">
        <f>_xll.qlCalendarAdvance(Calendar,O2352,N2353,"f",FALSE)</f>
        <v>55806</v>
      </c>
      <c r="P2353" s="92">
        <f>_xll.qlCalendarAdvance(Calendar,O2353,NDays&amp;"D")</f>
        <v>55808</v>
      </c>
      <c r="Q2353" s="81" t="e">
        <v>#N/A</v>
      </c>
      <c r="R2353" s="85" t="e">
        <v>#N/A</v>
      </c>
    </row>
    <row r="2354" spans="14:18" x14ac:dyDescent="0.2">
      <c r="N2354" s="88" t="str">
        <f t="shared" si="42"/>
        <v>1w</v>
      </c>
      <c r="O2354" s="82">
        <f>_xll.qlCalendarAdvance(Calendar,O2353,N2354,"f",FALSE)</f>
        <v>55813</v>
      </c>
      <c r="P2354" s="92">
        <f>_xll.qlCalendarAdvance(Calendar,O2354,NDays&amp;"D")</f>
        <v>55815</v>
      </c>
      <c r="Q2354" s="81" t="e">
        <v>#N/A</v>
      </c>
      <c r="R2354" s="85" t="e">
        <v>#N/A</v>
      </c>
    </row>
    <row r="2355" spans="14:18" x14ac:dyDescent="0.2">
      <c r="N2355" s="88" t="str">
        <f t="shared" si="42"/>
        <v>1w</v>
      </c>
      <c r="O2355" s="82">
        <f>_xll.qlCalendarAdvance(Calendar,O2354,N2355,"f",FALSE)</f>
        <v>55820</v>
      </c>
      <c r="P2355" s="92">
        <f>_xll.qlCalendarAdvance(Calendar,O2355,NDays&amp;"D")</f>
        <v>55822</v>
      </c>
      <c r="Q2355" s="81" t="e">
        <v>#N/A</v>
      </c>
      <c r="R2355" s="85" t="e">
        <v>#N/A</v>
      </c>
    </row>
    <row r="2356" spans="14:18" x14ac:dyDescent="0.2">
      <c r="N2356" s="88" t="str">
        <f t="shared" si="42"/>
        <v>1w</v>
      </c>
      <c r="O2356" s="82">
        <f>_xll.qlCalendarAdvance(Calendar,O2355,N2356,"f",FALSE)</f>
        <v>55827</v>
      </c>
      <c r="P2356" s="92">
        <f>_xll.qlCalendarAdvance(Calendar,O2356,NDays&amp;"D")</f>
        <v>55829</v>
      </c>
      <c r="Q2356" s="81" t="e">
        <v>#N/A</v>
      </c>
      <c r="R2356" s="85" t="e">
        <v>#N/A</v>
      </c>
    </row>
    <row r="2357" spans="14:18" x14ac:dyDescent="0.2">
      <c r="N2357" s="88" t="str">
        <f t="shared" si="42"/>
        <v>1w</v>
      </c>
      <c r="O2357" s="82">
        <f>_xll.qlCalendarAdvance(Calendar,O2356,N2357,"f",FALSE)</f>
        <v>55834</v>
      </c>
      <c r="P2357" s="92">
        <f>_xll.qlCalendarAdvance(Calendar,O2357,NDays&amp;"D")</f>
        <v>55836</v>
      </c>
      <c r="Q2357" s="81" t="e">
        <v>#N/A</v>
      </c>
      <c r="R2357" s="85" t="e">
        <v>#N/A</v>
      </c>
    </row>
    <row r="2358" spans="14:18" x14ac:dyDescent="0.2">
      <c r="N2358" s="88" t="str">
        <f t="shared" si="42"/>
        <v>1w</v>
      </c>
      <c r="O2358" s="82">
        <f>_xll.qlCalendarAdvance(Calendar,O2357,N2358,"f",FALSE)</f>
        <v>55841</v>
      </c>
      <c r="P2358" s="92">
        <f>_xll.qlCalendarAdvance(Calendar,O2358,NDays&amp;"D")</f>
        <v>55843</v>
      </c>
      <c r="Q2358" s="81" t="e">
        <v>#N/A</v>
      </c>
      <c r="R2358" s="85" t="e">
        <v>#N/A</v>
      </c>
    </row>
    <row r="2359" spans="14:18" x14ac:dyDescent="0.2">
      <c r="N2359" s="88" t="str">
        <f t="shared" si="42"/>
        <v>1w</v>
      </c>
      <c r="O2359" s="82">
        <f>_xll.qlCalendarAdvance(Calendar,O2358,N2359,"f",FALSE)</f>
        <v>55848</v>
      </c>
      <c r="P2359" s="92">
        <f>_xll.qlCalendarAdvance(Calendar,O2359,NDays&amp;"D")</f>
        <v>55850</v>
      </c>
      <c r="Q2359" s="81" t="e">
        <v>#N/A</v>
      </c>
      <c r="R2359" s="85" t="e">
        <v>#N/A</v>
      </c>
    </row>
    <row r="2360" spans="14:18" x14ac:dyDescent="0.2">
      <c r="N2360" s="88" t="str">
        <f t="shared" si="42"/>
        <v>1w</v>
      </c>
      <c r="O2360" s="82">
        <f>_xll.qlCalendarAdvance(Calendar,O2359,N2360,"f",FALSE)</f>
        <v>55855</v>
      </c>
      <c r="P2360" s="92">
        <f>_xll.qlCalendarAdvance(Calendar,O2360,NDays&amp;"D")</f>
        <v>55857</v>
      </c>
      <c r="Q2360" s="81" t="e">
        <v>#N/A</v>
      </c>
      <c r="R2360" s="85" t="e">
        <v>#N/A</v>
      </c>
    </row>
    <row r="2361" spans="14:18" x14ac:dyDescent="0.2">
      <c r="N2361" s="88" t="str">
        <f t="shared" si="42"/>
        <v>1w</v>
      </c>
      <c r="O2361" s="82">
        <f>_xll.qlCalendarAdvance(Calendar,O2360,N2361,"f",FALSE)</f>
        <v>55862</v>
      </c>
      <c r="P2361" s="92">
        <f>_xll.qlCalendarAdvance(Calendar,O2361,NDays&amp;"D")</f>
        <v>55864</v>
      </c>
      <c r="Q2361" s="81" t="e">
        <v>#N/A</v>
      </c>
      <c r="R2361" s="85" t="e">
        <v>#N/A</v>
      </c>
    </row>
    <row r="2362" spans="14:18" x14ac:dyDescent="0.2">
      <c r="N2362" s="88" t="str">
        <f t="shared" si="42"/>
        <v>1w</v>
      </c>
      <c r="O2362" s="82">
        <f>_xll.qlCalendarAdvance(Calendar,O2361,N2362,"f",FALSE)</f>
        <v>55869</v>
      </c>
      <c r="P2362" s="92">
        <f>_xll.qlCalendarAdvance(Calendar,O2362,NDays&amp;"D")</f>
        <v>55871</v>
      </c>
      <c r="Q2362" s="81" t="e">
        <v>#N/A</v>
      </c>
      <c r="R2362" s="85" t="e">
        <v>#N/A</v>
      </c>
    </row>
    <row r="2363" spans="14:18" x14ac:dyDescent="0.2">
      <c r="N2363" s="88" t="str">
        <f t="shared" si="42"/>
        <v>1w</v>
      </c>
      <c r="O2363" s="82">
        <f>_xll.qlCalendarAdvance(Calendar,O2362,N2363,"f",FALSE)</f>
        <v>55876</v>
      </c>
      <c r="P2363" s="92">
        <f>_xll.qlCalendarAdvance(Calendar,O2363,NDays&amp;"D")</f>
        <v>55883</v>
      </c>
      <c r="Q2363" s="81" t="e">
        <v>#N/A</v>
      </c>
      <c r="R2363" s="85" t="e">
        <v>#N/A</v>
      </c>
    </row>
    <row r="2364" spans="14:18" x14ac:dyDescent="0.2">
      <c r="N2364" s="88" t="str">
        <f t="shared" si="42"/>
        <v>1w</v>
      </c>
      <c r="O2364" s="82">
        <f>_xll.qlCalendarAdvance(Calendar,O2363,N2364,"f",FALSE)</f>
        <v>55883</v>
      </c>
      <c r="P2364" s="92">
        <f>_xll.qlCalendarAdvance(Calendar,O2364,NDays&amp;"D")</f>
        <v>55887</v>
      </c>
      <c r="Q2364" s="81" t="e">
        <v>#N/A</v>
      </c>
      <c r="R2364" s="85" t="e">
        <v>#N/A</v>
      </c>
    </row>
    <row r="2365" spans="14:18" x14ac:dyDescent="0.2">
      <c r="N2365" s="88" t="str">
        <f t="shared" si="42"/>
        <v>1w</v>
      </c>
      <c r="O2365" s="82">
        <f>_xll.qlCalendarAdvance(Calendar,O2364,N2365,"f",FALSE)</f>
        <v>55891</v>
      </c>
      <c r="P2365" s="92">
        <f>_xll.qlCalendarAdvance(Calendar,O2365,NDays&amp;"D")</f>
        <v>55893</v>
      </c>
      <c r="Q2365" s="81" t="e">
        <v>#N/A</v>
      </c>
      <c r="R2365" s="85" t="e">
        <v>#N/A</v>
      </c>
    </row>
    <row r="2366" spans="14:18" x14ac:dyDescent="0.2">
      <c r="N2366" s="88" t="str">
        <f t="shared" si="42"/>
        <v>1w</v>
      </c>
      <c r="O2366" s="82">
        <f>_xll.qlCalendarAdvance(Calendar,O2365,N2366,"f",FALSE)</f>
        <v>55898</v>
      </c>
      <c r="P2366" s="92">
        <f>_xll.qlCalendarAdvance(Calendar,O2366,NDays&amp;"D")</f>
        <v>55900</v>
      </c>
      <c r="Q2366" s="81" t="e">
        <v>#N/A</v>
      </c>
      <c r="R2366" s="85" t="e">
        <v>#N/A</v>
      </c>
    </row>
    <row r="2367" spans="14:18" x14ac:dyDescent="0.2">
      <c r="N2367" s="88" t="str">
        <f t="shared" si="42"/>
        <v>1w</v>
      </c>
      <c r="O2367" s="82">
        <f>_xll.qlCalendarAdvance(Calendar,O2366,N2367,"f",FALSE)</f>
        <v>55905</v>
      </c>
      <c r="P2367" s="92">
        <f>_xll.qlCalendarAdvance(Calendar,O2367,NDays&amp;"D")</f>
        <v>55907</v>
      </c>
      <c r="Q2367" s="81" t="e">
        <v>#N/A</v>
      </c>
      <c r="R2367" s="85" t="e">
        <v>#N/A</v>
      </c>
    </row>
    <row r="2368" spans="14:18" x14ac:dyDescent="0.2">
      <c r="N2368" s="88" t="str">
        <f t="shared" si="42"/>
        <v>1w</v>
      </c>
      <c r="O2368" s="82">
        <f>_xll.qlCalendarAdvance(Calendar,O2367,N2368,"f",FALSE)</f>
        <v>55912</v>
      </c>
      <c r="P2368" s="92">
        <f>_xll.qlCalendarAdvance(Calendar,O2368,NDays&amp;"D")</f>
        <v>55914</v>
      </c>
      <c r="Q2368" s="81" t="e">
        <v>#N/A</v>
      </c>
      <c r="R2368" s="85" t="e">
        <v>#N/A</v>
      </c>
    </row>
    <row r="2369" spans="14:18" x14ac:dyDescent="0.2">
      <c r="N2369" s="88" t="str">
        <f t="shared" si="42"/>
        <v>1w</v>
      </c>
      <c r="O2369" s="82">
        <f>_xll.qlCalendarAdvance(Calendar,O2368,N2369,"f",FALSE)</f>
        <v>55919</v>
      </c>
      <c r="P2369" s="92">
        <f>_xll.qlCalendarAdvance(Calendar,O2369,NDays&amp;"D")</f>
        <v>55921</v>
      </c>
      <c r="Q2369" s="81" t="e">
        <v>#N/A</v>
      </c>
      <c r="R2369" s="85" t="e">
        <v>#N/A</v>
      </c>
    </row>
    <row r="2370" spans="14:18" x14ac:dyDescent="0.2">
      <c r="N2370" s="88" t="str">
        <f t="shared" si="42"/>
        <v>1w</v>
      </c>
      <c r="O2370" s="82">
        <f>_xll.qlCalendarAdvance(Calendar,O2369,N2370,"f",FALSE)</f>
        <v>55926</v>
      </c>
      <c r="P2370" s="92">
        <f>_xll.qlCalendarAdvance(Calendar,O2370,NDays&amp;"D")</f>
        <v>55928</v>
      </c>
      <c r="Q2370" s="81" t="e">
        <v>#N/A</v>
      </c>
      <c r="R2370" s="85" t="e">
        <v>#N/A</v>
      </c>
    </row>
    <row r="2371" spans="14:18" x14ac:dyDescent="0.2">
      <c r="N2371" s="88" t="str">
        <f t="shared" si="42"/>
        <v>1w</v>
      </c>
      <c r="O2371" s="82">
        <f>_xll.qlCalendarAdvance(Calendar,O2370,N2371,"f",FALSE)</f>
        <v>55933</v>
      </c>
      <c r="P2371" s="92">
        <f>_xll.qlCalendarAdvance(Calendar,O2371,NDays&amp;"D")</f>
        <v>55935</v>
      </c>
      <c r="Q2371" s="81" t="e">
        <v>#N/A</v>
      </c>
      <c r="R2371" s="85" t="e">
        <v>#N/A</v>
      </c>
    </row>
    <row r="2372" spans="14:18" x14ac:dyDescent="0.2">
      <c r="N2372" s="88" t="str">
        <f t="shared" si="42"/>
        <v>1w</v>
      </c>
      <c r="O2372" s="82">
        <f>_xll.qlCalendarAdvance(Calendar,O2371,N2372,"f",FALSE)</f>
        <v>55940</v>
      </c>
      <c r="P2372" s="92">
        <f>_xll.qlCalendarAdvance(Calendar,O2372,NDays&amp;"D")</f>
        <v>55942</v>
      </c>
      <c r="Q2372" s="81" t="e">
        <v>#N/A</v>
      </c>
      <c r="R2372" s="85" t="e">
        <v>#N/A</v>
      </c>
    </row>
    <row r="2373" spans="14:18" x14ac:dyDescent="0.2">
      <c r="N2373" s="88" t="str">
        <f t="shared" si="42"/>
        <v>1w</v>
      </c>
      <c r="O2373" s="82">
        <f>_xll.qlCalendarAdvance(Calendar,O2372,N2373,"f",FALSE)</f>
        <v>55947</v>
      </c>
      <c r="P2373" s="92">
        <f>_xll.qlCalendarAdvance(Calendar,O2373,NDays&amp;"D")</f>
        <v>55949</v>
      </c>
      <c r="Q2373" s="81" t="e">
        <v>#N/A</v>
      </c>
      <c r="R2373" s="85" t="e">
        <v>#N/A</v>
      </c>
    </row>
    <row r="2374" spans="14:18" x14ac:dyDescent="0.2">
      <c r="N2374" s="88" t="str">
        <f t="shared" si="42"/>
        <v>1w</v>
      </c>
      <c r="O2374" s="82">
        <f>_xll.qlCalendarAdvance(Calendar,O2373,N2374,"f",FALSE)</f>
        <v>55954</v>
      </c>
      <c r="P2374" s="92">
        <f>_xll.qlCalendarAdvance(Calendar,O2374,NDays&amp;"D")</f>
        <v>55956</v>
      </c>
      <c r="Q2374" s="81" t="e">
        <v>#N/A</v>
      </c>
      <c r="R2374" s="85" t="e">
        <v>#N/A</v>
      </c>
    </row>
    <row r="2375" spans="14:18" x14ac:dyDescent="0.2">
      <c r="N2375" s="88" t="str">
        <f t="shared" si="42"/>
        <v>1w</v>
      </c>
      <c r="O2375" s="82">
        <f>_xll.qlCalendarAdvance(Calendar,O2374,N2375,"f",FALSE)</f>
        <v>55961</v>
      </c>
      <c r="P2375" s="92">
        <f>_xll.qlCalendarAdvance(Calendar,O2375,NDays&amp;"D")</f>
        <v>55963</v>
      </c>
      <c r="Q2375" s="81" t="e">
        <v>#N/A</v>
      </c>
      <c r="R2375" s="85" t="e">
        <v>#N/A</v>
      </c>
    </row>
    <row r="2376" spans="14:18" x14ac:dyDescent="0.2">
      <c r="N2376" s="88" t="str">
        <f t="shared" si="42"/>
        <v>1w</v>
      </c>
      <c r="O2376" s="82">
        <f>_xll.qlCalendarAdvance(Calendar,O2375,N2376,"f",FALSE)</f>
        <v>55968</v>
      </c>
      <c r="P2376" s="92">
        <f>_xll.qlCalendarAdvance(Calendar,O2376,NDays&amp;"D")</f>
        <v>55970</v>
      </c>
      <c r="Q2376" s="81" t="e">
        <v>#N/A</v>
      </c>
      <c r="R2376" s="85" t="e">
        <v>#N/A</v>
      </c>
    </row>
    <row r="2377" spans="14:18" x14ac:dyDescent="0.2">
      <c r="N2377" s="88" t="str">
        <f t="shared" si="42"/>
        <v>1w</v>
      </c>
      <c r="O2377" s="82">
        <f>_xll.qlCalendarAdvance(Calendar,O2376,N2377,"f",FALSE)</f>
        <v>55975</v>
      </c>
      <c r="P2377" s="92">
        <f>_xll.qlCalendarAdvance(Calendar,O2377,NDays&amp;"D")</f>
        <v>55977</v>
      </c>
      <c r="Q2377" s="81" t="e">
        <v>#N/A</v>
      </c>
      <c r="R2377" s="85" t="e">
        <v>#N/A</v>
      </c>
    </row>
    <row r="2378" spans="14:18" x14ac:dyDescent="0.2">
      <c r="N2378" s="88" t="str">
        <f t="shared" si="42"/>
        <v>1w</v>
      </c>
      <c r="O2378" s="82">
        <f>_xll.qlCalendarAdvance(Calendar,O2377,N2378,"f",FALSE)</f>
        <v>55982</v>
      </c>
      <c r="P2378" s="92">
        <f>_xll.qlCalendarAdvance(Calendar,O2378,NDays&amp;"D")</f>
        <v>55984</v>
      </c>
      <c r="Q2378" s="81" t="e">
        <v>#N/A</v>
      </c>
      <c r="R2378" s="85" t="e">
        <v>#N/A</v>
      </c>
    </row>
    <row r="2379" spans="14:18" x14ac:dyDescent="0.2">
      <c r="N2379" s="88" t="str">
        <f t="shared" si="42"/>
        <v>1w</v>
      </c>
      <c r="O2379" s="82">
        <f>_xll.qlCalendarAdvance(Calendar,O2378,N2379,"f",FALSE)</f>
        <v>55989</v>
      </c>
      <c r="P2379" s="92">
        <f>_xll.qlCalendarAdvance(Calendar,O2379,NDays&amp;"D")</f>
        <v>55991</v>
      </c>
      <c r="Q2379" s="81" t="e">
        <v>#N/A</v>
      </c>
      <c r="R2379" s="85" t="e">
        <v>#N/A</v>
      </c>
    </row>
    <row r="2380" spans="14:18" x14ac:dyDescent="0.2">
      <c r="N2380" s="88" t="str">
        <f t="shared" si="42"/>
        <v>1w</v>
      </c>
      <c r="O2380" s="82">
        <f>_xll.qlCalendarAdvance(Calendar,O2379,N2380,"f",FALSE)</f>
        <v>55996</v>
      </c>
      <c r="P2380" s="92">
        <f>_xll.qlCalendarAdvance(Calendar,O2380,NDays&amp;"D")</f>
        <v>55998</v>
      </c>
      <c r="Q2380" s="81" t="e">
        <v>#N/A</v>
      </c>
      <c r="R2380" s="85" t="e">
        <v>#N/A</v>
      </c>
    </row>
    <row r="2381" spans="14:18" x14ac:dyDescent="0.2">
      <c r="N2381" s="88" t="str">
        <f t="shared" si="42"/>
        <v>1w</v>
      </c>
      <c r="O2381" s="82">
        <f>_xll.qlCalendarAdvance(Calendar,O2380,N2381,"f",FALSE)</f>
        <v>56003</v>
      </c>
      <c r="P2381" s="92">
        <f>_xll.qlCalendarAdvance(Calendar,O2381,NDays&amp;"D")</f>
        <v>56006</v>
      </c>
      <c r="Q2381" s="81" t="e">
        <v>#N/A</v>
      </c>
      <c r="R2381" s="85" t="e">
        <v>#N/A</v>
      </c>
    </row>
    <row r="2382" spans="14:18" x14ac:dyDescent="0.2">
      <c r="N2382" s="88" t="str">
        <f t="shared" si="42"/>
        <v>1w</v>
      </c>
      <c r="O2382" s="82">
        <f>_xll.qlCalendarAdvance(Calendar,O2381,N2382,"f",FALSE)</f>
        <v>56010</v>
      </c>
      <c r="P2382" s="92">
        <f>_xll.qlCalendarAdvance(Calendar,O2382,NDays&amp;"D")</f>
        <v>56012</v>
      </c>
      <c r="Q2382" s="81" t="e">
        <v>#N/A</v>
      </c>
      <c r="R2382" s="85" t="e">
        <v>#N/A</v>
      </c>
    </row>
    <row r="2383" spans="14:18" x14ac:dyDescent="0.2">
      <c r="N2383" s="88" t="str">
        <f t="shared" si="42"/>
        <v>1w</v>
      </c>
      <c r="O2383" s="82">
        <f>_xll.qlCalendarAdvance(Calendar,O2382,N2383,"f",FALSE)</f>
        <v>56017</v>
      </c>
      <c r="P2383" s="92">
        <f>_xll.qlCalendarAdvance(Calendar,O2383,NDays&amp;"D")</f>
        <v>56020</v>
      </c>
      <c r="Q2383" s="81" t="e">
        <v>#N/A</v>
      </c>
      <c r="R2383" s="85" t="e">
        <v>#N/A</v>
      </c>
    </row>
    <row r="2384" spans="14:18" x14ac:dyDescent="0.2">
      <c r="N2384" s="88" t="str">
        <f t="shared" si="42"/>
        <v>1w</v>
      </c>
      <c r="O2384" s="82">
        <f>_xll.qlCalendarAdvance(Calendar,O2383,N2384,"f",FALSE)</f>
        <v>56024</v>
      </c>
      <c r="P2384" s="92">
        <f>_xll.qlCalendarAdvance(Calendar,O2384,NDays&amp;"D")</f>
        <v>56026</v>
      </c>
      <c r="Q2384" s="81" t="e">
        <v>#N/A</v>
      </c>
      <c r="R2384" s="85" t="e">
        <v>#N/A</v>
      </c>
    </row>
    <row r="2385" spans="14:18" x14ac:dyDescent="0.2">
      <c r="N2385" s="88" t="str">
        <f t="shared" si="42"/>
        <v>1w</v>
      </c>
      <c r="O2385" s="82">
        <f>_xll.qlCalendarAdvance(Calendar,O2384,N2385,"f",FALSE)</f>
        <v>56031</v>
      </c>
      <c r="P2385" s="92">
        <f>_xll.qlCalendarAdvance(Calendar,O2385,NDays&amp;"D")</f>
        <v>56033</v>
      </c>
      <c r="Q2385" s="81" t="e">
        <v>#N/A</v>
      </c>
      <c r="R2385" s="85" t="e">
        <v>#N/A</v>
      </c>
    </row>
    <row r="2386" spans="14:18" x14ac:dyDescent="0.2">
      <c r="N2386" s="88" t="str">
        <f t="shared" si="42"/>
        <v>1w</v>
      </c>
      <c r="O2386" s="82">
        <f>_xll.qlCalendarAdvance(Calendar,O2385,N2386,"f",FALSE)</f>
        <v>56038</v>
      </c>
      <c r="P2386" s="92">
        <f>_xll.qlCalendarAdvance(Calendar,O2386,NDays&amp;"D")</f>
        <v>56040</v>
      </c>
      <c r="Q2386" s="81" t="e">
        <v>#N/A</v>
      </c>
      <c r="R2386" s="85" t="e">
        <v>#N/A</v>
      </c>
    </row>
    <row r="2387" spans="14:18" x14ac:dyDescent="0.2">
      <c r="N2387" s="88" t="str">
        <f t="shared" si="42"/>
        <v>1w</v>
      </c>
      <c r="O2387" s="82">
        <f>_xll.qlCalendarAdvance(Calendar,O2386,N2387,"f",FALSE)</f>
        <v>56045</v>
      </c>
      <c r="P2387" s="92">
        <f>_xll.qlCalendarAdvance(Calendar,O2387,NDays&amp;"D")</f>
        <v>56047</v>
      </c>
      <c r="Q2387" s="81" t="e">
        <v>#N/A</v>
      </c>
      <c r="R2387" s="85" t="e">
        <v>#N/A</v>
      </c>
    </row>
    <row r="2388" spans="14:18" x14ac:dyDescent="0.2">
      <c r="N2388" s="88" t="str">
        <f t="shared" si="42"/>
        <v>1w</v>
      </c>
      <c r="O2388" s="82">
        <f>_xll.qlCalendarAdvance(Calendar,O2387,N2388,"f",FALSE)</f>
        <v>56052</v>
      </c>
      <c r="P2388" s="92">
        <f>_xll.qlCalendarAdvance(Calendar,O2388,NDays&amp;"D")</f>
        <v>56054</v>
      </c>
      <c r="Q2388" s="81" t="e">
        <v>#N/A</v>
      </c>
      <c r="R2388" s="85" t="e">
        <v>#N/A</v>
      </c>
    </row>
    <row r="2389" spans="14:18" x14ac:dyDescent="0.2">
      <c r="N2389" s="88" t="str">
        <f t="shared" ref="N2389:N2452" si="43">N2388</f>
        <v>1w</v>
      </c>
      <c r="O2389" s="82">
        <f>_xll.qlCalendarAdvance(Calendar,O2388,N2389,"f",FALSE)</f>
        <v>56059</v>
      </c>
      <c r="P2389" s="92">
        <f>_xll.qlCalendarAdvance(Calendar,O2389,NDays&amp;"D")</f>
        <v>56061</v>
      </c>
      <c r="Q2389" s="81" t="e">
        <v>#N/A</v>
      </c>
      <c r="R2389" s="85" t="e">
        <v>#N/A</v>
      </c>
    </row>
    <row r="2390" spans="14:18" x14ac:dyDescent="0.2">
      <c r="N2390" s="88" t="str">
        <f t="shared" si="43"/>
        <v>1w</v>
      </c>
      <c r="O2390" s="82">
        <f>_xll.qlCalendarAdvance(Calendar,O2389,N2390,"f",FALSE)</f>
        <v>56066</v>
      </c>
      <c r="P2390" s="92">
        <f>_xll.qlCalendarAdvance(Calendar,O2390,NDays&amp;"D")</f>
        <v>56068</v>
      </c>
      <c r="Q2390" s="81" t="e">
        <v>#N/A</v>
      </c>
      <c r="R2390" s="85" t="e">
        <v>#N/A</v>
      </c>
    </row>
    <row r="2391" spans="14:18" x14ac:dyDescent="0.2">
      <c r="N2391" s="88" t="str">
        <f t="shared" si="43"/>
        <v>1w</v>
      </c>
      <c r="O2391" s="82">
        <f>_xll.qlCalendarAdvance(Calendar,O2390,N2391,"f",FALSE)</f>
        <v>56073</v>
      </c>
      <c r="P2391" s="92">
        <f>_xll.qlCalendarAdvance(Calendar,O2391,NDays&amp;"D")</f>
        <v>56075</v>
      </c>
      <c r="Q2391" s="81" t="e">
        <v>#N/A</v>
      </c>
      <c r="R2391" s="85" t="e">
        <v>#N/A</v>
      </c>
    </row>
    <row r="2392" spans="14:18" x14ac:dyDescent="0.2">
      <c r="N2392" s="88" t="str">
        <f t="shared" si="43"/>
        <v>1w</v>
      </c>
      <c r="O2392" s="82">
        <f>_xll.qlCalendarAdvance(Calendar,O2391,N2392,"f",FALSE)</f>
        <v>56080</v>
      </c>
      <c r="P2392" s="92">
        <f>_xll.qlCalendarAdvance(Calendar,O2392,NDays&amp;"D")</f>
        <v>56082</v>
      </c>
      <c r="Q2392" s="81" t="e">
        <v>#N/A</v>
      </c>
      <c r="R2392" s="85" t="e">
        <v>#N/A</v>
      </c>
    </row>
    <row r="2393" spans="14:18" x14ac:dyDescent="0.2">
      <c r="N2393" s="88" t="str">
        <f t="shared" si="43"/>
        <v>1w</v>
      </c>
      <c r="O2393" s="82">
        <f>_xll.qlCalendarAdvance(Calendar,O2392,N2393,"f",FALSE)</f>
        <v>56087</v>
      </c>
      <c r="P2393" s="92">
        <f>_xll.qlCalendarAdvance(Calendar,O2393,NDays&amp;"D")</f>
        <v>56089</v>
      </c>
      <c r="Q2393" s="81" t="e">
        <v>#N/A</v>
      </c>
      <c r="R2393" s="85" t="e">
        <v>#N/A</v>
      </c>
    </row>
    <row r="2394" spans="14:18" x14ac:dyDescent="0.2">
      <c r="N2394" s="88" t="str">
        <f t="shared" si="43"/>
        <v>1w</v>
      </c>
      <c r="O2394" s="82">
        <f>_xll.qlCalendarAdvance(Calendar,O2393,N2394,"f",FALSE)</f>
        <v>56094</v>
      </c>
      <c r="P2394" s="92">
        <f>_xll.qlCalendarAdvance(Calendar,O2394,NDays&amp;"D")</f>
        <v>56096</v>
      </c>
      <c r="Q2394" s="81" t="e">
        <v>#N/A</v>
      </c>
      <c r="R2394" s="85" t="e">
        <v>#N/A</v>
      </c>
    </row>
    <row r="2395" spans="14:18" x14ac:dyDescent="0.2">
      <c r="N2395" s="88" t="str">
        <f t="shared" si="43"/>
        <v>1w</v>
      </c>
      <c r="O2395" s="82">
        <f>_xll.qlCalendarAdvance(Calendar,O2394,N2395,"f",FALSE)</f>
        <v>56101</v>
      </c>
      <c r="P2395" s="92">
        <f>_xll.qlCalendarAdvance(Calendar,O2395,NDays&amp;"D")</f>
        <v>56103</v>
      </c>
      <c r="Q2395" s="81" t="e">
        <v>#N/A</v>
      </c>
      <c r="R2395" s="85" t="e">
        <v>#N/A</v>
      </c>
    </row>
    <row r="2396" spans="14:18" x14ac:dyDescent="0.2">
      <c r="N2396" s="88" t="str">
        <f t="shared" si="43"/>
        <v>1w</v>
      </c>
      <c r="O2396" s="82">
        <f>_xll.qlCalendarAdvance(Calendar,O2395,N2396,"f",FALSE)</f>
        <v>56108</v>
      </c>
      <c r="P2396" s="92">
        <f>_xll.qlCalendarAdvance(Calendar,O2396,NDays&amp;"D")</f>
        <v>56110</v>
      </c>
      <c r="Q2396" s="81" t="e">
        <v>#N/A</v>
      </c>
      <c r="R2396" s="85" t="e">
        <v>#N/A</v>
      </c>
    </row>
    <row r="2397" spans="14:18" x14ac:dyDescent="0.2">
      <c r="N2397" s="88" t="str">
        <f t="shared" si="43"/>
        <v>1w</v>
      </c>
      <c r="O2397" s="82">
        <f>_xll.qlCalendarAdvance(Calendar,O2396,N2397,"f",FALSE)</f>
        <v>56115</v>
      </c>
      <c r="P2397" s="92">
        <f>_xll.qlCalendarAdvance(Calendar,O2397,NDays&amp;"D")</f>
        <v>56117</v>
      </c>
      <c r="Q2397" s="81" t="e">
        <v>#N/A</v>
      </c>
      <c r="R2397" s="85" t="e">
        <v>#N/A</v>
      </c>
    </row>
    <row r="2398" spans="14:18" x14ac:dyDescent="0.2">
      <c r="N2398" s="88" t="str">
        <f t="shared" si="43"/>
        <v>1w</v>
      </c>
      <c r="O2398" s="82">
        <f>_xll.qlCalendarAdvance(Calendar,O2397,N2398,"f",FALSE)</f>
        <v>56122</v>
      </c>
      <c r="P2398" s="92">
        <f>_xll.qlCalendarAdvance(Calendar,O2398,NDays&amp;"D")</f>
        <v>56124</v>
      </c>
      <c r="Q2398" s="81" t="e">
        <v>#N/A</v>
      </c>
      <c r="R2398" s="85" t="e">
        <v>#N/A</v>
      </c>
    </row>
    <row r="2399" spans="14:18" x14ac:dyDescent="0.2">
      <c r="N2399" s="88" t="str">
        <f t="shared" si="43"/>
        <v>1w</v>
      </c>
      <c r="O2399" s="82">
        <f>_xll.qlCalendarAdvance(Calendar,O2398,N2399,"f",FALSE)</f>
        <v>56129</v>
      </c>
      <c r="P2399" s="92">
        <f>_xll.qlCalendarAdvance(Calendar,O2399,NDays&amp;"D")</f>
        <v>56131</v>
      </c>
      <c r="Q2399" s="81" t="e">
        <v>#N/A</v>
      </c>
      <c r="R2399" s="85" t="e">
        <v>#N/A</v>
      </c>
    </row>
    <row r="2400" spans="14:18" x14ac:dyDescent="0.2">
      <c r="N2400" s="88" t="str">
        <f t="shared" si="43"/>
        <v>1w</v>
      </c>
      <c r="O2400" s="82">
        <f>_xll.qlCalendarAdvance(Calendar,O2399,N2400,"f",FALSE)</f>
        <v>56136</v>
      </c>
      <c r="P2400" s="92">
        <f>_xll.qlCalendarAdvance(Calendar,O2400,NDays&amp;"D")</f>
        <v>56138</v>
      </c>
      <c r="Q2400" s="81" t="e">
        <v>#N/A</v>
      </c>
      <c r="R2400" s="85" t="e">
        <v>#N/A</v>
      </c>
    </row>
    <row r="2401" spans="14:18" x14ac:dyDescent="0.2">
      <c r="N2401" s="88" t="str">
        <f t="shared" si="43"/>
        <v>1w</v>
      </c>
      <c r="O2401" s="82">
        <f>_xll.qlCalendarAdvance(Calendar,O2400,N2401,"f",FALSE)</f>
        <v>56143</v>
      </c>
      <c r="P2401" s="92">
        <f>_xll.qlCalendarAdvance(Calendar,O2401,NDays&amp;"D")</f>
        <v>56145</v>
      </c>
      <c r="Q2401" s="81" t="e">
        <v>#N/A</v>
      </c>
      <c r="R2401" s="85" t="e">
        <v>#N/A</v>
      </c>
    </row>
    <row r="2402" spans="14:18" x14ac:dyDescent="0.2">
      <c r="N2402" s="88" t="str">
        <f t="shared" si="43"/>
        <v>1w</v>
      </c>
      <c r="O2402" s="82">
        <f>_xll.qlCalendarAdvance(Calendar,O2401,N2402,"f",FALSE)</f>
        <v>56150</v>
      </c>
      <c r="P2402" s="92">
        <f>_xll.qlCalendarAdvance(Calendar,O2402,NDays&amp;"D")</f>
        <v>56152</v>
      </c>
      <c r="Q2402" s="81" t="e">
        <v>#N/A</v>
      </c>
      <c r="R2402" s="85" t="e">
        <v>#N/A</v>
      </c>
    </row>
    <row r="2403" spans="14:18" x14ac:dyDescent="0.2">
      <c r="N2403" s="88" t="str">
        <f t="shared" si="43"/>
        <v>1w</v>
      </c>
      <c r="O2403" s="82">
        <f>_xll.qlCalendarAdvance(Calendar,O2402,N2403,"f",FALSE)</f>
        <v>56157</v>
      </c>
      <c r="P2403" s="92">
        <f>_xll.qlCalendarAdvance(Calendar,O2403,NDays&amp;"D")</f>
        <v>56159</v>
      </c>
      <c r="Q2403" s="81" t="e">
        <v>#N/A</v>
      </c>
      <c r="R2403" s="85" t="e">
        <v>#N/A</v>
      </c>
    </row>
    <row r="2404" spans="14:18" x14ac:dyDescent="0.2">
      <c r="N2404" s="88" t="str">
        <f t="shared" si="43"/>
        <v>1w</v>
      </c>
      <c r="O2404" s="82">
        <f>_xll.qlCalendarAdvance(Calendar,O2403,N2404,"f",FALSE)</f>
        <v>56164</v>
      </c>
      <c r="P2404" s="92">
        <f>_xll.qlCalendarAdvance(Calendar,O2404,NDays&amp;"D")</f>
        <v>56166</v>
      </c>
      <c r="Q2404" s="81" t="e">
        <v>#N/A</v>
      </c>
      <c r="R2404" s="85" t="e">
        <v>#N/A</v>
      </c>
    </row>
    <row r="2405" spans="14:18" x14ac:dyDescent="0.2">
      <c r="N2405" s="88" t="str">
        <f t="shared" si="43"/>
        <v>1w</v>
      </c>
      <c r="O2405" s="82">
        <f>_xll.qlCalendarAdvance(Calendar,O2404,N2405,"f",FALSE)</f>
        <v>56171</v>
      </c>
      <c r="P2405" s="92">
        <f>_xll.qlCalendarAdvance(Calendar,O2405,NDays&amp;"D")</f>
        <v>56173</v>
      </c>
      <c r="Q2405" s="81" t="e">
        <v>#N/A</v>
      </c>
      <c r="R2405" s="85" t="e">
        <v>#N/A</v>
      </c>
    </row>
    <row r="2406" spans="14:18" x14ac:dyDescent="0.2">
      <c r="N2406" s="88" t="str">
        <f t="shared" si="43"/>
        <v>1w</v>
      </c>
      <c r="O2406" s="82">
        <f>_xll.qlCalendarAdvance(Calendar,O2405,N2406,"f",FALSE)</f>
        <v>56178</v>
      </c>
      <c r="P2406" s="92">
        <f>_xll.qlCalendarAdvance(Calendar,O2406,NDays&amp;"D")</f>
        <v>56180</v>
      </c>
      <c r="Q2406" s="81" t="e">
        <v>#N/A</v>
      </c>
      <c r="R2406" s="85" t="e">
        <v>#N/A</v>
      </c>
    </row>
    <row r="2407" spans="14:18" x14ac:dyDescent="0.2">
      <c r="N2407" s="88" t="str">
        <f t="shared" si="43"/>
        <v>1w</v>
      </c>
      <c r="O2407" s="82">
        <f>_xll.qlCalendarAdvance(Calendar,O2406,N2407,"f",FALSE)</f>
        <v>56185</v>
      </c>
      <c r="P2407" s="92">
        <f>_xll.qlCalendarAdvance(Calendar,O2407,NDays&amp;"D")</f>
        <v>56187</v>
      </c>
      <c r="Q2407" s="81" t="e">
        <v>#N/A</v>
      </c>
      <c r="R2407" s="85" t="e">
        <v>#N/A</v>
      </c>
    </row>
    <row r="2408" spans="14:18" x14ac:dyDescent="0.2">
      <c r="N2408" s="88" t="str">
        <f t="shared" si="43"/>
        <v>1w</v>
      </c>
      <c r="O2408" s="82">
        <f>_xll.qlCalendarAdvance(Calendar,O2407,N2408,"f",FALSE)</f>
        <v>56192</v>
      </c>
      <c r="P2408" s="92">
        <f>_xll.qlCalendarAdvance(Calendar,O2408,NDays&amp;"D")</f>
        <v>56194</v>
      </c>
      <c r="Q2408" s="81" t="e">
        <v>#N/A</v>
      </c>
      <c r="R2408" s="85" t="e">
        <v>#N/A</v>
      </c>
    </row>
    <row r="2409" spans="14:18" x14ac:dyDescent="0.2">
      <c r="N2409" s="88" t="str">
        <f t="shared" si="43"/>
        <v>1w</v>
      </c>
      <c r="O2409" s="82">
        <f>_xll.qlCalendarAdvance(Calendar,O2408,N2409,"f",FALSE)</f>
        <v>56199</v>
      </c>
      <c r="P2409" s="92">
        <f>_xll.qlCalendarAdvance(Calendar,O2409,NDays&amp;"D")</f>
        <v>56201</v>
      </c>
      <c r="Q2409" s="81" t="e">
        <v>#N/A</v>
      </c>
      <c r="R2409" s="85" t="e">
        <v>#N/A</v>
      </c>
    </row>
    <row r="2410" spans="14:18" x14ac:dyDescent="0.2">
      <c r="N2410" s="88" t="str">
        <f t="shared" si="43"/>
        <v>1w</v>
      </c>
      <c r="O2410" s="82">
        <f>_xll.qlCalendarAdvance(Calendar,O2409,N2410,"f",FALSE)</f>
        <v>56206</v>
      </c>
      <c r="P2410" s="92">
        <f>_xll.qlCalendarAdvance(Calendar,O2410,NDays&amp;"D")</f>
        <v>56208</v>
      </c>
      <c r="Q2410" s="81" t="e">
        <v>#N/A</v>
      </c>
      <c r="R2410" s="85" t="e">
        <v>#N/A</v>
      </c>
    </row>
    <row r="2411" spans="14:18" x14ac:dyDescent="0.2">
      <c r="N2411" s="88" t="str">
        <f t="shared" si="43"/>
        <v>1w</v>
      </c>
      <c r="O2411" s="82">
        <f>_xll.qlCalendarAdvance(Calendar,O2410,N2411,"f",FALSE)</f>
        <v>56213</v>
      </c>
      <c r="P2411" s="92">
        <f>_xll.qlCalendarAdvance(Calendar,O2411,NDays&amp;"D")</f>
        <v>56215</v>
      </c>
      <c r="Q2411" s="81" t="e">
        <v>#N/A</v>
      </c>
      <c r="R2411" s="85" t="e">
        <v>#N/A</v>
      </c>
    </row>
    <row r="2412" spans="14:18" x14ac:dyDescent="0.2">
      <c r="N2412" s="88" t="str">
        <f t="shared" si="43"/>
        <v>1w</v>
      </c>
      <c r="O2412" s="82">
        <f>_xll.qlCalendarAdvance(Calendar,O2411,N2412,"f",FALSE)</f>
        <v>56220</v>
      </c>
      <c r="P2412" s="92">
        <f>_xll.qlCalendarAdvance(Calendar,O2412,NDays&amp;"D")</f>
        <v>56222</v>
      </c>
      <c r="Q2412" s="81" t="e">
        <v>#N/A</v>
      </c>
      <c r="R2412" s="85" t="e">
        <v>#N/A</v>
      </c>
    </row>
    <row r="2413" spans="14:18" x14ac:dyDescent="0.2">
      <c r="N2413" s="88" t="str">
        <f t="shared" si="43"/>
        <v>1w</v>
      </c>
      <c r="O2413" s="82">
        <f>_xll.qlCalendarAdvance(Calendar,O2412,N2413,"f",FALSE)</f>
        <v>56227</v>
      </c>
      <c r="P2413" s="92">
        <f>_xll.qlCalendarAdvance(Calendar,O2413,NDays&amp;"D")</f>
        <v>56229</v>
      </c>
      <c r="Q2413" s="81" t="e">
        <v>#N/A</v>
      </c>
      <c r="R2413" s="85" t="e">
        <v>#N/A</v>
      </c>
    </row>
    <row r="2414" spans="14:18" x14ac:dyDescent="0.2">
      <c r="N2414" s="88" t="str">
        <f t="shared" si="43"/>
        <v>1w</v>
      </c>
      <c r="O2414" s="82">
        <f>_xll.qlCalendarAdvance(Calendar,O2413,N2414,"f",FALSE)</f>
        <v>56234</v>
      </c>
      <c r="P2414" s="92">
        <f>_xll.qlCalendarAdvance(Calendar,O2414,NDays&amp;"D")</f>
        <v>56236</v>
      </c>
      <c r="Q2414" s="81" t="e">
        <v>#N/A</v>
      </c>
      <c r="R2414" s="85" t="e">
        <v>#N/A</v>
      </c>
    </row>
    <row r="2415" spans="14:18" x14ac:dyDescent="0.2">
      <c r="N2415" s="88" t="str">
        <f t="shared" si="43"/>
        <v>1w</v>
      </c>
      <c r="O2415" s="82">
        <f>_xll.qlCalendarAdvance(Calendar,O2414,N2415,"f",FALSE)</f>
        <v>56241</v>
      </c>
      <c r="P2415" s="92">
        <f>_xll.qlCalendarAdvance(Calendar,O2415,NDays&amp;"D")</f>
        <v>56248</v>
      </c>
      <c r="Q2415" s="81" t="e">
        <v>#N/A</v>
      </c>
      <c r="R2415" s="85" t="e">
        <v>#N/A</v>
      </c>
    </row>
    <row r="2416" spans="14:18" x14ac:dyDescent="0.2">
      <c r="N2416" s="88" t="str">
        <f t="shared" si="43"/>
        <v>1w</v>
      </c>
      <c r="O2416" s="82">
        <f>_xll.qlCalendarAdvance(Calendar,O2415,N2416,"f",FALSE)</f>
        <v>56248</v>
      </c>
      <c r="P2416" s="92">
        <f>_xll.qlCalendarAdvance(Calendar,O2416,NDays&amp;"D")</f>
        <v>56254</v>
      </c>
      <c r="Q2416" s="81" t="e">
        <v>#N/A</v>
      </c>
      <c r="R2416" s="85" t="e">
        <v>#N/A</v>
      </c>
    </row>
    <row r="2417" spans="14:18" x14ac:dyDescent="0.2">
      <c r="N2417" s="88" t="str">
        <f t="shared" si="43"/>
        <v>1w</v>
      </c>
      <c r="O2417" s="82">
        <f>_xll.qlCalendarAdvance(Calendar,O2416,N2417,"f",FALSE)</f>
        <v>56256</v>
      </c>
      <c r="P2417" s="92">
        <f>_xll.qlCalendarAdvance(Calendar,O2417,NDays&amp;"D")</f>
        <v>56258</v>
      </c>
      <c r="Q2417" s="81" t="e">
        <v>#N/A</v>
      </c>
      <c r="R2417" s="85" t="e">
        <v>#N/A</v>
      </c>
    </row>
    <row r="2418" spans="14:18" x14ac:dyDescent="0.2">
      <c r="N2418" s="88" t="str">
        <f t="shared" si="43"/>
        <v>1w</v>
      </c>
      <c r="O2418" s="82">
        <f>_xll.qlCalendarAdvance(Calendar,O2417,N2418,"f",FALSE)</f>
        <v>56263</v>
      </c>
      <c r="P2418" s="92">
        <f>_xll.qlCalendarAdvance(Calendar,O2418,NDays&amp;"D")</f>
        <v>56265</v>
      </c>
      <c r="Q2418" s="81" t="e">
        <v>#N/A</v>
      </c>
      <c r="R2418" s="85" t="e">
        <v>#N/A</v>
      </c>
    </row>
    <row r="2419" spans="14:18" x14ac:dyDescent="0.2">
      <c r="N2419" s="88" t="str">
        <f t="shared" si="43"/>
        <v>1w</v>
      </c>
      <c r="O2419" s="82">
        <f>_xll.qlCalendarAdvance(Calendar,O2418,N2419,"f",FALSE)</f>
        <v>56270</v>
      </c>
      <c r="P2419" s="92">
        <f>_xll.qlCalendarAdvance(Calendar,O2419,NDays&amp;"D")</f>
        <v>56272</v>
      </c>
      <c r="Q2419" s="81" t="e">
        <v>#N/A</v>
      </c>
      <c r="R2419" s="85" t="e">
        <v>#N/A</v>
      </c>
    </row>
    <row r="2420" spans="14:18" x14ac:dyDescent="0.2">
      <c r="N2420" s="88" t="str">
        <f t="shared" si="43"/>
        <v>1w</v>
      </c>
      <c r="O2420" s="82">
        <f>_xll.qlCalendarAdvance(Calendar,O2419,N2420,"f",FALSE)</f>
        <v>56277</v>
      </c>
      <c r="P2420" s="92">
        <f>_xll.qlCalendarAdvance(Calendar,O2420,NDays&amp;"D")</f>
        <v>56279</v>
      </c>
      <c r="Q2420" s="81" t="e">
        <v>#N/A</v>
      </c>
      <c r="R2420" s="85" t="e">
        <v>#N/A</v>
      </c>
    </row>
    <row r="2421" spans="14:18" x14ac:dyDescent="0.2">
      <c r="N2421" s="88" t="str">
        <f t="shared" si="43"/>
        <v>1w</v>
      </c>
      <c r="O2421" s="82">
        <f>_xll.qlCalendarAdvance(Calendar,O2420,N2421,"f",FALSE)</f>
        <v>56284</v>
      </c>
      <c r="P2421" s="92">
        <f>_xll.qlCalendarAdvance(Calendar,O2421,NDays&amp;"D")</f>
        <v>56286</v>
      </c>
      <c r="Q2421" s="81" t="e">
        <v>#N/A</v>
      </c>
      <c r="R2421" s="85" t="e">
        <v>#N/A</v>
      </c>
    </row>
    <row r="2422" spans="14:18" x14ac:dyDescent="0.2">
      <c r="N2422" s="88" t="str">
        <f t="shared" si="43"/>
        <v>1w</v>
      </c>
      <c r="O2422" s="82">
        <f>_xll.qlCalendarAdvance(Calendar,O2421,N2422,"f",FALSE)</f>
        <v>56291</v>
      </c>
      <c r="P2422" s="92">
        <f>_xll.qlCalendarAdvance(Calendar,O2422,NDays&amp;"D")</f>
        <v>56293</v>
      </c>
      <c r="Q2422" s="81" t="e">
        <v>#N/A</v>
      </c>
      <c r="R2422" s="85" t="e">
        <v>#N/A</v>
      </c>
    </row>
    <row r="2423" spans="14:18" x14ac:dyDescent="0.2">
      <c r="N2423" s="88" t="str">
        <f t="shared" si="43"/>
        <v>1w</v>
      </c>
      <c r="O2423" s="82">
        <f>_xll.qlCalendarAdvance(Calendar,O2422,N2423,"f",FALSE)</f>
        <v>56298</v>
      </c>
      <c r="P2423" s="92">
        <f>_xll.qlCalendarAdvance(Calendar,O2423,NDays&amp;"D")</f>
        <v>56300</v>
      </c>
      <c r="Q2423" s="81" t="e">
        <v>#N/A</v>
      </c>
      <c r="R2423" s="85" t="e">
        <v>#N/A</v>
      </c>
    </row>
    <row r="2424" spans="14:18" x14ac:dyDescent="0.2">
      <c r="N2424" s="88" t="str">
        <f t="shared" si="43"/>
        <v>1w</v>
      </c>
      <c r="O2424" s="82">
        <f>_xll.qlCalendarAdvance(Calendar,O2423,N2424,"f",FALSE)</f>
        <v>56305</v>
      </c>
      <c r="P2424" s="92">
        <f>_xll.qlCalendarAdvance(Calendar,O2424,NDays&amp;"D")</f>
        <v>56307</v>
      </c>
      <c r="Q2424" s="81" t="e">
        <v>#N/A</v>
      </c>
      <c r="R2424" s="85" t="e">
        <v>#N/A</v>
      </c>
    </row>
    <row r="2425" spans="14:18" x14ac:dyDescent="0.2">
      <c r="N2425" s="88" t="str">
        <f t="shared" si="43"/>
        <v>1w</v>
      </c>
      <c r="O2425" s="82">
        <f>_xll.qlCalendarAdvance(Calendar,O2424,N2425,"f",FALSE)</f>
        <v>56312</v>
      </c>
      <c r="P2425" s="92">
        <f>_xll.qlCalendarAdvance(Calendar,O2425,NDays&amp;"D")</f>
        <v>56314</v>
      </c>
      <c r="Q2425" s="81" t="e">
        <v>#N/A</v>
      </c>
      <c r="R2425" s="85" t="e">
        <v>#N/A</v>
      </c>
    </row>
    <row r="2426" spans="14:18" x14ac:dyDescent="0.2">
      <c r="N2426" s="88" t="str">
        <f t="shared" si="43"/>
        <v>1w</v>
      </c>
      <c r="O2426" s="82">
        <f>_xll.qlCalendarAdvance(Calendar,O2425,N2426,"f",FALSE)</f>
        <v>56319</v>
      </c>
      <c r="P2426" s="92">
        <f>_xll.qlCalendarAdvance(Calendar,O2426,NDays&amp;"D")</f>
        <v>56321</v>
      </c>
      <c r="Q2426" s="81" t="e">
        <v>#N/A</v>
      </c>
      <c r="R2426" s="85" t="e">
        <v>#N/A</v>
      </c>
    </row>
    <row r="2427" spans="14:18" x14ac:dyDescent="0.2">
      <c r="N2427" s="88" t="str">
        <f t="shared" si="43"/>
        <v>1w</v>
      </c>
      <c r="O2427" s="82">
        <f>_xll.qlCalendarAdvance(Calendar,O2426,N2427,"f",FALSE)</f>
        <v>56326</v>
      </c>
      <c r="P2427" s="92">
        <f>_xll.qlCalendarAdvance(Calendar,O2427,NDays&amp;"D")</f>
        <v>56328</v>
      </c>
      <c r="Q2427" s="81" t="e">
        <v>#N/A</v>
      </c>
      <c r="R2427" s="85" t="e">
        <v>#N/A</v>
      </c>
    </row>
    <row r="2428" spans="14:18" x14ac:dyDescent="0.2">
      <c r="N2428" s="88" t="str">
        <f t="shared" si="43"/>
        <v>1w</v>
      </c>
      <c r="O2428" s="82">
        <f>_xll.qlCalendarAdvance(Calendar,O2427,N2428,"f",FALSE)</f>
        <v>56333</v>
      </c>
      <c r="P2428" s="92">
        <f>_xll.qlCalendarAdvance(Calendar,O2428,NDays&amp;"D")</f>
        <v>56339</v>
      </c>
      <c r="Q2428" s="81" t="e">
        <v>#N/A</v>
      </c>
      <c r="R2428" s="85" t="e">
        <v>#N/A</v>
      </c>
    </row>
    <row r="2429" spans="14:18" x14ac:dyDescent="0.2">
      <c r="N2429" s="88" t="str">
        <f t="shared" si="43"/>
        <v>1w</v>
      </c>
      <c r="O2429" s="82">
        <f>_xll.qlCalendarAdvance(Calendar,O2428,N2429,"f",FALSE)</f>
        <v>56340</v>
      </c>
      <c r="P2429" s="92">
        <f>_xll.qlCalendarAdvance(Calendar,O2429,NDays&amp;"D")</f>
        <v>56342</v>
      </c>
      <c r="Q2429" s="81" t="e">
        <v>#N/A</v>
      </c>
      <c r="R2429" s="85" t="e">
        <v>#N/A</v>
      </c>
    </row>
    <row r="2430" spans="14:18" x14ac:dyDescent="0.2">
      <c r="N2430" s="88" t="str">
        <f t="shared" si="43"/>
        <v>1w</v>
      </c>
      <c r="O2430" s="82">
        <f>_xll.qlCalendarAdvance(Calendar,O2429,N2430,"f",FALSE)</f>
        <v>56347</v>
      </c>
      <c r="P2430" s="92">
        <f>_xll.qlCalendarAdvance(Calendar,O2430,NDays&amp;"D")</f>
        <v>56349</v>
      </c>
      <c r="Q2430" s="81" t="e">
        <v>#N/A</v>
      </c>
      <c r="R2430" s="85" t="e">
        <v>#N/A</v>
      </c>
    </row>
    <row r="2431" spans="14:18" x14ac:dyDescent="0.2">
      <c r="N2431" s="88" t="str">
        <f t="shared" si="43"/>
        <v>1w</v>
      </c>
      <c r="O2431" s="82">
        <f>_xll.qlCalendarAdvance(Calendar,O2430,N2431,"f",FALSE)</f>
        <v>56354</v>
      </c>
      <c r="P2431" s="92">
        <f>_xll.qlCalendarAdvance(Calendar,O2431,NDays&amp;"D")</f>
        <v>56356</v>
      </c>
      <c r="Q2431" s="81" t="e">
        <v>#N/A</v>
      </c>
      <c r="R2431" s="85" t="e">
        <v>#N/A</v>
      </c>
    </row>
    <row r="2432" spans="14:18" x14ac:dyDescent="0.2">
      <c r="N2432" s="88" t="str">
        <f t="shared" si="43"/>
        <v>1w</v>
      </c>
      <c r="O2432" s="82">
        <f>_xll.qlCalendarAdvance(Calendar,O2431,N2432,"f",FALSE)</f>
        <v>56361</v>
      </c>
      <c r="P2432" s="92">
        <f>_xll.qlCalendarAdvance(Calendar,O2432,NDays&amp;"D")</f>
        <v>56363</v>
      </c>
      <c r="Q2432" s="81" t="e">
        <v>#N/A</v>
      </c>
      <c r="R2432" s="85" t="e">
        <v>#N/A</v>
      </c>
    </row>
    <row r="2433" spans="14:18" x14ac:dyDescent="0.2">
      <c r="N2433" s="88" t="str">
        <f t="shared" si="43"/>
        <v>1w</v>
      </c>
      <c r="O2433" s="82">
        <f>_xll.qlCalendarAdvance(Calendar,O2432,N2433,"f",FALSE)</f>
        <v>56368</v>
      </c>
      <c r="P2433" s="92">
        <f>_xll.qlCalendarAdvance(Calendar,O2433,NDays&amp;"D")</f>
        <v>56373</v>
      </c>
      <c r="Q2433" s="81" t="e">
        <v>#N/A</v>
      </c>
      <c r="R2433" s="85" t="e">
        <v>#N/A</v>
      </c>
    </row>
    <row r="2434" spans="14:18" x14ac:dyDescent="0.2">
      <c r="N2434" s="88" t="str">
        <f t="shared" si="43"/>
        <v>1w</v>
      </c>
      <c r="O2434" s="82">
        <f>_xll.qlCalendarAdvance(Calendar,O2433,N2434,"f",FALSE)</f>
        <v>56375</v>
      </c>
      <c r="P2434" s="92">
        <f>_xll.qlCalendarAdvance(Calendar,O2434,NDays&amp;"D")</f>
        <v>56380</v>
      </c>
      <c r="Q2434" s="81" t="e">
        <v>#N/A</v>
      </c>
      <c r="R2434" s="85" t="e">
        <v>#N/A</v>
      </c>
    </row>
    <row r="2435" spans="14:18" x14ac:dyDescent="0.2">
      <c r="N2435" s="88" t="str">
        <f t="shared" si="43"/>
        <v>1w</v>
      </c>
      <c r="O2435" s="82">
        <f>_xll.qlCalendarAdvance(Calendar,O2434,N2435,"f",FALSE)</f>
        <v>56382</v>
      </c>
      <c r="P2435" s="92">
        <f>_xll.qlCalendarAdvance(Calendar,O2435,NDays&amp;"D")</f>
        <v>56384</v>
      </c>
      <c r="Q2435" s="81" t="e">
        <v>#N/A</v>
      </c>
      <c r="R2435" s="85" t="e">
        <v>#N/A</v>
      </c>
    </row>
    <row r="2436" spans="14:18" x14ac:dyDescent="0.2">
      <c r="N2436" s="88" t="str">
        <f t="shared" si="43"/>
        <v>1w</v>
      </c>
      <c r="O2436" s="82">
        <f>_xll.qlCalendarAdvance(Calendar,O2435,N2436,"f",FALSE)</f>
        <v>56389</v>
      </c>
      <c r="P2436" s="92">
        <f>_xll.qlCalendarAdvance(Calendar,O2436,NDays&amp;"D")</f>
        <v>56391</v>
      </c>
      <c r="Q2436" s="81" t="e">
        <v>#N/A</v>
      </c>
      <c r="R2436" s="85" t="e">
        <v>#N/A</v>
      </c>
    </row>
    <row r="2437" spans="14:18" x14ac:dyDescent="0.2">
      <c r="N2437" s="88" t="str">
        <f t="shared" si="43"/>
        <v>1w</v>
      </c>
      <c r="O2437" s="82">
        <f>_xll.qlCalendarAdvance(Calendar,O2436,N2437,"f",FALSE)</f>
        <v>56396</v>
      </c>
      <c r="P2437" s="92">
        <f>_xll.qlCalendarAdvance(Calendar,O2437,NDays&amp;"D")</f>
        <v>56398</v>
      </c>
      <c r="Q2437" s="81" t="e">
        <v>#N/A</v>
      </c>
      <c r="R2437" s="85" t="e">
        <v>#N/A</v>
      </c>
    </row>
    <row r="2438" spans="14:18" x14ac:dyDescent="0.2">
      <c r="N2438" s="88" t="str">
        <f t="shared" si="43"/>
        <v>1w</v>
      </c>
      <c r="O2438" s="82">
        <f>_xll.qlCalendarAdvance(Calendar,O2437,N2438,"f",FALSE)</f>
        <v>56403</v>
      </c>
      <c r="P2438" s="92">
        <f>_xll.qlCalendarAdvance(Calendar,O2438,NDays&amp;"D")</f>
        <v>56405</v>
      </c>
      <c r="Q2438" s="81" t="e">
        <v>#N/A</v>
      </c>
      <c r="R2438" s="85" t="e">
        <v>#N/A</v>
      </c>
    </row>
    <row r="2439" spans="14:18" x14ac:dyDescent="0.2">
      <c r="N2439" s="88" t="str">
        <f t="shared" si="43"/>
        <v>1w</v>
      </c>
      <c r="O2439" s="82">
        <f>_xll.qlCalendarAdvance(Calendar,O2438,N2439,"f",FALSE)</f>
        <v>56410</v>
      </c>
      <c r="P2439" s="92">
        <f>_xll.qlCalendarAdvance(Calendar,O2439,NDays&amp;"D")</f>
        <v>56412</v>
      </c>
      <c r="Q2439" s="81" t="e">
        <v>#N/A</v>
      </c>
      <c r="R2439" s="85" t="e">
        <v>#N/A</v>
      </c>
    </row>
    <row r="2440" spans="14:18" x14ac:dyDescent="0.2">
      <c r="N2440" s="88" t="str">
        <f t="shared" si="43"/>
        <v>1w</v>
      </c>
      <c r="O2440" s="82">
        <f>_xll.qlCalendarAdvance(Calendar,O2439,N2440,"f",FALSE)</f>
        <v>56417</v>
      </c>
      <c r="P2440" s="92">
        <f>_xll.qlCalendarAdvance(Calendar,O2440,NDays&amp;"D")</f>
        <v>56422</v>
      </c>
      <c r="Q2440" s="81" t="e">
        <v>#N/A</v>
      </c>
      <c r="R2440" s="85" t="e">
        <v>#N/A</v>
      </c>
    </row>
    <row r="2441" spans="14:18" x14ac:dyDescent="0.2">
      <c r="N2441" s="88" t="str">
        <f t="shared" si="43"/>
        <v>1w</v>
      </c>
      <c r="O2441" s="82">
        <f>_xll.qlCalendarAdvance(Calendar,O2440,N2441,"f",FALSE)</f>
        <v>56424</v>
      </c>
      <c r="P2441" s="92">
        <f>_xll.qlCalendarAdvance(Calendar,O2441,NDays&amp;"D")</f>
        <v>56426</v>
      </c>
      <c r="Q2441" s="81" t="e">
        <v>#N/A</v>
      </c>
      <c r="R2441" s="85" t="e">
        <v>#N/A</v>
      </c>
    </row>
    <row r="2442" spans="14:18" x14ac:dyDescent="0.2">
      <c r="N2442" s="88" t="str">
        <f t="shared" si="43"/>
        <v>1w</v>
      </c>
      <c r="O2442" s="82">
        <f>_xll.qlCalendarAdvance(Calendar,O2441,N2442,"f",FALSE)</f>
        <v>56431</v>
      </c>
      <c r="P2442" s="92">
        <f>_xll.qlCalendarAdvance(Calendar,O2442,NDays&amp;"D")</f>
        <v>56433</v>
      </c>
      <c r="Q2442" s="81" t="e">
        <v>#N/A</v>
      </c>
      <c r="R2442" s="85" t="e">
        <v>#N/A</v>
      </c>
    </row>
    <row r="2443" spans="14:18" x14ac:dyDescent="0.2">
      <c r="N2443" s="88" t="str">
        <f t="shared" si="43"/>
        <v>1w</v>
      </c>
      <c r="O2443" s="82">
        <f>_xll.qlCalendarAdvance(Calendar,O2442,N2443,"f",FALSE)</f>
        <v>56438</v>
      </c>
      <c r="P2443" s="92">
        <f>_xll.qlCalendarAdvance(Calendar,O2443,NDays&amp;"D")</f>
        <v>56440</v>
      </c>
      <c r="Q2443" s="81" t="e">
        <v>#N/A</v>
      </c>
      <c r="R2443" s="85" t="e">
        <v>#N/A</v>
      </c>
    </row>
    <row r="2444" spans="14:18" x14ac:dyDescent="0.2">
      <c r="N2444" s="88" t="str">
        <f t="shared" si="43"/>
        <v>1w</v>
      </c>
      <c r="O2444" s="82">
        <f>_xll.qlCalendarAdvance(Calendar,O2443,N2444,"f",FALSE)</f>
        <v>56445</v>
      </c>
      <c r="P2444" s="92">
        <f>_xll.qlCalendarAdvance(Calendar,O2444,NDays&amp;"D")</f>
        <v>56447</v>
      </c>
      <c r="Q2444" s="81" t="e">
        <v>#N/A</v>
      </c>
      <c r="R2444" s="85" t="e">
        <v>#N/A</v>
      </c>
    </row>
    <row r="2445" spans="14:18" x14ac:dyDescent="0.2">
      <c r="N2445" s="88" t="str">
        <f t="shared" si="43"/>
        <v>1w</v>
      </c>
      <c r="O2445" s="82">
        <f>_xll.qlCalendarAdvance(Calendar,O2444,N2445,"f",FALSE)</f>
        <v>56452</v>
      </c>
      <c r="P2445" s="92">
        <f>_xll.qlCalendarAdvance(Calendar,O2445,NDays&amp;"D")</f>
        <v>56454</v>
      </c>
      <c r="Q2445" s="81" t="e">
        <v>#N/A</v>
      </c>
      <c r="R2445" s="85" t="e">
        <v>#N/A</v>
      </c>
    </row>
    <row r="2446" spans="14:18" x14ac:dyDescent="0.2">
      <c r="N2446" s="88" t="str">
        <f t="shared" si="43"/>
        <v>1w</v>
      </c>
      <c r="O2446" s="82">
        <f>_xll.qlCalendarAdvance(Calendar,O2445,N2446,"f",FALSE)</f>
        <v>56459</v>
      </c>
      <c r="P2446" s="92">
        <f>_xll.qlCalendarAdvance(Calendar,O2446,NDays&amp;"D")</f>
        <v>56461</v>
      </c>
      <c r="Q2446" s="81" t="e">
        <v>#N/A</v>
      </c>
      <c r="R2446" s="85" t="e">
        <v>#N/A</v>
      </c>
    </row>
    <row r="2447" spans="14:18" x14ac:dyDescent="0.2">
      <c r="N2447" s="88" t="str">
        <f t="shared" si="43"/>
        <v>1w</v>
      </c>
      <c r="O2447" s="82">
        <f>_xll.qlCalendarAdvance(Calendar,O2446,N2447,"f",FALSE)</f>
        <v>56466</v>
      </c>
      <c r="P2447" s="92">
        <f>_xll.qlCalendarAdvance(Calendar,O2447,NDays&amp;"D")</f>
        <v>56468</v>
      </c>
      <c r="Q2447" s="81" t="e">
        <v>#N/A</v>
      </c>
      <c r="R2447" s="85" t="e">
        <v>#N/A</v>
      </c>
    </row>
    <row r="2448" spans="14:18" x14ac:dyDescent="0.2">
      <c r="N2448" s="88" t="str">
        <f t="shared" si="43"/>
        <v>1w</v>
      </c>
      <c r="O2448" s="82">
        <f>_xll.qlCalendarAdvance(Calendar,O2447,N2448,"f",FALSE)</f>
        <v>56473</v>
      </c>
      <c r="P2448" s="92">
        <f>_xll.qlCalendarAdvance(Calendar,O2448,NDays&amp;"D")</f>
        <v>56475</v>
      </c>
      <c r="Q2448" s="81" t="e">
        <v>#N/A</v>
      </c>
      <c r="R2448" s="85" t="e">
        <v>#N/A</v>
      </c>
    </row>
    <row r="2449" spans="14:18" x14ac:dyDescent="0.2">
      <c r="N2449" s="88" t="str">
        <f t="shared" si="43"/>
        <v>1w</v>
      </c>
      <c r="O2449" s="82">
        <f>_xll.qlCalendarAdvance(Calendar,O2448,N2449,"f",FALSE)</f>
        <v>56480</v>
      </c>
      <c r="P2449" s="92">
        <f>_xll.qlCalendarAdvance(Calendar,O2449,NDays&amp;"D")</f>
        <v>56482</v>
      </c>
      <c r="Q2449" s="81" t="e">
        <v>#N/A</v>
      </c>
      <c r="R2449" s="85" t="e">
        <v>#N/A</v>
      </c>
    </row>
    <row r="2450" spans="14:18" x14ac:dyDescent="0.2">
      <c r="N2450" s="88" t="str">
        <f t="shared" si="43"/>
        <v>1w</v>
      </c>
      <c r="O2450" s="82">
        <f>_xll.qlCalendarAdvance(Calendar,O2449,N2450,"f",FALSE)</f>
        <v>56487</v>
      </c>
      <c r="P2450" s="92">
        <f>_xll.qlCalendarAdvance(Calendar,O2450,NDays&amp;"D")</f>
        <v>56489</v>
      </c>
      <c r="Q2450" s="81" t="e">
        <v>#N/A</v>
      </c>
      <c r="R2450" s="85" t="e">
        <v>#N/A</v>
      </c>
    </row>
    <row r="2451" spans="14:18" x14ac:dyDescent="0.2">
      <c r="N2451" s="88" t="str">
        <f t="shared" si="43"/>
        <v>1w</v>
      </c>
      <c r="O2451" s="82">
        <f>_xll.qlCalendarAdvance(Calendar,O2450,N2451,"f",FALSE)</f>
        <v>56494</v>
      </c>
      <c r="P2451" s="92">
        <f>_xll.qlCalendarAdvance(Calendar,O2451,NDays&amp;"D")</f>
        <v>56496</v>
      </c>
      <c r="Q2451" s="81" t="e">
        <v>#N/A</v>
      </c>
      <c r="R2451" s="85" t="e">
        <v>#N/A</v>
      </c>
    </row>
    <row r="2452" spans="14:18" x14ac:dyDescent="0.2">
      <c r="N2452" s="88" t="str">
        <f t="shared" si="43"/>
        <v>1w</v>
      </c>
      <c r="O2452" s="82">
        <f>_xll.qlCalendarAdvance(Calendar,O2451,N2452,"f",FALSE)</f>
        <v>56501</v>
      </c>
      <c r="P2452" s="92">
        <f>_xll.qlCalendarAdvance(Calendar,O2452,NDays&amp;"D")</f>
        <v>56503</v>
      </c>
      <c r="Q2452" s="81" t="e">
        <v>#N/A</v>
      </c>
      <c r="R2452" s="85" t="e">
        <v>#N/A</v>
      </c>
    </row>
    <row r="2453" spans="14:18" x14ac:dyDescent="0.2">
      <c r="N2453" s="88" t="str">
        <f t="shared" ref="N2453:N2516" si="44">N2452</f>
        <v>1w</v>
      </c>
      <c r="O2453" s="82">
        <f>_xll.qlCalendarAdvance(Calendar,O2452,N2453,"f",FALSE)</f>
        <v>56508</v>
      </c>
      <c r="P2453" s="92">
        <f>_xll.qlCalendarAdvance(Calendar,O2453,NDays&amp;"D")</f>
        <v>56510</v>
      </c>
      <c r="Q2453" s="81" t="e">
        <v>#N/A</v>
      </c>
      <c r="R2453" s="85" t="e">
        <v>#N/A</v>
      </c>
    </row>
    <row r="2454" spans="14:18" x14ac:dyDescent="0.2">
      <c r="N2454" s="88" t="str">
        <f t="shared" si="44"/>
        <v>1w</v>
      </c>
      <c r="O2454" s="82">
        <f>_xll.qlCalendarAdvance(Calendar,O2453,N2454,"f",FALSE)</f>
        <v>56515</v>
      </c>
      <c r="P2454" s="92">
        <f>_xll.qlCalendarAdvance(Calendar,O2454,NDays&amp;"D")</f>
        <v>56517</v>
      </c>
      <c r="Q2454" s="81" t="e">
        <v>#N/A</v>
      </c>
      <c r="R2454" s="85" t="e">
        <v>#N/A</v>
      </c>
    </row>
    <row r="2455" spans="14:18" x14ac:dyDescent="0.2">
      <c r="N2455" s="88" t="str">
        <f t="shared" si="44"/>
        <v>1w</v>
      </c>
      <c r="O2455" s="82">
        <f>_xll.qlCalendarAdvance(Calendar,O2454,N2455,"f",FALSE)</f>
        <v>56522</v>
      </c>
      <c r="P2455" s="92">
        <f>_xll.qlCalendarAdvance(Calendar,O2455,NDays&amp;"D")</f>
        <v>56524</v>
      </c>
      <c r="Q2455" s="81" t="e">
        <v>#N/A</v>
      </c>
      <c r="R2455" s="85" t="e">
        <v>#N/A</v>
      </c>
    </row>
    <row r="2456" spans="14:18" x14ac:dyDescent="0.2">
      <c r="N2456" s="88" t="str">
        <f t="shared" si="44"/>
        <v>1w</v>
      </c>
      <c r="O2456" s="82">
        <f>_xll.qlCalendarAdvance(Calendar,O2455,N2456,"f",FALSE)</f>
        <v>56529</v>
      </c>
      <c r="P2456" s="92">
        <f>_xll.qlCalendarAdvance(Calendar,O2456,NDays&amp;"D")</f>
        <v>56531</v>
      </c>
      <c r="Q2456" s="81" t="e">
        <v>#N/A</v>
      </c>
      <c r="R2456" s="85" t="e">
        <v>#N/A</v>
      </c>
    </row>
    <row r="2457" spans="14:18" x14ac:dyDescent="0.2">
      <c r="N2457" s="88" t="str">
        <f t="shared" si="44"/>
        <v>1w</v>
      </c>
      <c r="O2457" s="82">
        <f>_xll.qlCalendarAdvance(Calendar,O2456,N2457,"f",FALSE)</f>
        <v>56536</v>
      </c>
      <c r="P2457" s="92">
        <f>_xll.qlCalendarAdvance(Calendar,O2457,NDays&amp;"D")</f>
        <v>56538</v>
      </c>
      <c r="Q2457" s="81" t="e">
        <v>#N/A</v>
      </c>
      <c r="R2457" s="85" t="e">
        <v>#N/A</v>
      </c>
    </row>
    <row r="2458" spans="14:18" x14ac:dyDescent="0.2">
      <c r="N2458" s="88" t="str">
        <f t="shared" si="44"/>
        <v>1w</v>
      </c>
      <c r="O2458" s="82">
        <f>_xll.qlCalendarAdvance(Calendar,O2457,N2458,"f",FALSE)</f>
        <v>56543</v>
      </c>
      <c r="P2458" s="92">
        <f>_xll.qlCalendarAdvance(Calendar,O2458,NDays&amp;"D")</f>
        <v>56545</v>
      </c>
      <c r="Q2458" s="81" t="e">
        <v>#N/A</v>
      </c>
      <c r="R2458" s="85" t="e">
        <v>#N/A</v>
      </c>
    </row>
    <row r="2459" spans="14:18" x14ac:dyDescent="0.2">
      <c r="N2459" s="88" t="str">
        <f t="shared" si="44"/>
        <v>1w</v>
      </c>
      <c r="O2459" s="82">
        <f>_xll.qlCalendarAdvance(Calendar,O2458,N2459,"f",FALSE)</f>
        <v>56550</v>
      </c>
      <c r="P2459" s="92">
        <f>_xll.qlCalendarAdvance(Calendar,O2459,NDays&amp;"D")</f>
        <v>56552</v>
      </c>
      <c r="Q2459" s="81" t="e">
        <v>#N/A</v>
      </c>
      <c r="R2459" s="85" t="e">
        <v>#N/A</v>
      </c>
    </row>
    <row r="2460" spans="14:18" x14ac:dyDescent="0.2">
      <c r="N2460" s="88" t="str">
        <f t="shared" si="44"/>
        <v>1w</v>
      </c>
      <c r="O2460" s="82">
        <f>_xll.qlCalendarAdvance(Calendar,O2459,N2460,"f",FALSE)</f>
        <v>56557</v>
      </c>
      <c r="P2460" s="92">
        <f>_xll.qlCalendarAdvance(Calendar,O2460,NDays&amp;"D")</f>
        <v>56559</v>
      </c>
      <c r="Q2460" s="81" t="e">
        <v>#N/A</v>
      </c>
      <c r="R2460" s="85" t="e">
        <v>#N/A</v>
      </c>
    </row>
    <row r="2461" spans="14:18" x14ac:dyDescent="0.2">
      <c r="N2461" s="88" t="str">
        <f t="shared" si="44"/>
        <v>1w</v>
      </c>
      <c r="O2461" s="82">
        <f>_xll.qlCalendarAdvance(Calendar,O2460,N2461,"f",FALSE)</f>
        <v>56564</v>
      </c>
      <c r="P2461" s="92">
        <f>_xll.qlCalendarAdvance(Calendar,O2461,NDays&amp;"D")</f>
        <v>56566</v>
      </c>
      <c r="Q2461" s="81" t="e">
        <v>#N/A</v>
      </c>
      <c r="R2461" s="85" t="e">
        <v>#N/A</v>
      </c>
    </row>
    <row r="2462" spans="14:18" x14ac:dyDescent="0.2">
      <c r="N2462" s="88" t="str">
        <f t="shared" si="44"/>
        <v>1w</v>
      </c>
      <c r="O2462" s="82">
        <f>_xll.qlCalendarAdvance(Calendar,O2461,N2462,"f",FALSE)</f>
        <v>56571</v>
      </c>
      <c r="P2462" s="92">
        <f>_xll.qlCalendarAdvance(Calendar,O2462,NDays&amp;"D")</f>
        <v>56573</v>
      </c>
      <c r="Q2462" s="81" t="e">
        <v>#N/A</v>
      </c>
      <c r="R2462" s="85" t="e">
        <v>#N/A</v>
      </c>
    </row>
    <row r="2463" spans="14:18" x14ac:dyDescent="0.2">
      <c r="N2463" s="88" t="str">
        <f t="shared" si="44"/>
        <v>1w</v>
      </c>
      <c r="O2463" s="82">
        <f>_xll.qlCalendarAdvance(Calendar,O2462,N2463,"f",FALSE)</f>
        <v>56578</v>
      </c>
      <c r="P2463" s="92">
        <f>_xll.qlCalendarAdvance(Calendar,O2463,NDays&amp;"D")</f>
        <v>56580</v>
      </c>
      <c r="Q2463" s="81" t="e">
        <v>#N/A</v>
      </c>
      <c r="R2463" s="85" t="e">
        <v>#N/A</v>
      </c>
    </row>
    <row r="2464" spans="14:18" x14ac:dyDescent="0.2">
      <c r="N2464" s="88" t="str">
        <f t="shared" si="44"/>
        <v>1w</v>
      </c>
      <c r="O2464" s="82">
        <f>_xll.qlCalendarAdvance(Calendar,O2463,N2464,"f",FALSE)</f>
        <v>56585</v>
      </c>
      <c r="P2464" s="92">
        <f>_xll.qlCalendarAdvance(Calendar,O2464,NDays&amp;"D")</f>
        <v>56587</v>
      </c>
      <c r="Q2464" s="81" t="e">
        <v>#N/A</v>
      </c>
      <c r="R2464" s="85" t="e">
        <v>#N/A</v>
      </c>
    </row>
    <row r="2465" spans="14:18" x14ac:dyDescent="0.2">
      <c r="N2465" s="88" t="str">
        <f t="shared" si="44"/>
        <v>1w</v>
      </c>
      <c r="O2465" s="82">
        <f>_xll.qlCalendarAdvance(Calendar,O2464,N2465,"f",FALSE)</f>
        <v>56592</v>
      </c>
      <c r="P2465" s="92">
        <f>_xll.qlCalendarAdvance(Calendar,O2465,NDays&amp;"D")</f>
        <v>56594</v>
      </c>
      <c r="Q2465" s="81" t="e">
        <v>#N/A</v>
      </c>
      <c r="R2465" s="85" t="e">
        <v>#N/A</v>
      </c>
    </row>
    <row r="2466" spans="14:18" x14ac:dyDescent="0.2">
      <c r="N2466" s="88" t="str">
        <f t="shared" si="44"/>
        <v>1w</v>
      </c>
      <c r="O2466" s="82">
        <f>_xll.qlCalendarAdvance(Calendar,O2465,N2466,"f",FALSE)</f>
        <v>56599</v>
      </c>
      <c r="P2466" s="92">
        <f>_xll.qlCalendarAdvance(Calendar,O2466,NDays&amp;"D")</f>
        <v>56601</v>
      </c>
      <c r="Q2466" s="81" t="e">
        <v>#N/A</v>
      </c>
      <c r="R2466" s="85" t="e">
        <v>#N/A</v>
      </c>
    </row>
    <row r="2467" spans="14:18" x14ac:dyDescent="0.2">
      <c r="N2467" s="88" t="str">
        <f t="shared" si="44"/>
        <v>1w</v>
      </c>
      <c r="O2467" s="82">
        <f>_xll.qlCalendarAdvance(Calendar,O2466,N2467,"f",FALSE)</f>
        <v>56606</v>
      </c>
      <c r="P2467" s="92">
        <f>_xll.qlCalendarAdvance(Calendar,O2467,NDays&amp;"D")</f>
        <v>56612</v>
      </c>
      <c r="Q2467" s="81" t="e">
        <v>#N/A</v>
      </c>
      <c r="R2467" s="85" t="e">
        <v>#N/A</v>
      </c>
    </row>
    <row r="2468" spans="14:18" x14ac:dyDescent="0.2">
      <c r="N2468" s="88" t="str">
        <f t="shared" si="44"/>
        <v>1w</v>
      </c>
      <c r="O2468" s="82">
        <f>_xll.qlCalendarAdvance(Calendar,O2467,N2468,"f",FALSE)</f>
        <v>56613</v>
      </c>
      <c r="P2468" s="92">
        <f>_xll.qlCalendarAdvance(Calendar,O2468,NDays&amp;"D")</f>
        <v>56619</v>
      </c>
      <c r="Q2468" s="81" t="e">
        <v>#N/A</v>
      </c>
      <c r="R2468" s="85" t="e">
        <v>#N/A</v>
      </c>
    </row>
    <row r="2469" spans="14:18" x14ac:dyDescent="0.2">
      <c r="N2469" s="88" t="str">
        <f t="shared" si="44"/>
        <v>1w</v>
      </c>
      <c r="O2469" s="82">
        <f>_xll.qlCalendarAdvance(Calendar,O2468,N2469,"f",FALSE)</f>
        <v>56621</v>
      </c>
      <c r="P2469" s="92">
        <f>_xll.qlCalendarAdvance(Calendar,O2469,NDays&amp;"D")</f>
        <v>56625</v>
      </c>
      <c r="Q2469" s="81" t="e">
        <v>#N/A</v>
      </c>
      <c r="R2469" s="85" t="e">
        <v>#N/A</v>
      </c>
    </row>
    <row r="2470" spans="14:18" x14ac:dyDescent="0.2">
      <c r="N2470" s="88" t="str">
        <f t="shared" si="44"/>
        <v>1w</v>
      </c>
      <c r="O2470" s="82">
        <f>_xll.qlCalendarAdvance(Calendar,O2469,N2470,"f",FALSE)</f>
        <v>56628</v>
      </c>
      <c r="P2470" s="92">
        <f>_xll.qlCalendarAdvance(Calendar,O2470,NDays&amp;"D")</f>
        <v>56632</v>
      </c>
      <c r="Q2470" s="81" t="e">
        <v>#N/A</v>
      </c>
      <c r="R2470" s="85" t="e">
        <v>#N/A</v>
      </c>
    </row>
    <row r="2471" spans="14:18" x14ac:dyDescent="0.2">
      <c r="N2471" s="88" t="str">
        <f t="shared" si="44"/>
        <v>1w</v>
      </c>
      <c r="O2471" s="82">
        <f>_xll.qlCalendarAdvance(Calendar,O2470,N2471,"f",FALSE)</f>
        <v>56635</v>
      </c>
      <c r="P2471" s="92">
        <f>_xll.qlCalendarAdvance(Calendar,O2471,NDays&amp;"D")</f>
        <v>56639</v>
      </c>
      <c r="Q2471" s="81" t="e">
        <v>#N/A</v>
      </c>
      <c r="R2471" s="85" t="e">
        <v>#N/A</v>
      </c>
    </row>
    <row r="2472" spans="14:18" x14ac:dyDescent="0.2">
      <c r="N2472" s="88" t="str">
        <f t="shared" si="44"/>
        <v>1w</v>
      </c>
      <c r="O2472" s="82">
        <f>_xll.qlCalendarAdvance(Calendar,O2471,N2472,"f",FALSE)</f>
        <v>56642</v>
      </c>
      <c r="P2472" s="92">
        <f>_xll.qlCalendarAdvance(Calendar,O2472,NDays&amp;"D")</f>
        <v>56646</v>
      </c>
      <c r="Q2472" s="81" t="e">
        <v>#N/A</v>
      </c>
      <c r="R2472" s="85" t="e">
        <v>#N/A</v>
      </c>
    </row>
    <row r="2473" spans="14:18" x14ac:dyDescent="0.2">
      <c r="N2473" s="88" t="str">
        <f t="shared" si="44"/>
        <v>1w</v>
      </c>
      <c r="O2473" s="82">
        <f>_xll.qlCalendarAdvance(Calendar,O2472,N2473,"f",FALSE)</f>
        <v>56649</v>
      </c>
      <c r="P2473" s="92">
        <f>_xll.qlCalendarAdvance(Calendar,O2473,NDays&amp;"D")</f>
        <v>56653</v>
      </c>
      <c r="Q2473" s="81" t="e">
        <v>#N/A</v>
      </c>
      <c r="R2473" s="85" t="e">
        <v>#N/A</v>
      </c>
    </row>
    <row r="2474" spans="14:18" x14ac:dyDescent="0.2">
      <c r="N2474" s="88" t="str">
        <f t="shared" si="44"/>
        <v>1w</v>
      </c>
      <c r="O2474" s="82">
        <f>_xll.qlCalendarAdvance(Calendar,O2473,N2474,"f",FALSE)</f>
        <v>56656</v>
      </c>
      <c r="P2474" s="92">
        <f>_xll.qlCalendarAdvance(Calendar,O2474,NDays&amp;"D")</f>
        <v>56660</v>
      </c>
      <c r="Q2474" s="81" t="e">
        <v>#N/A</v>
      </c>
      <c r="R2474" s="85" t="e">
        <v>#N/A</v>
      </c>
    </row>
    <row r="2475" spans="14:18" x14ac:dyDescent="0.2">
      <c r="N2475" s="88" t="str">
        <f t="shared" si="44"/>
        <v>1w</v>
      </c>
      <c r="O2475" s="82">
        <f>_xll.qlCalendarAdvance(Calendar,O2474,N2475,"f",FALSE)</f>
        <v>56663</v>
      </c>
      <c r="P2475" s="92">
        <f>_xll.qlCalendarAdvance(Calendar,O2475,NDays&amp;"D")</f>
        <v>56667</v>
      </c>
      <c r="Q2475" s="81" t="e">
        <v>#N/A</v>
      </c>
      <c r="R2475" s="85" t="e">
        <v>#N/A</v>
      </c>
    </row>
    <row r="2476" spans="14:18" x14ac:dyDescent="0.2">
      <c r="N2476" s="88" t="str">
        <f t="shared" si="44"/>
        <v>1w</v>
      </c>
      <c r="O2476" s="82">
        <f>_xll.qlCalendarAdvance(Calendar,O2475,N2476,"f",FALSE)</f>
        <v>56670</v>
      </c>
      <c r="P2476" s="92">
        <f>_xll.qlCalendarAdvance(Calendar,O2476,NDays&amp;"D")</f>
        <v>56674</v>
      </c>
      <c r="Q2476" s="81" t="e">
        <v>#N/A</v>
      </c>
      <c r="R2476" s="85" t="e">
        <v>#N/A</v>
      </c>
    </row>
    <row r="2477" spans="14:18" x14ac:dyDescent="0.2">
      <c r="N2477" s="88" t="str">
        <f t="shared" si="44"/>
        <v>1w</v>
      </c>
      <c r="O2477" s="82">
        <f>_xll.qlCalendarAdvance(Calendar,O2476,N2477,"f",FALSE)</f>
        <v>56677</v>
      </c>
      <c r="P2477" s="92">
        <f>_xll.qlCalendarAdvance(Calendar,O2477,NDays&amp;"D")</f>
        <v>56681</v>
      </c>
      <c r="Q2477" s="81" t="e">
        <v>#N/A</v>
      </c>
      <c r="R2477" s="85" t="e">
        <v>#N/A</v>
      </c>
    </row>
    <row r="2478" spans="14:18" x14ac:dyDescent="0.2">
      <c r="N2478" s="88" t="str">
        <f t="shared" si="44"/>
        <v>1w</v>
      </c>
      <c r="O2478" s="82">
        <f>_xll.qlCalendarAdvance(Calendar,O2477,N2478,"f",FALSE)</f>
        <v>56684</v>
      </c>
      <c r="P2478" s="92">
        <f>_xll.qlCalendarAdvance(Calendar,O2478,NDays&amp;"D")</f>
        <v>56688</v>
      </c>
      <c r="Q2478" s="81" t="e">
        <v>#N/A</v>
      </c>
      <c r="R2478" s="85" t="e">
        <v>#N/A</v>
      </c>
    </row>
    <row r="2479" spans="14:18" x14ac:dyDescent="0.2">
      <c r="N2479" s="88" t="str">
        <f t="shared" si="44"/>
        <v>1w</v>
      </c>
      <c r="O2479" s="82">
        <f>_xll.qlCalendarAdvance(Calendar,O2478,N2479,"f",FALSE)</f>
        <v>56691</v>
      </c>
      <c r="P2479" s="92">
        <f>_xll.qlCalendarAdvance(Calendar,O2479,NDays&amp;"D")</f>
        <v>56695</v>
      </c>
      <c r="Q2479" s="81" t="e">
        <v>#N/A</v>
      </c>
      <c r="R2479" s="85" t="e">
        <v>#N/A</v>
      </c>
    </row>
    <row r="2480" spans="14:18" x14ac:dyDescent="0.2">
      <c r="N2480" s="88" t="str">
        <f t="shared" si="44"/>
        <v>1w</v>
      </c>
      <c r="O2480" s="82">
        <f>_xll.qlCalendarAdvance(Calendar,O2479,N2480,"f",FALSE)</f>
        <v>56698</v>
      </c>
      <c r="P2480" s="92">
        <f>_xll.qlCalendarAdvance(Calendar,O2480,NDays&amp;"D")</f>
        <v>56702</v>
      </c>
      <c r="Q2480" s="81" t="e">
        <v>#N/A</v>
      </c>
      <c r="R2480" s="85" t="e">
        <v>#N/A</v>
      </c>
    </row>
    <row r="2481" spans="14:18" x14ac:dyDescent="0.2">
      <c r="N2481" s="88" t="str">
        <f t="shared" si="44"/>
        <v>1w</v>
      </c>
      <c r="O2481" s="82">
        <f>_xll.qlCalendarAdvance(Calendar,O2480,N2481,"f",FALSE)</f>
        <v>56705</v>
      </c>
      <c r="P2481" s="92">
        <f>_xll.qlCalendarAdvance(Calendar,O2481,NDays&amp;"D")</f>
        <v>56709</v>
      </c>
      <c r="Q2481" s="81" t="e">
        <v>#N/A</v>
      </c>
      <c r="R2481" s="85" t="e">
        <v>#N/A</v>
      </c>
    </row>
    <row r="2482" spans="14:18" x14ac:dyDescent="0.2">
      <c r="N2482" s="88" t="str">
        <f t="shared" si="44"/>
        <v>1w</v>
      </c>
      <c r="O2482" s="82">
        <f>_xll.qlCalendarAdvance(Calendar,O2481,N2482,"f",FALSE)</f>
        <v>56712</v>
      </c>
      <c r="P2482" s="92">
        <f>_xll.qlCalendarAdvance(Calendar,O2482,NDays&amp;"D")</f>
        <v>56716</v>
      </c>
      <c r="Q2482" s="81" t="e">
        <v>#N/A</v>
      </c>
      <c r="R2482" s="85" t="e">
        <v>#N/A</v>
      </c>
    </row>
    <row r="2483" spans="14:18" x14ac:dyDescent="0.2">
      <c r="N2483" s="88" t="str">
        <f t="shared" si="44"/>
        <v>1w</v>
      </c>
      <c r="O2483" s="82">
        <f>_xll.qlCalendarAdvance(Calendar,O2482,N2483,"f",FALSE)</f>
        <v>56719</v>
      </c>
      <c r="P2483" s="92">
        <f>_xll.qlCalendarAdvance(Calendar,O2483,NDays&amp;"D")</f>
        <v>56725</v>
      </c>
      <c r="Q2483" s="81" t="e">
        <v>#N/A</v>
      </c>
      <c r="R2483" s="85" t="e">
        <v>#N/A</v>
      </c>
    </row>
    <row r="2484" spans="14:18" x14ac:dyDescent="0.2">
      <c r="N2484" s="88" t="str">
        <f t="shared" si="44"/>
        <v>1w</v>
      </c>
      <c r="O2484" s="82">
        <f>_xll.qlCalendarAdvance(Calendar,O2483,N2484,"f",FALSE)</f>
        <v>56726</v>
      </c>
      <c r="P2484" s="92">
        <f>_xll.qlCalendarAdvance(Calendar,O2484,NDays&amp;"D")</f>
        <v>56730</v>
      </c>
      <c r="Q2484" s="81" t="e">
        <v>#N/A</v>
      </c>
      <c r="R2484" s="85" t="e">
        <v>#N/A</v>
      </c>
    </row>
    <row r="2485" spans="14:18" x14ac:dyDescent="0.2">
      <c r="N2485" s="88" t="str">
        <f t="shared" si="44"/>
        <v>1w</v>
      </c>
      <c r="O2485" s="82">
        <f>_xll.qlCalendarAdvance(Calendar,O2484,N2485,"f",FALSE)</f>
        <v>56733</v>
      </c>
      <c r="P2485" s="92">
        <f>_xll.qlCalendarAdvance(Calendar,O2485,NDays&amp;"D")</f>
        <v>56737</v>
      </c>
      <c r="Q2485" s="81" t="e">
        <v>#N/A</v>
      </c>
      <c r="R2485" s="85" t="e">
        <v>#N/A</v>
      </c>
    </row>
    <row r="2486" spans="14:18" x14ac:dyDescent="0.2">
      <c r="N2486" s="88" t="str">
        <f t="shared" si="44"/>
        <v>1w</v>
      </c>
      <c r="O2486" s="82">
        <f>_xll.qlCalendarAdvance(Calendar,O2485,N2486,"f",FALSE)</f>
        <v>56740</v>
      </c>
      <c r="P2486" s="92">
        <f>_xll.qlCalendarAdvance(Calendar,O2486,NDays&amp;"D")</f>
        <v>56744</v>
      </c>
      <c r="Q2486" s="81" t="e">
        <v>#N/A</v>
      </c>
      <c r="R2486" s="85" t="e">
        <v>#N/A</v>
      </c>
    </row>
    <row r="2487" spans="14:18" x14ac:dyDescent="0.2">
      <c r="N2487" s="88" t="str">
        <f t="shared" si="44"/>
        <v>1w</v>
      </c>
      <c r="O2487" s="82">
        <f>_xll.qlCalendarAdvance(Calendar,O2486,N2487,"f",FALSE)</f>
        <v>56747</v>
      </c>
      <c r="P2487" s="92">
        <f>_xll.qlCalendarAdvance(Calendar,O2487,NDays&amp;"D")</f>
        <v>56751</v>
      </c>
      <c r="Q2487" s="81" t="e">
        <v>#N/A</v>
      </c>
      <c r="R2487" s="85" t="e">
        <v>#N/A</v>
      </c>
    </row>
    <row r="2488" spans="14:18" x14ac:dyDescent="0.2">
      <c r="N2488" s="88" t="str">
        <f t="shared" si="44"/>
        <v>1w</v>
      </c>
      <c r="O2488" s="82">
        <f>_xll.qlCalendarAdvance(Calendar,O2487,N2488,"f",FALSE)</f>
        <v>56754</v>
      </c>
      <c r="P2488" s="92">
        <f>_xll.qlCalendarAdvance(Calendar,O2488,NDays&amp;"D")</f>
        <v>56758</v>
      </c>
      <c r="Q2488" s="81" t="e">
        <v>#N/A</v>
      </c>
      <c r="R2488" s="85" t="e">
        <v>#N/A</v>
      </c>
    </row>
    <row r="2489" spans="14:18" x14ac:dyDescent="0.2">
      <c r="N2489" s="88" t="str">
        <f t="shared" si="44"/>
        <v>1w</v>
      </c>
      <c r="O2489" s="82">
        <f>_xll.qlCalendarAdvance(Calendar,O2488,N2489,"f",FALSE)</f>
        <v>56762</v>
      </c>
      <c r="P2489" s="92">
        <f>_xll.qlCalendarAdvance(Calendar,O2489,NDays&amp;"D")</f>
        <v>56766</v>
      </c>
      <c r="Q2489" s="81" t="e">
        <v>#N/A</v>
      </c>
      <c r="R2489" s="85" t="e">
        <v>#N/A</v>
      </c>
    </row>
    <row r="2490" spans="14:18" x14ac:dyDescent="0.2">
      <c r="N2490" s="88" t="str">
        <f t="shared" si="44"/>
        <v>1w</v>
      </c>
      <c r="O2490" s="82">
        <f>_xll.qlCalendarAdvance(Calendar,O2489,N2490,"f",FALSE)</f>
        <v>56769</v>
      </c>
      <c r="P2490" s="92">
        <f>_xll.qlCalendarAdvance(Calendar,O2490,NDays&amp;"D")</f>
        <v>56774</v>
      </c>
      <c r="Q2490" s="81" t="e">
        <v>#N/A</v>
      </c>
      <c r="R2490" s="85" t="e">
        <v>#N/A</v>
      </c>
    </row>
    <row r="2491" spans="14:18" x14ac:dyDescent="0.2">
      <c r="N2491" s="88" t="str">
        <f t="shared" si="44"/>
        <v>1w</v>
      </c>
      <c r="O2491" s="82">
        <f>_xll.qlCalendarAdvance(Calendar,O2490,N2491,"f",FALSE)</f>
        <v>56776</v>
      </c>
      <c r="P2491" s="92">
        <f>_xll.qlCalendarAdvance(Calendar,O2491,NDays&amp;"D")</f>
        <v>56780</v>
      </c>
      <c r="Q2491" s="81" t="e">
        <v>#N/A</v>
      </c>
      <c r="R2491" s="85" t="e">
        <v>#N/A</v>
      </c>
    </row>
    <row r="2492" spans="14:18" x14ac:dyDescent="0.2">
      <c r="N2492" s="88" t="str">
        <f t="shared" si="44"/>
        <v>1w</v>
      </c>
      <c r="O2492" s="82">
        <f>_xll.qlCalendarAdvance(Calendar,O2491,N2492,"f",FALSE)</f>
        <v>56783</v>
      </c>
      <c r="P2492" s="92">
        <f>_xll.qlCalendarAdvance(Calendar,O2492,NDays&amp;"D")</f>
        <v>56787</v>
      </c>
      <c r="Q2492" s="81" t="e">
        <v>#N/A</v>
      </c>
      <c r="R2492" s="85" t="e">
        <v>#N/A</v>
      </c>
    </row>
    <row r="2493" spans="14:18" x14ac:dyDescent="0.2">
      <c r="N2493" s="88" t="str">
        <f t="shared" si="44"/>
        <v>1w</v>
      </c>
      <c r="O2493" s="82">
        <f>_xll.qlCalendarAdvance(Calendar,O2492,N2493,"f",FALSE)</f>
        <v>56793</v>
      </c>
      <c r="P2493" s="92">
        <f>_xll.qlCalendarAdvance(Calendar,O2493,NDays&amp;"D")</f>
        <v>56795</v>
      </c>
      <c r="Q2493" s="81" t="e">
        <v>#N/A</v>
      </c>
      <c r="R2493" s="85" t="e">
        <v>#N/A</v>
      </c>
    </row>
    <row r="2494" spans="14:18" x14ac:dyDescent="0.2">
      <c r="N2494" s="88" t="str">
        <f t="shared" si="44"/>
        <v>1w</v>
      </c>
      <c r="O2494" s="82">
        <f>_xll.qlCalendarAdvance(Calendar,O2493,N2494,"f",FALSE)</f>
        <v>56800</v>
      </c>
      <c r="P2494" s="92">
        <f>_xll.qlCalendarAdvance(Calendar,O2494,NDays&amp;"D")</f>
        <v>56802</v>
      </c>
      <c r="Q2494" s="81" t="e">
        <v>#N/A</v>
      </c>
      <c r="R2494" s="85" t="e">
        <v>#N/A</v>
      </c>
    </row>
    <row r="2495" spans="14:18" x14ac:dyDescent="0.2">
      <c r="N2495" s="88" t="str">
        <f t="shared" si="44"/>
        <v>1w</v>
      </c>
      <c r="O2495" s="82">
        <f>_xll.qlCalendarAdvance(Calendar,O2494,N2495,"f",FALSE)</f>
        <v>56807</v>
      </c>
      <c r="P2495" s="92">
        <f>_xll.qlCalendarAdvance(Calendar,O2495,NDays&amp;"D")</f>
        <v>56809</v>
      </c>
      <c r="Q2495" s="81" t="e">
        <v>#N/A</v>
      </c>
      <c r="R2495" s="85" t="e">
        <v>#N/A</v>
      </c>
    </row>
    <row r="2496" spans="14:18" x14ac:dyDescent="0.2">
      <c r="N2496" s="88" t="str">
        <f t="shared" si="44"/>
        <v>1w</v>
      </c>
      <c r="O2496" s="82">
        <f>_xll.qlCalendarAdvance(Calendar,O2495,N2496,"f",FALSE)</f>
        <v>56814</v>
      </c>
      <c r="P2496" s="92">
        <f>_xll.qlCalendarAdvance(Calendar,O2496,NDays&amp;"D")</f>
        <v>56816</v>
      </c>
      <c r="Q2496" s="81" t="e">
        <v>#N/A</v>
      </c>
      <c r="R2496" s="85" t="e">
        <v>#N/A</v>
      </c>
    </row>
    <row r="2497" spans="14:18" x14ac:dyDescent="0.2">
      <c r="N2497" s="88" t="str">
        <f t="shared" si="44"/>
        <v>1w</v>
      </c>
      <c r="O2497" s="82">
        <f>_xll.qlCalendarAdvance(Calendar,O2496,N2497,"f",FALSE)</f>
        <v>56821</v>
      </c>
      <c r="P2497" s="92">
        <f>_xll.qlCalendarAdvance(Calendar,O2497,NDays&amp;"D")</f>
        <v>56823</v>
      </c>
      <c r="Q2497" s="81" t="e">
        <v>#N/A</v>
      </c>
      <c r="R2497" s="85" t="e">
        <v>#N/A</v>
      </c>
    </row>
    <row r="2498" spans="14:18" x14ac:dyDescent="0.2">
      <c r="N2498" s="88" t="str">
        <f t="shared" si="44"/>
        <v>1w</v>
      </c>
      <c r="O2498" s="82">
        <f>_xll.qlCalendarAdvance(Calendar,O2497,N2498,"f",FALSE)</f>
        <v>56828</v>
      </c>
      <c r="P2498" s="92">
        <f>_xll.qlCalendarAdvance(Calendar,O2498,NDays&amp;"D")</f>
        <v>56830</v>
      </c>
      <c r="Q2498" s="81" t="e">
        <v>#N/A</v>
      </c>
      <c r="R2498" s="85" t="e">
        <v>#N/A</v>
      </c>
    </row>
    <row r="2499" spans="14:18" x14ac:dyDescent="0.2">
      <c r="N2499" s="88" t="str">
        <f t="shared" si="44"/>
        <v>1w</v>
      </c>
      <c r="O2499" s="82">
        <f>_xll.qlCalendarAdvance(Calendar,O2498,N2499,"f",FALSE)</f>
        <v>56835</v>
      </c>
      <c r="P2499" s="92">
        <f>_xll.qlCalendarAdvance(Calendar,O2499,NDays&amp;"D")</f>
        <v>56837</v>
      </c>
      <c r="Q2499" s="81" t="e">
        <v>#N/A</v>
      </c>
      <c r="R2499" s="85" t="e">
        <v>#N/A</v>
      </c>
    </row>
    <row r="2500" spans="14:18" x14ac:dyDescent="0.2">
      <c r="N2500" s="88" t="str">
        <f t="shared" si="44"/>
        <v>1w</v>
      </c>
      <c r="O2500" s="82">
        <f>_xll.qlCalendarAdvance(Calendar,O2499,N2500,"f",FALSE)</f>
        <v>56842</v>
      </c>
      <c r="P2500" s="92">
        <f>_xll.qlCalendarAdvance(Calendar,O2500,NDays&amp;"D")</f>
        <v>56844</v>
      </c>
      <c r="Q2500" s="81" t="e">
        <v>#N/A</v>
      </c>
      <c r="R2500" s="85" t="e">
        <v>#N/A</v>
      </c>
    </row>
    <row r="2501" spans="14:18" x14ac:dyDescent="0.2">
      <c r="N2501" s="88" t="str">
        <f t="shared" si="44"/>
        <v>1w</v>
      </c>
      <c r="O2501" s="82">
        <f>_xll.qlCalendarAdvance(Calendar,O2500,N2501,"f",FALSE)</f>
        <v>56849</v>
      </c>
      <c r="P2501" s="92">
        <f>_xll.qlCalendarAdvance(Calendar,O2501,NDays&amp;"D")</f>
        <v>56851</v>
      </c>
      <c r="Q2501" s="81" t="e">
        <v>#N/A</v>
      </c>
      <c r="R2501" s="85" t="e">
        <v>#N/A</v>
      </c>
    </row>
    <row r="2502" spans="14:18" x14ac:dyDescent="0.2">
      <c r="N2502" s="88" t="str">
        <f t="shared" si="44"/>
        <v>1w</v>
      </c>
      <c r="O2502" s="82">
        <f>_xll.qlCalendarAdvance(Calendar,O2501,N2502,"f",FALSE)</f>
        <v>56856</v>
      </c>
      <c r="P2502" s="92">
        <f>_xll.qlCalendarAdvance(Calendar,O2502,NDays&amp;"D")</f>
        <v>56858</v>
      </c>
      <c r="Q2502" s="81" t="e">
        <v>#N/A</v>
      </c>
      <c r="R2502" s="85" t="e">
        <v>#N/A</v>
      </c>
    </row>
    <row r="2503" spans="14:18" x14ac:dyDescent="0.2">
      <c r="N2503" s="88" t="str">
        <f t="shared" si="44"/>
        <v>1w</v>
      </c>
      <c r="O2503" s="82">
        <f>_xll.qlCalendarAdvance(Calendar,O2502,N2503,"f",FALSE)</f>
        <v>56863</v>
      </c>
      <c r="P2503" s="92">
        <f>_xll.qlCalendarAdvance(Calendar,O2503,NDays&amp;"D")</f>
        <v>56865</v>
      </c>
      <c r="Q2503" s="81" t="e">
        <v>#N/A</v>
      </c>
      <c r="R2503" s="85" t="e">
        <v>#N/A</v>
      </c>
    </row>
    <row r="2504" spans="14:18" x14ac:dyDescent="0.2">
      <c r="N2504" s="88" t="str">
        <f t="shared" si="44"/>
        <v>1w</v>
      </c>
      <c r="O2504" s="82">
        <f>_xll.qlCalendarAdvance(Calendar,O2503,N2504,"f",FALSE)</f>
        <v>56870</v>
      </c>
      <c r="P2504" s="92">
        <f>_xll.qlCalendarAdvance(Calendar,O2504,NDays&amp;"D")</f>
        <v>56872</v>
      </c>
      <c r="Q2504" s="81" t="e">
        <v>#N/A</v>
      </c>
      <c r="R2504" s="85" t="e">
        <v>#N/A</v>
      </c>
    </row>
    <row r="2505" spans="14:18" x14ac:dyDescent="0.2">
      <c r="N2505" s="88" t="str">
        <f t="shared" si="44"/>
        <v>1w</v>
      </c>
      <c r="O2505" s="82">
        <f>_xll.qlCalendarAdvance(Calendar,O2504,N2505,"f",FALSE)</f>
        <v>56877</v>
      </c>
      <c r="P2505" s="92">
        <f>_xll.qlCalendarAdvance(Calendar,O2505,NDays&amp;"D")</f>
        <v>56879</v>
      </c>
      <c r="Q2505" s="81" t="e">
        <v>#N/A</v>
      </c>
      <c r="R2505" s="85" t="e">
        <v>#N/A</v>
      </c>
    </row>
    <row r="2506" spans="14:18" x14ac:dyDescent="0.2">
      <c r="N2506" s="88" t="str">
        <f t="shared" si="44"/>
        <v>1w</v>
      </c>
      <c r="O2506" s="82">
        <f>_xll.qlCalendarAdvance(Calendar,O2505,N2506,"f",FALSE)</f>
        <v>56884</v>
      </c>
      <c r="P2506" s="92">
        <f>_xll.qlCalendarAdvance(Calendar,O2506,NDays&amp;"D")</f>
        <v>56886</v>
      </c>
      <c r="Q2506" s="81" t="e">
        <v>#N/A</v>
      </c>
      <c r="R2506" s="85" t="e">
        <v>#N/A</v>
      </c>
    </row>
    <row r="2507" spans="14:18" x14ac:dyDescent="0.2">
      <c r="N2507" s="88" t="str">
        <f t="shared" si="44"/>
        <v>1w</v>
      </c>
      <c r="O2507" s="82">
        <f>_xll.qlCalendarAdvance(Calendar,O2506,N2507,"f",FALSE)</f>
        <v>56891</v>
      </c>
      <c r="P2507" s="92">
        <f>_xll.qlCalendarAdvance(Calendar,O2507,NDays&amp;"D")</f>
        <v>56893</v>
      </c>
      <c r="Q2507" s="81" t="e">
        <v>#N/A</v>
      </c>
      <c r="R2507" s="85" t="e">
        <v>#N/A</v>
      </c>
    </row>
    <row r="2508" spans="14:18" x14ac:dyDescent="0.2">
      <c r="N2508" s="88" t="str">
        <f t="shared" si="44"/>
        <v>1w</v>
      </c>
      <c r="O2508" s="82">
        <f>_xll.qlCalendarAdvance(Calendar,O2507,N2508,"f",FALSE)</f>
        <v>56898</v>
      </c>
      <c r="P2508" s="92">
        <f>_xll.qlCalendarAdvance(Calendar,O2508,NDays&amp;"D")</f>
        <v>56900</v>
      </c>
      <c r="Q2508" s="81" t="e">
        <v>#N/A</v>
      </c>
      <c r="R2508" s="85" t="e">
        <v>#N/A</v>
      </c>
    </row>
    <row r="2509" spans="14:18" x14ac:dyDescent="0.2">
      <c r="N2509" s="88" t="str">
        <f t="shared" si="44"/>
        <v>1w</v>
      </c>
      <c r="O2509" s="82">
        <f>_xll.qlCalendarAdvance(Calendar,O2508,N2509,"f",FALSE)</f>
        <v>56905</v>
      </c>
      <c r="P2509" s="92">
        <f>_xll.qlCalendarAdvance(Calendar,O2509,NDays&amp;"D")</f>
        <v>56907</v>
      </c>
      <c r="Q2509" s="81" t="e">
        <v>#N/A</v>
      </c>
      <c r="R2509" s="85" t="e">
        <v>#N/A</v>
      </c>
    </row>
    <row r="2510" spans="14:18" x14ac:dyDescent="0.2">
      <c r="N2510" s="88" t="str">
        <f t="shared" si="44"/>
        <v>1w</v>
      </c>
      <c r="O2510" s="82">
        <f>_xll.qlCalendarAdvance(Calendar,O2509,N2510,"f",FALSE)</f>
        <v>56912</v>
      </c>
      <c r="P2510" s="92">
        <f>_xll.qlCalendarAdvance(Calendar,O2510,NDays&amp;"D")</f>
        <v>56914</v>
      </c>
      <c r="Q2510" s="81" t="e">
        <v>#N/A</v>
      </c>
      <c r="R2510" s="85" t="e">
        <v>#N/A</v>
      </c>
    </row>
    <row r="2511" spans="14:18" x14ac:dyDescent="0.2">
      <c r="N2511" s="88" t="str">
        <f t="shared" si="44"/>
        <v>1w</v>
      </c>
      <c r="O2511" s="82">
        <f>_xll.qlCalendarAdvance(Calendar,O2510,N2511,"f",FALSE)</f>
        <v>56919</v>
      </c>
      <c r="P2511" s="92">
        <f>_xll.qlCalendarAdvance(Calendar,O2511,NDays&amp;"D")</f>
        <v>56921</v>
      </c>
      <c r="Q2511" s="81" t="e">
        <v>#N/A</v>
      </c>
      <c r="R2511" s="85" t="e">
        <v>#N/A</v>
      </c>
    </row>
    <row r="2512" spans="14:18" x14ac:dyDescent="0.2">
      <c r="N2512" s="88" t="str">
        <f t="shared" si="44"/>
        <v>1w</v>
      </c>
      <c r="O2512" s="82">
        <f>_xll.qlCalendarAdvance(Calendar,O2511,N2512,"f",FALSE)</f>
        <v>56926</v>
      </c>
      <c r="P2512" s="92">
        <f>_xll.qlCalendarAdvance(Calendar,O2512,NDays&amp;"D")</f>
        <v>56928</v>
      </c>
      <c r="Q2512" s="81" t="e">
        <v>#N/A</v>
      </c>
      <c r="R2512" s="85" t="e">
        <v>#N/A</v>
      </c>
    </row>
    <row r="2513" spans="14:18" x14ac:dyDescent="0.2">
      <c r="N2513" s="88" t="str">
        <f t="shared" si="44"/>
        <v>1w</v>
      </c>
      <c r="O2513" s="82">
        <f>_xll.qlCalendarAdvance(Calendar,O2512,N2513,"f",FALSE)</f>
        <v>56933</v>
      </c>
      <c r="P2513" s="92">
        <f>_xll.qlCalendarAdvance(Calendar,O2513,NDays&amp;"D")</f>
        <v>56935</v>
      </c>
      <c r="Q2513" s="81" t="e">
        <v>#N/A</v>
      </c>
      <c r="R2513" s="85" t="e">
        <v>#N/A</v>
      </c>
    </row>
    <row r="2514" spans="14:18" x14ac:dyDescent="0.2">
      <c r="N2514" s="88" t="str">
        <f t="shared" si="44"/>
        <v>1w</v>
      </c>
      <c r="O2514" s="82">
        <f>_xll.qlCalendarAdvance(Calendar,O2513,N2514,"f",FALSE)</f>
        <v>56940</v>
      </c>
      <c r="P2514" s="92">
        <f>_xll.qlCalendarAdvance(Calendar,O2514,NDays&amp;"D")</f>
        <v>56942</v>
      </c>
      <c r="Q2514" s="81" t="e">
        <v>#N/A</v>
      </c>
      <c r="R2514" s="85" t="e">
        <v>#N/A</v>
      </c>
    </row>
    <row r="2515" spans="14:18" x14ac:dyDescent="0.2">
      <c r="N2515" s="88" t="str">
        <f t="shared" si="44"/>
        <v>1w</v>
      </c>
      <c r="O2515" s="82">
        <f>_xll.qlCalendarAdvance(Calendar,O2514,N2515,"f",FALSE)</f>
        <v>56947</v>
      </c>
      <c r="P2515" s="92">
        <f>_xll.qlCalendarAdvance(Calendar,O2515,NDays&amp;"D")</f>
        <v>56949</v>
      </c>
      <c r="Q2515" s="81" t="e">
        <v>#N/A</v>
      </c>
      <c r="R2515" s="85" t="e">
        <v>#N/A</v>
      </c>
    </row>
    <row r="2516" spans="14:18" x14ac:dyDescent="0.2">
      <c r="N2516" s="88" t="str">
        <f t="shared" si="44"/>
        <v>1w</v>
      </c>
      <c r="O2516" s="82">
        <f>_xll.qlCalendarAdvance(Calendar,O2515,N2516,"f",FALSE)</f>
        <v>56954</v>
      </c>
      <c r="P2516" s="92">
        <f>_xll.qlCalendarAdvance(Calendar,O2516,NDays&amp;"D")</f>
        <v>56956</v>
      </c>
      <c r="Q2516" s="81" t="e">
        <v>#N/A</v>
      </c>
      <c r="R2516" s="85" t="e">
        <v>#N/A</v>
      </c>
    </row>
    <row r="2517" spans="14:18" x14ac:dyDescent="0.2">
      <c r="N2517" s="88" t="str">
        <f t="shared" ref="N2517:N2580" si="45">N2516</f>
        <v>1w</v>
      </c>
      <c r="O2517" s="82">
        <f>_xll.qlCalendarAdvance(Calendar,O2516,N2517,"f",FALSE)</f>
        <v>56961</v>
      </c>
      <c r="P2517" s="92">
        <f>_xll.qlCalendarAdvance(Calendar,O2517,NDays&amp;"D")</f>
        <v>56963</v>
      </c>
      <c r="Q2517" s="81" t="e">
        <v>#N/A</v>
      </c>
      <c r="R2517" s="85" t="e">
        <v>#N/A</v>
      </c>
    </row>
    <row r="2518" spans="14:18" x14ac:dyDescent="0.2">
      <c r="N2518" s="88" t="str">
        <f t="shared" si="45"/>
        <v>1w</v>
      </c>
      <c r="O2518" s="82">
        <f>_xll.qlCalendarAdvance(Calendar,O2517,N2518,"f",FALSE)</f>
        <v>56968</v>
      </c>
      <c r="P2518" s="92">
        <f>_xll.qlCalendarAdvance(Calendar,O2518,NDays&amp;"D")</f>
        <v>56970</v>
      </c>
      <c r="Q2518" s="81" t="e">
        <v>#N/A</v>
      </c>
      <c r="R2518" s="85" t="e">
        <v>#N/A</v>
      </c>
    </row>
    <row r="2519" spans="14:18" x14ac:dyDescent="0.2">
      <c r="N2519" s="88" t="str">
        <f t="shared" si="45"/>
        <v>1w</v>
      </c>
      <c r="O2519" s="82">
        <f>_xll.qlCalendarAdvance(Calendar,O2518,N2519,"f",FALSE)</f>
        <v>56975</v>
      </c>
      <c r="P2519" s="92">
        <f>_xll.qlCalendarAdvance(Calendar,O2519,NDays&amp;"D")</f>
        <v>56977</v>
      </c>
      <c r="Q2519" s="81" t="e">
        <v>#N/A</v>
      </c>
      <c r="R2519" s="85" t="e">
        <v>#N/A</v>
      </c>
    </row>
    <row r="2520" spans="14:18" x14ac:dyDescent="0.2">
      <c r="N2520" s="88" t="str">
        <f t="shared" si="45"/>
        <v>1w</v>
      </c>
      <c r="O2520" s="82">
        <f>_xll.qlCalendarAdvance(Calendar,O2519,N2520,"f",FALSE)</f>
        <v>56982</v>
      </c>
      <c r="P2520" s="92">
        <f>_xll.qlCalendarAdvance(Calendar,O2520,NDays&amp;"D")</f>
        <v>56984</v>
      </c>
      <c r="Q2520" s="81" t="e">
        <v>#N/A</v>
      </c>
      <c r="R2520" s="85" t="e">
        <v>#N/A</v>
      </c>
    </row>
    <row r="2521" spans="14:18" x14ac:dyDescent="0.2">
      <c r="N2521" s="88" t="str">
        <f t="shared" si="45"/>
        <v>1w</v>
      </c>
      <c r="O2521" s="82">
        <f>_xll.qlCalendarAdvance(Calendar,O2520,N2521,"f",FALSE)</f>
        <v>56989</v>
      </c>
      <c r="P2521" s="92">
        <f>_xll.qlCalendarAdvance(Calendar,O2521,NDays&amp;"D")</f>
        <v>56991</v>
      </c>
      <c r="Q2521" s="81" t="e">
        <v>#N/A</v>
      </c>
      <c r="R2521" s="85" t="e">
        <v>#N/A</v>
      </c>
    </row>
    <row r="2522" spans="14:18" x14ac:dyDescent="0.2">
      <c r="N2522" s="88" t="str">
        <f t="shared" si="45"/>
        <v>1w</v>
      </c>
      <c r="O2522" s="82">
        <f>_xll.qlCalendarAdvance(Calendar,O2521,N2522,"f",FALSE)</f>
        <v>56996</v>
      </c>
      <c r="P2522" s="92">
        <f>_xll.qlCalendarAdvance(Calendar,O2522,NDays&amp;"D")</f>
        <v>56998</v>
      </c>
      <c r="Q2522" s="81" t="e">
        <v>#N/A</v>
      </c>
      <c r="R2522" s="85" t="e">
        <v>#N/A</v>
      </c>
    </row>
    <row r="2523" spans="14:18" x14ac:dyDescent="0.2">
      <c r="N2523" s="88" t="str">
        <f t="shared" si="45"/>
        <v>1w</v>
      </c>
      <c r="O2523" s="82">
        <f>_xll.qlCalendarAdvance(Calendar,O2522,N2523,"f",FALSE)</f>
        <v>57003</v>
      </c>
      <c r="P2523" s="92">
        <f>_xll.qlCalendarAdvance(Calendar,O2523,NDays&amp;"D")</f>
        <v>57005</v>
      </c>
      <c r="Q2523" s="81" t="e">
        <v>#N/A</v>
      </c>
      <c r="R2523" s="85" t="e">
        <v>#N/A</v>
      </c>
    </row>
    <row r="2524" spans="14:18" x14ac:dyDescent="0.2">
      <c r="N2524" s="88" t="str">
        <f t="shared" si="45"/>
        <v>1w</v>
      </c>
      <c r="O2524" s="82">
        <f>_xll.qlCalendarAdvance(Calendar,O2523,N2524,"f",FALSE)</f>
        <v>57010</v>
      </c>
      <c r="P2524" s="92">
        <f>_xll.qlCalendarAdvance(Calendar,O2524,NDays&amp;"D")</f>
        <v>57012</v>
      </c>
      <c r="Q2524" s="81" t="e">
        <v>#N/A</v>
      </c>
      <c r="R2524" s="85" t="e">
        <v>#N/A</v>
      </c>
    </row>
    <row r="2525" spans="14:18" x14ac:dyDescent="0.2">
      <c r="N2525" s="88" t="str">
        <f t="shared" si="45"/>
        <v>1w</v>
      </c>
      <c r="O2525" s="82">
        <f>_xll.qlCalendarAdvance(Calendar,O2524,N2525,"f",FALSE)</f>
        <v>57017</v>
      </c>
      <c r="P2525" s="92">
        <f>_xll.qlCalendarAdvance(Calendar,O2525,NDays&amp;"D")</f>
        <v>57019</v>
      </c>
      <c r="Q2525" s="81" t="e">
        <v>#N/A</v>
      </c>
      <c r="R2525" s="85" t="e">
        <v>#N/A</v>
      </c>
    </row>
    <row r="2526" spans="14:18" x14ac:dyDescent="0.2">
      <c r="N2526" s="88" t="str">
        <f t="shared" si="45"/>
        <v>1w</v>
      </c>
      <c r="O2526" s="82">
        <f>_xll.qlCalendarAdvance(Calendar,O2525,N2526,"f",FALSE)</f>
        <v>57024</v>
      </c>
      <c r="P2526" s="92">
        <f>_xll.qlCalendarAdvance(Calendar,O2526,NDays&amp;"D")</f>
        <v>57026</v>
      </c>
      <c r="Q2526" s="81" t="e">
        <v>#N/A</v>
      </c>
      <c r="R2526" s="85" t="e">
        <v>#N/A</v>
      </c>
    </row>
    <row r="2527" spans="14:18" x14ac:dyDescent="0.2">
      <c r="N2527" s="88" t="str">
        <f t="shared" si="45"/>
        <v>1w</v>
      </c>
      <c r="O2527" s="82">
        <f>_xll.qlCalendarAdvance(Calendar,O2526,N2527,"f",FALSE)</f>
        <v>57031</v>
      </c>
      <c r="P2527" s="92">
        <f>_xll.qlCalendarAdvance(Calendar,O2527,NDays&amp;"D")</f>
        <v>57033</v>
      </c>
      <c r="Q2527" s="81" t="e">
        <v>#N/A</v>
      </c>
      <c r="R2527" s="85" t="e">
        <v>#N/A</v>
      </c>
    </row>
    <row r="2528" spans="14:18" x14ac:dyDescent="0.2">
      <c r="N2528" s="88" t="str">
        <f t="shared" si="45"/>
        <v>1w</v>
      </c>
      <c r="O2528" s="82">
        <f>_xll.qlCalendarAdvance(Calendar,O2527,N2528,"f",FALSE)</f>
        <v>57038</v>
      </c>
      <c r="P2528" s="92">
        <f>_xll.qlCalendarAdvance(Calendar,O2528,NDays&amp;"D")</f>
        <v>57040</v>
      </c>
      <c r="Q2528" s="81" t="e">
        <v>#N/A</v>
      </c>
      <c r="R2528" s="85" t="e">
        <v>#N/A</v>
      </c>
    </row>
    <row r="2529" spans="14:18" x14ac:dyDescent="0.2">
      <c r="N2529" s="88" t="str">
        <f t="shared" si="45"/>
        <v>1w</v>
      </c>
      <c r="O2529" s="82">
        <f>_xll.qlCalendarAdvance(Calendar,O2528,N2529,"f",FALSE)</f>
        <v>57045</v>
      </c>
      <c r="P2529" s="92">
        <f>_xll.qlCalendarAdvance(Calendar,O2529,NDays&amp;"D")</f>
        <v>57047</v>
      </c>
      <c r="Q2529" s="81" t="e">
        <v>#N/A</v>
      </c>
      <c r="R2529" s="85" t="e">
        <v>#N/A</v>
      </c>
    </row>
    <row r="2530" spans="14:18" x14ac:dyDescent="0.2">
      <c r="N2530" s="88" t="str">
        <f t="shared" si="45"/>
        <v>1w</v>
      </c>
      <c r="O2530" s="82">
        <f>_xll.qlCalendarAdvance(Calendar,O2529,N2530,"f",FALSE)</f>
        <v>57052</v>
      </c>
      <c r="P2530" s="92">
        <f>_xll.qlCalendarAdvance(Calendar,O2530,NDays&amp;"D")</f>
        <v>57054</v>
      </c>
      <c r="Q2530" s="81" t="e">
        <v>#N/A</v>
      </c>
      <c r="R2530" s="85" t="e">
        <v>#N/A</v>
      </c>
    </row>
    <row r="2531" spans="14:18" x14ac:dyDescent="0.2">
      <c r="N2531" s="88" t="str">
        <f t="shared" si="45"/>
        <v>1w</v>
      </c>
      <c r="O2531" s="82">
        <f>_xll.qlCalendarAdvance(Calendar,O2530,N2531,"f",FALSE)</f>
        <v>57059</v>
      </c>
      <c r="P2531" s="92">
        <f>_xll.qlCalendarAdvance(Calendar,O2531,NDays&amp;"D")</f>
        <v>57061</v>
      </c>
      <c r="Q2531" s="81" t="e">
        <v>#N/A</v>
      </c>
      <c r="R2531" s="85" t="e">
        <v>#N/A</v>
      </c>
    </row>
    <row r="2532" spans="14:18" x14ac:dyDescent="0.2">
      <c r="N2532" s="88" t="str">
        <f t="shared" si="45"/>
        <v>1w</v>
      </c>
      <c r="O2532" s="82">
        <f>_xll.qlCalendarAdvance(Calendar,O2531,N2532,"f",FALSE)</f>
        <v>57066</v>
      </c>
      <c r="P2532" s="92">
        <f>_xll.qlCalendarAdvance(Calendar,O2532,NDays&amp;"D")</f>
        <v>57068</v>
      </c>
      <c r="Q2532" s="81" t="e">
        <v>#N/A</v>
      </c>
      <c r="R2532" s="85" t="e">
        <v>#N/A</v>
      </c>
    </row>
    <row r="2533" spans="14:18" x14ac:dyDescent="0.2">
      <c r="N2533" s="88" t="str">
        <f t="shared" si="45"/>
        <v>1w</v>
      </c>
      <c r="O2533" s="82">
        <f>_xll.qlCalendarAdvance(Calendar,O2532,N2533,"f",FALSE)</f>
        <v>57074</v>
      </c>
      <c r="P2533" s="92">
        <f>_xll.qlCalendarAdvance(Calendar,O2533,NDays&amp;"D")</f>
        <v>57076</v>
      </c>
      <c r="Q2533" s="81" t="e">
        <v>#N/A</v>
      </c>
      <c r="R2533" s="85" t="e">
        <v>#N/A</v>
      </c>
    </row>
    <row r="2534" spans="14:18" x14ac:dyDescent="0.2">
      <c r="N2534" s="88" t="str">
        <f t="shared" si="45"/>
        <v>1w</v>
      </c>
      <c r="O2534" s="82">
        <f>_xll.qlCalendarAdvance(Calendar,O2533,N2534,"f",FALSE)</f>
        <v>57081</v>
      </c>
      <c r="P2534" s="92">
        <f>_xll.qlCalendarAdvance(Calendar,O2534,NDays&amp;"D")</f>
        <v>57083</v>
      </c>
      <c r="Q2534" s="81" t="e">
        <v>#N/A</v>
      </c>
      <c r="R2534" s="85" t="e">
        <v>#N/A</v>
      </c>
    </row>
    <row r="2535" spans="14:18" x14ac:dyDescent="0.2">
      <c r="N2535" s="88" t="str">
        <f t="shared" si="45"/>
        <v>1w</v>
      </c>
      <c r="O2535" s="82">
        <f>_xll.qlCalendarAdvance(Calendar,O2534,N2535,"f",FALSE)</f>
        <v>57088</v>
      </c>
      <c r="P2535" s="92">
        <f>_xll.qlCalendarAdvance(Calendar,O2535,NDays&amp;"D")</f>
        <v>57090</v>
      </c>
      <c r="Q2535" s="81" t="e">
        <v>#N/A</v>
      </c>
      <c r="R2535" s="85" t="e">
        <v>#N/A</v>
      </c>
    </row>
    <row r="2536" spans="14:18" x14ac:dyDescent="0.2">
      <c r="N2536" s="88" t="str">
        <f t="shared" si="45"/>
        <v>1w</v>
      </c>
      <c r="O2536" s="82">
        <f>_xll.qlCalendarAdvance(Calendar,O2535,N2536,"f",FALSE)</f>
        <v>57095</v>
      </c>
      <c r="P2536" s="92">
        <f>_xll.qlCalendarAdvance(Calendar,O2536,NDays&amp;"D")</f>
        <v>57097</v>
      </c>
      <c r="Q2536" s="81" t="e">
        <v>#N/A</v>
      </c>
      <c r="R2536" s="85" t="e">
        <v>#N/A</v>
      </c>
    </row>
    <row r="2537" spans="14:18" x14ac:dyDescent="0.2">
      <c r="N2537" s="88" t="str">
        <f t="shared" si="45"/>
        <v>1w</v>
      </c>
      <c r="O2537" s="82">
        <f>_xll.qlCalendarAdvance(Calendar,O2536,N2537,"f",FALSE)</f>
        <v>57102</v>
      </c>
      <c r="P2537" s="92">
        <f>_xll.qlCalendarAdvance(Calendar,O2537,NDays&amp;"D")</f>
        <v>57104</v>
      </c>
      <c r="Q2537" s="81" t="e">
        <v>#N/A</v>
      </c>
      <c r="R2537" s="85" t="e">
        <v>#N/A</v>
      </c>
    </row>
    <row r="2538" spans="14:18" x14ac:dyDescent="0.2">
      <c r="N2538" s="88" t="str">
        <f t="shared" si="45"/>
        <v>1w</v>
      </c>
      <c r="O2538" s="82">
        <f>_xll.qlCalendarAdvance(Calendar,O2537,N2538,"f",FALSE)</f>
        <v>57109</v>
      </c>
      <c r="P2538" s="92">
        <f>_xll.qlCalendarAdvance(Calendar,O2538,NDays&amp;"D")</f>
        <v>57112</v>
      </c>
      <c r="Q2538" s="81" t="e">
        <v>#N/A</v>
      </c>
      <c r="R2538" s="85" t="e">
        <v>#N/A</v>
      </c>
    </row>
    <row r="2539" spans="14:18" x14ac:dyDescent="0.2">
      <c r="N2539" s="88" t="str">
        <f t="shared" si="45"/>
        <v>1w</v>
      </c>
      <c r="O2539" s="82">
        <f>_xll.qlCalendarAdvance(Calendar,O2538,N2539,"f",FALSE)</f>
        <v>57116</v>
      </c>
      <c r="P2539" s="92">
        <f>_xll.qlCalendarAdvance(Calendar,O2539,NDays&amp;"D")</f>
        <v>57118</v>
      </c>
      <c r="Q2539" s="81" t="e">
        <v>#N/A</v>
      </c>
      <c r="R2539" s="85" t="e">
        <v>#N/A</v>
      </c>
    </row>
    <row r="2540" spans="14:18" x14ac:dyDescent="0.2">
      <c r="N2540" s="88" t="str">
        <f t="shared" si="45"/>
        <v>1w</v>
      </c>
      <c r="O2540" s="82">
        <f>_xll.qlCalendarAdvance(Calendar,O2539,N2540,"f",FALSE)</f>
        <v>57123</v>
      </c>
      <c r="P2540" s="92">
        <f>_xll.qlCalendarAdvance(Calendar,O2540,NDays&amp;"D")</f>
        <v>57125</v>
      </c>
      <c r="Q2540" s="81" t="e">
        <v>#N/A</v>
      </c>
      <c r="R2540" s="85" t="e">
        <v>#N/A</v>
      </c>
    </row>
    <row r="2541" spans="14:18" x14ac:dyDescent="0.2">
      <c r="N2541" s="88" t="str">
        <f t="shared" si="45"/>
        <v>1w</v>
      </c>
      <c r="O2541" s="82">
        <f>_xll.qlCalendarAdvance(Calendar,O2540,N2541,"f",FALSE)</f>
        <v>57130</v>
      </c>
      <c r="P2541" s="92">
        <f>_xll.qlCalendarAdvance(Calendar,O2541,NDays&amp;"D")</f>
        <v>57132</v>
      </c>
      <c r="Q2541" s="81" t="e">
        <v>#N/A</v>
      </c>
      <c r="R2541" s="85" t="e">
        <v>#N/A</v>
      </c>
    </row>
    <row r="2542" spans="14:18" x14ac:dyDescent="0.2">
      <c r="N2542" s="88" t="str">
        <f t="shared" si="45"/>
        <v>1w</v>
      </c>
      <c r="O2542" s="82">
        <f>_xll.qlCalendarAdvance(Calendar,O2541,N2542,"f",FALSE)</f>
        <v>57137</v>
      </c>
      <c r="P2542" s="92">
        <f>_xll.qlCalendarAdvance(Calendar,O2542,NDays&amp;"D")</f>
        <v>57139</v>
      </c>
      <c r="Q2542" s="81" t="e">
        <v>#N/A</v>
      </c>
      <c r="R2542" s="85" t="e">
        <v>#N/A</v>
      </c>
    </row>
    <row r="2543" spans="14:18" x14ac:dyDescent="0.2">
      <c r="N2543" s="88" t="str">
        <f t="shared" si="45"/>
        <v>1w</v>
      </c>
      <c r="O2543" s="82">
        <f>_xll.qlCalendarAdvance(Calendar,O2542,N2543,"f",FALSE)</f>
        <v>57144</v>
      </c>
      <c r="P2543" s="92">
        <f>_xll.qlCalendarAdvance(Calendar,O2543,NDays&amp;"D")</f>
        <v>57146</v>
      </c>
      <c r="Q2543" s="81" t="e">
        <v>#N/A</v>
      </c>
      <c r="R2543" s="85" t="e">
        <v>#N/A</v>
      </c>
    </row>
    <row r="2544" spans="14:18" x14ac:dyDescent="0.2">
      <c r="N2544" s="88" t="str">
        <f t="shared" si="45"/>
        <v>1w</v>
      </c>
      <c r="O2544" s="82">
        <f>_xll.qlCalendarAdvance(Calendar,O2543,N2544,"f",FALSE)</f>
        <v>57151</v>
      </c>
      <c r="P2544" s="92">
        <f>_xll.qlCalendarAdvance(Calendar,O2544,NDays&amp;"D")</f>
        <v>57153</v>
      </c>
      <c r="Q2544" s="81" t="e">
        <v>#N/A</v>
      </c>
      <c r="R2544" s="85" t="e">
        <v>#N/A</v>
      </c>
    </row>
    <row r="2545" spans="14:18" x14ac:dyDescent="0.2">
      <c r="N2545" s="88" t="str">
        <f t="shared" si="45"/>
        <v>1w</v>
      </c>
      <c r="O2545" s="82">
        <f>_xll.qlCalendarAdvance(Calendar,O2544,N2545,"f",FALSE)</f>
        <v>57158</v>
      </c>
      <c r="P2545" s="92">
        <f>_xll.qlCalendarAdvance(Calendar,O2545,NDays&amp;"D")</f>
        <v>57160</v>
      </c>
      <c r="Q2545" s="81" t="e">
        <v>#N/A</v>
      </c>
      <c r="R2545" s="85" t="e">
        <v>#N/A</v>
      </c>
    </row>
    <row r="2546" spans="14:18" x14ac:dyDescent="0.2">
      <c r="N2546" s="88" t="str">
        <f t="shared" si="45"/>
        <v>1w</v>
      </c>
      <c r="O2546" s="82">
        <f>_xll.qlCalendarAdvance(Calendar,O2545,N2546,"f",FALSE)</f>
        <v>57165</v>
      </c>
      <c r="P2546" s="92">
        <f>_xll.qlCalendarAdvance(Calendar,O2546,NDays&amp;"D")</f>
        <v>57167</v>
      </c>
      <c r="Q2546" s="81" t="e">
        <v>#N/A</v>
      </c>
      <c r="R2546" s="85" t="e">
        <v>#N/A</v>
      </c>
    </row>
    <row r="2547" spans="14:18" x14ac:dyDescent="0.2">
      <c r="N2547" s="88" t="str">
        <f t="shared" si="45"/>
        <v>1w</v>
      </c>
      <c r="O2547" s="82">
        <f>_xll.qlCalendarAdvance(Calendar,O2546,N2547,"f",FALSE)</f>
        <v>57172</v>
      </c>
      <c r="P2547" s="92">
        <f>_xll.qlCalendarAdvance(Calendar,O2547,NDays&amp;"D")</f>
        <v>57174</v>
      </c>
      <c r="Q2547" s="81" t="e">
        <v>#N/A</v>
      </c>
      <c r="R2547" s="85" t="e">
        <v>#N/A</v>
      </c>
    </row>
    <row r="2548" spans="14:18" x14ac:dyDescent="0.2">
      <c r="N2548" s="88" t="str">
        <f t="shared" si="45"/>
        <v>1w</v>
      </c>
      <c r="O2548" s="82">
        <f>_xll.qlCalendarAdvance(Calendar,O2547,N2548,"f",FALSE)</f>
        <v>57179</v>
      </c>
      <c r="P2548" s="92">
        <f>_xll.qlCalendarAdvance(Calendar,O2548,NDays&amp;"D")</f>
        <v>57181</v>
      </c>
      <c r="Q2548" s="81" t="e">
        <v>#N/A</v>
      </c>
      <c r="R2548" s="85" t="e">
        <v>#N/A</v>
      </c>
    </row>
    <row r="2549" spans="14:18" x14ac:dyDescent="0.2">
      <c r="N2549" s="88" t="str">
        <f t="shared" si="45"/>
        <v>1w</v>
      </c>
      <c r="O2549" s="82">
        <f>_xll.qlCalendarAdvance(Calendar,O2548,N2549,"f",FALSE)</f>
        <v>57186</v>
      </c>
      <c r="P2549" s="92">
        <f>_xll.qlCalendarAdvance(Calendar,O2549,NDays&amp;"D")</f>
        <v>57188</v>
      </c>
      <c r="Q2549" s="81" t="e">
        <v>#N/A</v>
      </c>
      <c r="R2549" s="85" t="e">
        <v>#N/A</v>
      </c>
    </row>
    <row r="2550" spans="14:18" x14ac:dyDescent="0.2">
      <c r="N2550" s="88" t="str">
        <f t="shared" si="45"/>
        <v>1w</v>
      </c>
      <c r="O2550" s="82">
        <f>_xll.qlCalendarAdvance(Calendar,O2549,N2550,"f",FALSE)</f>
        <v>57193</v>
      </c>
      <c r="P2550" s="92">
        <f>_xll.qlCalendarAdvance(Calendar,O2550,NDays&amp;"D")</f>
        <v>57195</v>
      </c>
      <c r="Q2550" s="81" t="e">
        <v>#N/A</v>
      </c>
      <c r="R2550" s="85" t="e">
        <v>#N/A</v>
      </c>
    </row>
    <row r="2551" spans="14:18" x14ac:dyDescent="0.2">
      <c r="N2551" s="88" t="str">
        <f t="shared" si="45"/>
        <v>1w</v>
      </c>
      <c r="O2551" s="82">
        <f>_xll.qlCalendarAdvance(Calendar,O2550,N2551,"f",FALSE)</f>
        <v>57200</v>
      </c>
      <c r="P2551" s="92">
        <f>_xll.qlCalendarAdvance(Calendar,O2551,NDays&amp;"D")</f>
        <v>57202</v>
      </c>
      <c r="Q2551" s="81" t="e">
        <v>#N/A</v>
      </c>
      <c r="R2551" s="85" t="e">
        <v>#N/A</v>
      </c>
    </row>
    <row r="2552" spans="14:18" x14ac:dyDescent="0.2">
      <c r="N2552" s="88" t="str">
        <f t="shared" si="45"/>
        <v>1w</v>
      </c>
      <c r="O2552" s="82">
        <f>_xll.qlCalendarAdvance(Calendar,O2551,N2552,"f",FALSE)</f>
        <v>57207</v>
      </c>
      <c r="P2552" s="92">
        <f>_xll.qlCalendarAdvance(Calendar,O2552,NDays&amp;"D")</f>
        <v>57209</v>
      </c>
      <c r="Q2552" s="81" t="e">
        <v>#N/A</v>
      </c>
      <c r="R2552" s="85" t="e">
        <v>#N/A</v>
      </c>
    </row>
    <row r="2553" spans="14:18" x14ac:dyDescent="0.2">
      <c r="N2553" s="88" t="str">
        <f t="shared" si="45"/>
        <v>1w</v>
      </c>
      <c r="O2553" s="82">
        <f>_xll.qlCalendarAdvance(Calendar,O2552,N2553,"f",FALSE)</f>
        <v>57214</v>
      </c>
      <c r="P2553" s="92">
        <f>_xll.qlCalendarAdvance(Calendar,O2553,NDays&amp;"D")</f>
        <v>57216</v>
      </c>
      <c r="Q2553" s="81" t="e">
        <v>#N/A</v>
      </c>
      <c r="R2553" s="85" t="e">
        <v>#N/A</v>
      </c>
    </row>
    <row r="2554" spans="14:18" x14ac:dyDescent="0.2">
      <c r="N2554" s="88" t="str">
        <f t="shared" si="45"/>
        <v>1w</v>
      </c>
      <c r="O2554" s="82">
        <f>_xll.qlCalendarAdvance(Calendar,O2553,N2554,"f",FALSE)</f>
        <v>57221</v>
      </c>
      <c r="P2554" s="92">
        <f>_xll.qlCalendarAdvance(Calendar,O2554,NDays&amp;"D")</f>
        <v>57223</v>
      </c>
      <c r="Q2554" s="81" t="e">
        <v>#N/A</v>
      </c>
      <c r="R2554" s="85" t="e">
        <v>#N/A</v>
      </c>
    </row>
    <row r="2555" spans="14:18" x14ac:dyDescent="0.2">
      <c r="N2555" s="88" t="str">
        <f t="shared" si="45"/>
        <v>1w</v>
      </c>
      <c r="O2555" s="82">
        <f>_xll.qlCalendarAdvance(Calendar,O2554,N2555,"f",FALSE)</f>
        <v>57228</v>
      </c>
      <c r="P2555" s="92">
        <f>_xll.qlCalendarAdvance(Calendar,O2555,NDays&amp;"D")</f>
        <v>57230</v>
      </c>
      <c r="Q2555" s="81" t="e">
        <v>#N/A</v>
      </c>
      <c r="R2555" s="85" t="e">
        <v>#N/A</v>
      </c>
    </row>
    <row r="2556" spans="14:18" x14ac:dyDescent="0.2">
      <c r="N2556" s="88" t="str">
        <f t="shared" si="45"/>
        <v>1w</v>
      </c>
      <c r="O2556" s="82">
        <f>_xll.qlCalendarAdvance(Calendar,O2555,N2556,"f",FALSE)</f>
        <v>57235</v>
      </c>
      <c r="P2556" s="92">
        <f>_xll.qlCalendarAdvance(Calendar,O2556,NDays&amp;"D")</f>
        <v>57237</v>
      </c>
      <c r="Q2556" s="81" t="e">
        <v>#N/A</v>
      </c>
      <c r="R2556" s="85" t="e">
        <v>#N/A</v>
      </c>
    </row>
    <row r="2557" spans="14:18" x14ac:dyDescent="0.2">
      <c r="N2557" s="88" t="str">
        <f t="shared" si="45"/>
        <v>1w</v>
      </c>
      <c r="O2557" s="82">
        <f>_xll.qlCalendarAdvance(Calendar,O2556,N2557,"f",FALSE)</f>
        <v>57242</v>
      </c>
      <c r="P2557" s="92">
        <f>_xll.qlCalendarAdvance(Calendar,O2557,NDays&amp;"D")</f>
        <v>57244</v>
      </c>
      <c r="Q2557" s="81" t="e">
        <v>#N/A</v>
      </c>
      <c r="R2557" s="85" t="e">
        <v>#N/A</v>
      </c>
    </row>
    <row r="2558" spans="14:18" x14ac:dyDescent="0.2">
      <c r="N2558" s="88" t="str">
        <f t="shared" si="45"/>
        <v>1w</v>
      </c>
      <c r="O2558" s="82">
        <f>_xll.qlCalendarAdvance(Calendar,O2557,N2558,"f",FALSE)</f>
        <v>57249</v>
      </c>
      <c r="P2558" s="92">
        <f>_xll.qlCalendarAdvance(Calendar,O2558,NDays&amp;"D")</f>
        <v>57251</v>
      </c>
      <c r="Q2558" s="81" t="e">
        <v>#N/A</v>
      </c>
      <c r="R2558" s="85" t="e">
        <v>#N/A</v>
      </c>
    </row>
    <row r="2559" spans="14:18" x14ac:dyDescent="0.2">
      <c r="N2559" s="88" t="str">
        <f t="shared" si="45"/>
        <v>1w</v>
      </c>
      <c r="O2559" s="82">
        <f>_xll.qlCalendarAdvance(Calendar,O2558,N2559,"f",FALSE)</f>
        <v>57256</v>
      </c>
      <c r="P2559" s="92">
        <f>_xll.qlCalendarAdvance(Calendar,O2559,NDays&amp;"D")</f>
        <v>57258</v>
      </c>
      <c r="Q2559" s="81" t="e">
        <v>#N/A</v>
      </c>
      <c r="R2559" s="85" t="e">
        <v>#N/A</v>
      </c>
    </row>
    <row r="2560" spans="14:18" x14ac:dyDescent="0.2">
      <c r="N2560" s="88" t="str">
        <f t="shared" si="45"/>
        <v>1w</v>
      </c>
      <c r="O2560" s="82">
        <f>_xll.qlCalendarAdvance(Calendar,O2559,N2560,"f",FALSE)</f>
        <v>57263</v>
      </c>
      <c r="P2560" s="92">
        <f>_xll.qlCalendarAdvance(Calendar,O2560,NDays&amp;"D")</f>
        <v>57265</v>
      </c>
      <c r="Q2560" s="81" t="e">
        <v>#N/A</v>
      </c>
      <c r="R2560" s="85" t="e">
        <v>#N/A</v>
      </c>
    </row>
    <row r="2561" spans="14:18" x14ac:dyDescent="0.2">
      <c r="N2561" s="88" t="str">
        <f t="shared" si="45"/>
        <v>1w</v>
      </c>
      <c r="O2561" s="82">
        <f>_xll.qlCalendarAdvance(Calendar,O2560,N2561,"f",FALSE)</f>
        <v>57270</v>
      </c>
      <c r="P2561" s="92">
        <f>_xll.qlCalendarAdvance(Calendar,O2561,NDays&amp;"D")</f>
        <v>57272</v>
      </c>
      <c r="Q2561" s="81" t="e">
        <v>#N/A</v>
      </c>
      <c r="R2561" s="85" t="e">
        <v>#N/A</v>
      </c>
    </row>
    <row r="2562" spans="14:18" x14ac:dyDescent="0.2">
      <c r="N2562" s="88" t="str">
        <f t="shared" si="45"/>
        <v>1w</v>
      </c>
      <c r="O2562" s="82">
        <f>_xll.qlCalendarAdvance(Calendar,O2561,N2562,"f",FALSE)</f>
        <v>57277</v>
      </c>
      <c r="P2562" s="92">
        <f>_xll.qlCalendarAdvance(Calendar,O2562,NDays&amp;"D")</f>
        <v>57279</v>
      </c>
      <c r="Q2562" s="81" t="e">
        <v>#N/A</v>
      </c>
      <c r="R2562" s="85" t="e">
        <v>#N/A</v>
      </c>
    </row>
    <row r="2563" spans="14:18" x14ac:dyDescent="0.2">
      <c r="N2563" s="88" t="str">
        <f t="shared" si="45"/>
        <v>1w</v>
      </c>
      <c r="O2563" s="82">
        <f>_xll.qlCalendarAdvance(Calendar,O2562,N2563,"f",FALSE)</f>
        <v>57284</v>
      </c>
      <c r="P2563" s="92">
        <f>_xll.qlCalendarAdvance(Calendar,O2563,NDays&amp;"D")</f>
        <v>57286</v>
      </c>
      <c r="Q2563" s="81" t="e">
        <v>#N/A</v>
      </c>
      <c r="R2563" s="85" t="e">
        <v>#N/A</v>
      </c>
    </row>
    <row r="2564" spans="14:18" x14ac:dyDescent="0.2">
      <c r="N2564" s="88" t="str">
        <f t="shared" si="45"/>
        <v>1w</v>
      </c>
      <c r="O2564" s="82">
        <f>_xll.qlCalendarAdvance(Calendar,O2563,N2564,"f",FALSE)</f>
        <v>57291</v>
      </c>
      <c r="P2564" s="92">
        <f>_xll.qlCalendarAdvance(Calendar,O2564,NDays&amp;"D")</f>
        <v>57293</v>
      </c>
      <c r="Q2564" s="81" t="e">
        <v>#N/A</v>
      </c>
      <c r="R2564" s="85" t="e">
        <v>#N/A</v>
      </c>
    </row>
    <row r="2565" spans="14:18" x14ac:dyDescent="0.2">
      <c r="N2565" s="88" t="str">
        <f t="shared" si="45"/>
        <v>1w</v>
      </c>
      <c r="O2565" s="82">
        <f>_xll.qlCalendarAdvance(Calendar,O2564,N2565,"f",FALSE)</f>
        <v>57298</v>
      </c>
      <c r="P2565" s="92">
        <f>_xll.qlCalendarAdvance(Calendar,O2565,NDays&amp;"D")</f>
        <v>57300</v>
      </c>
      <c r="Q2565" s="81" t="e">
        <v>#N/A</v>
      </c>
      <c r="R2565" s="85" t="e">
        <v>#N/A</v>
      </c>
    </row>
    <row r="2566" spans="14:18" x14ac:dyDescent="0.2">
      <c r="N2566" s="88" t="str">
        <f t="shared" si="45"/>
        <v>1w</v>
      </c>
      <c r="O2566" s="82">
        <f>_xll.qlCalendarAdvance(Calendar,O2565,N2566,"f",FALSE)</f>
        <v>57305</v>
      </c>
      <c r="P2566" s="92">
        <f>_xll.qlCalendarAdvance(Calendar,O2566,NDays&amp;"D")</f>
        <v>57307</v>
      </c>
      <c r="Q2566" s="81" t="e">
        <v>#N/A</v>
      </c>
      <c r="R2566" s="85" t="e">
        <v>#N/A</v>
      </c>
    </row>
    <row r="2567" spans="14:18" x14ac:dyDescent="0.2">
      <c r="N2567" s="88" t="str">
        <f t="shared" si="45"/>
        <v>1w</v>
      </c>
      <c r="O2567" s="82">
        <f>_xll.qlCalendarAdvance(Calendar,O2566,N2567,"f",FALSE)</f>
        <v>57312</v>
      </c>
      <c r="P2567" s="92">
        <f>_xll.qlCalendarAdvance(Calendar,O2567,NDays&amp;"D")</f>
        <v>57314</v>
      </c>
      <c r="Q2567" s="81" t="e">
        <v>#N/A</v>
      </c>
      <c r="R2567" s="85" t="e">
        <v>#N/A</v>
      </c>
    </row>
    <row r="2568" spans="14:18" x14ac:dyDescent="0.2">
      <c r="N2568" s="88" t="str">
        <f t="shared" si="45"/>
        <v>1w</v>
      </c>
      <c r="O2568" s="82">
        <f>_xll.qlCalendarAdvance(Calendar,O2567,N2568,"f",FALSE)</f>
        <v>57319</v>
      </c>
      <c r="P2568" s="92">
        <f>_xll.qlCalendarAdvance(Calendar,O2568,NDays&amp;"D")</f>
        <v>57321</v>
      </c>
      <c r="Q2568" s="81" t="e">
        <v>#N/A</v>
      </c>
      <c r="R2568" s="85" t="e">
        <v>#N/A</v>
      </c>
    </row>
    <row r="2569" spans="14:18" x14ac:dyDescent="0.2">
      <c r="N2569" s="88" t="str">
        <f t="shared" si="45"/>
        <v>1w</v>
      </c>
      <c r="O2569" s="82">
        <f>_xll.qlCalendarAdvance(Calendar,O2568,N2569,"f",FALSE)</f>
        <v>57326</v>
      </c>
      <c r="P2569" s="92">
        <f>_xll.qlCalendarAdvance(Calendar,O2569,NDays&amp;"D")</f>
        <v>57328</v>
      </c>
      <c r="Q2569" s="81" t="e">
        <v>#N/A</v>
      </c>
      <c r="R2569" s="85" t="e">
        <v>#N/A</v>
      </c>
    </row>
    <row r="2570" spans="14:18" x14ac:dyDescent="0.2">
      <c r="N2570" s="88" t="str">
        <f t="shared" si="45"/>
        <v>1w</v>
      </c>
      <c r="O2570" s="82">
        <f>_xll.qlCalendarAdvance(Calendar,O2569,N2570,"f",FALSE)</f>
        <v>57333</v>
      </c>
      <c r="P2570" s="92">
        <f>_xll.qlCalendarAdvance(Calendar,O2570,NDays&amp;"D")</f>
        <v>57335</v>
      </c>
      <c r="Q2570" s="81" t="e">
        <v>#N/A</v>
      </c>
      <c r="R2570" s="85" t="e">
        <v>#N/A</v>
      </c>
    </row>
    <row r="2571" spans="14:18" x14ac:dyDescent="0.2">
      <c r="N2571" s="88" t="str">
        <f t="shared" si="45"/>
        <v>1w</v>
      </c>
      <c r="O2571" s="82">
        <f>_xll.qlCalendarAdvance(Calendar,O2570,N2571,"f",FALSE)</f>
        <v>57341</v>
      </c>
      <c r="P2571" s="92">
        <f>_xll.qlCalendarAdvance(Calendar,O2571,NDays&amp;"D")</f>
        <v>57343</v>
      </c>
      <c r="Q2571" s="81" t="e">
        <v>#N/A</v>
      </c>
      <c r="R2571" s="85" t="e">
        <v>#N/A</v>
      </c>
    </row>
    <row r="2572" spans="14:18" x14ac:dyDescent="0.2">
      <c r="N2572" s="88" t="str">
        <f t="shared" si="45"/>
        <v>1w</v>
      </c>
      <c r="O2572" s="82">
        <f>_xll.qlCalendarAdvance(Calendar,O2571,N2572,"f",FALSE)</f>
        <v>57348</v>
      </c>
      <c r="P2572" s="92">
        <f>_xll.qlCalendarAdvance(Calendar,O2572,NDays&amp;"D")</f>
        <v>57350</v>
      </c>
      <c r="Q2572" s="81" t="e">
        <v>#N/A</v>
      </c>
      <c r="R2572" s="85" t="e">
        <v>#N/A</v>
      </c>
    </row>
    <row r="2573" spans="14:18" x14ac:dyDescent="0.2">
      <c r="N2573" s="88" t="str">
        <f t="shared" si="45"/>
        <v>1w</v>
      </c>
      <c r="O2573" s="82">
        <f>_xll.qlCalendarAdvance(Calendar,O2572,N2573,"f",FALSE)</f>
        <v>57355</v>
      </c>
      <c r="P2573" s="92">
        <f>_xll.qlCalendarAdvance(Calendar,O2573,NDays&amp;"D")</f>
        <v>57357</v>
      </c>
      <c r="Q2573" s="81" t="e">
        <v>#N/A</v>
      </c>
      <c r="R2573" s="85" t="e">
        <v>#N/A</v>
      </c>
    </row>
    <row r="2574" spans="14:18" x14ac:dyDescent="0.2">
      <c r="N2574" s="88" t="str">
        <f t="shared" si="45"/>
        <v>1w</v>
      </c>
      <c r="O2574" s="82">
        <f>_xll.qlCalendarAdvance(Calendar,O2573,N2574,"f",FALSE)</f>
        <v>57362</v>
      </c>
      <c r="P2574" s="92">
        <f>_xll.qlCalendarAdvance(Calendar,O2574,NDays&amp;"D")</f>
        <v>57364</v>
      </c>
      <c r="Q2574" s="81" t="e">
        <v>#N/A</v>
      </c>
      <c r="R2574" s="85" t="e">
        <v>#N/A</v>
      </c>
    </row>
    <row r="2575" spans="14:18" x14ac:dyDescent="0.2">
      <c r="N2575" s="88" t="str">
        <f t="shared" si="45"/>
        <v>1w</v>
      </c>
      <c r="O2575" s="82">
        <f>_xll.qlCalendarAdvance(Calendar,O2574,N2575,"f",FALSE)</f>
        <v>57369</v>
      </c>
      <c r="P2575" s="92">
        <f>_xll.qlCalendarAdvance(Calendar,O2575,NDays&amp;"D")</f>
        <v>57371</v>
      </c>
      <c r="Q2575" s="81" t="e">
        <v>#N/A</v>
      </c>
      <c r="R2575" s="85" t="e">
        <v>#N/A</v>
      </c>
    </row>
    <row r="2576" spans="14:18" x14ac:dyDescent="0.2">
      <c r="N2576" s="88" t="str">
        <f t="shared" si="45"/>
        <v>1w</v>
      </c>
      <c r="O2576" s="82">
        <f>_xll.qlCalendarAdvance(Calendar,O2575,N2576,"f",FALSE)</f>
        <v>57376</v>
      </c>
      <c r="P2576" s="92">
        <f>_xll.qlCalendarAdvance(Calendar,O2576,NDays&amp;"D")</f>
        <v>57378</v>
      </c>
      <c r="Q2576" s="81" t="e">
        <v>#N/A</v>
      </c>
      <c r="R2576" s="85" t="e">
        <v>#N/A</v>
      </c>
    </row>
    <row r="2577" spans="14:18" x14ac:dyDescent="0.2">
      <c r="N2577" s="88" t="str">
        <f t="shared" si="45"/>
        <v>1w</v>
      </c>
      <c r="O2577" s="82">
        <f>_xll.qlCalendarAdvance(Calendar,O2576,N2577,"f",FALSE)</f>
        <v>57383</v>
      </c>
      <c r="P2577" s="92">
        <f>_xll.qlCalendarAdvance(Calendar,O2577,NDays&amp;"D")</f>
        <v>57385</v>
      </c>
      <c r="Q2577" s="81" t="e">
        <v>#N/A</v>
      </c>
      <c r="R2577" s="85" t="e">
        <v>#N/A</v>
      </c>
    </row>
    <row r="2578" spans="14:18" x14ac:dyDescent="0.2">
      <c r="N2578" s="88" t="str">
        <f t="shared" si="45"/>
        <v>1w</v>
      </c>
      <c r="O2578" s="82">
        <f>_xll.qlCalendarAdvance(Calendar,O2577,N2578,"f",FALSE)</f>
        <v>57390</v>
      </c>
      <c r="P2578" s="92">
        <f>_xll.qlCalendarAdvance(Calendar,O2578,NDays&amp;"D")</f>
        <v>57392</v>
      </c>
      <c r="Q2578" s="81" t="e">
        <v>#N/A</v>
      </c>
      <c r="R2578" s="85" t="e">
        <v>#N/A</v>
      </c>
    </row>
    <row r="2579" spans="14:18" x14ac:dyDescent="0.2">
      <c r="N2579" s="88" t="str">
        <f t="shared" si="45"/>
        <v>1w</v>
      </c>
      <c r="O2579" s="82">
        <f>_xll.qlCalendarAdvance(Calendar,O2578,N2579,"f",FALSE)</f>
        <v>57397</v>
      </c>
      <c r="P2579" s="92">
        <f>_xll.qlCalendarAdvance(Calendar,O2579,NDays&amp;"D")</f>
        <v>57399</v>
      </c>
      <c r="Q2579" s="81" t="e">
        <v>#N/A</v>
      </c>
      <c r="R2579" s="85" t="e">
        <v>#N/A</v>
      </c>
    </row>
    <row r="2580" spans="14:18" x14ac:dyDescent="0.2">
      <c r="N2580" s="88" t="str">
        <f t="shared" si="45"/>
        <v>1w</v>
      </c>
      <c r="O2580" s="82">
        <f>_xll.qlCalendarAdvance(Calendar,O2579,N2580,"f",FALSE)</f>
        <v>57404</v>
      </c>
      <c r="P2580" s="92">
        <f>_xll.qlCalendarAdvance(Calendar,O2580,NDays&amp;"D")</f>
        <v>57406</v>
      </c>
      <c r="Q2580" s="81" t="e">
        <v>#N/A</v>
      </c>
      <c r="R2580" s="85" t="e">
        <v>#N/A</v>
      </c>
    </row>
    <row r="2581" spans="14:18" x14ac:dyDescent="0.2">
      <c r="N2581" s="88" t="str">
        <f t="shared" ref="N2581:N2644" si="46">N2580</f>
        <v>1w</v>
      </c>
      <c r="O2581" s="82">
        <f>_xll.qlCalendarAdvance(Calendar,O2580,N2581,"f",FALSE)</f>
        <v>57411</v>
      </c>
      <c r="P2581" s="92">
        <f>_xll.qlCalendarAdvance(Calendar,O2581,NDays&amp;"D")</f>
        <v>57413</v>
      </c>
      <c r="Q2581" s="81" t="e">
        <v>#N/A</v>
      </c>
      <c r="R2581" s="85" t="e">
        <v>#N/A</v>
      </c>
    </row>
    <row r="2582" spans="14:18" x14ac:dyDescent="0.2">
      <c r="N2582" s="88" t="str">
        <f t="shared" si="46"/>
        <v>1w</v>
      </c>
      <c r="O2582" s="82">
        <f>_xll.qlCalendarAdvance(Calendar,O2581,N2582,"f",FALSE)</f>
        <v>57418</v>
      </c>
      <c r="P2582" s="92">
        <f>_xll.qlCalendarAdvance(Calendar,O2582,NDays&amp;"D")</f>
        <v>57420</v>
      </c>
      <c r="Q2582" s="81" t="e">
        <v>#N/A</v>
      </c>
      <c r="R2582" s="85" t="e">
        <v>#N/A</v>
      </c>
    </row>
    <row r="2583" spans="14:18" x14ac:dyDescent="0.2">
      <c r="N2583" s="88" t="str">
        <f t="shared" si="46"/>
        <v>1w</v>
      </c>
      <c r="O2583" s="82">
        <f>_xll.qlCalendarAdvance(Calendar,O2582,N2583,"f",FALSE)</f>
        <v>57425</v>
      </c>
      <c r="P2583" s="92">
        <f>_xll.qlCalendarAdvance(Calendar,O2583,NDays&amp;"D")</f>
        <v>57427</v>
      </c>
      <c r="Q2583" s="81" t="e">
        <v>#N/A</v>
      </c>
      <c r="R2583" s="85" t="e">
        <v>#N/A</v>
      </c>
    </row>
    <row r="2584" spans="14:18" x14ac:dyDescent="0.2">
      <c r="N2584" s="88" t="str">
        <f t="shared" si="46"/>
        <v>1w</v>
      </c>
      <c r="O2584" s="82">
        <f>_xll.qlCalendarAdvance(Calendar,O2583,N2584,"f",FALSE)</f>
        <v>57432</v>
      </c>
      <c r="P2584" s="92">
        <f>_xll.qlCalendarAdvance(Calendar,O2584,NDays&amp;"D")</f>
        <v>57434</v>
      </c>
      <c r="Q2584" s="81" t="e">
        <v>#N/A</v>
      </c>
      <c r="R2584" s="85" t="e">
        <v>#N/A</v>
      </c>
    </row>
    <row r="2585" spans="14:18" x14ac:dyDescent="0.2">
      <c r="N2585" s="88" t="str">
        <f t="shared" si="46"/>
        <v>1w</v>
      </c>
      <c r="O2585" s="82">
        <f>_xll.qlCalendarAdvance(Calendar,O2584,N2585,"f",FALSE)</f>
        <v>57439</v>
      </c>
      <c r="P2585" s="92">
        <f>_xll.qlCalendarAdvance(Calendar,O2585,NDays&amp;"D")</f>
        <v>57441</v>
      </c>
      <c r="Q2585" s="81" t="e">
        <v>#N/A</v>
      </c>
      <c r="R2585" s="85" t="e">
        <v>#N/A</v>
      </c>
    </row>
    <row r="2586" spans="14:18" x14ac:dyDescent="0.2">
      <c r="N2586" s="88" t="str">
        <f t="shared" si="46"/>
        <v>1w</v>
      </c>
      <c r="O2586" s="82">
        <f>_xll.qlCalendarAdvance(Calendar,O2585,N2586,"f",FALSE)</f>
        <v>57446</v>
      </c>
      <c r="P2586" s="92">
        <f>_xll.qlCalendarAdvance(Calendar,O2586,NDays&amp;"D")</f>
        <v>57448</v>
      </c>
      <c r="Q2586" s="81" t="e">
        <v>#N/A</v>
      </c>
      <c r="R2586" s="85" t="e">
        <v>#N/A</v>
      </c>
    </row>
    <row r="2587" spans="14:18" x14ac:dyDescent="0.2">
      <c r="N2587" s="88" t="str">
        <f t="shared" si="46"/>
        <v>1w</v>
      </c>
      <c r="O2587" s="82">
        <f>_xll.qlCalendarAdvance(Calendar,O2586,N2587,"f",FALSE)</f>
        <v>57453</v>
      </c>
      <c r="P2587" s="92">
        <f>_xll.qlCalendarAdvance(Calendar,O2587,NDays&amp;"D")</f>
        <v>57459</v>
      </c>
      <c r="Q2587" s="81" t="e">
        <v>#N/A</v>
      </c>
      <c r="R2587" s="85" t="e">
        <v>#N/A</v>
      </c>
    </row>
    <row r="2588" spans="14:18" x14ac:dyDescent="0.2">
      <c r="N2588" s="88" t="str">
        <f t="shared" si="46"/>
        <v>1w</v>
      </c>
      <c r="O2588" s="82">
        <f>_xll.qlCalendarAdvance(Calendar,O2587,N2588,"f",FALSE)</f>
        <v>57460</v>
      </c>
      <c r="P2588" s="92">
        <f>_xll.qlCalendarAdvance(Calendar,O2588,NDays&amp;"D")</f>
        <v>57462</v>
      </c>
      <c r="Q2588" s="81" t="e">
        <v>#N/A</v>
      </c>
      <c r="R2588" s="85" t="e">
        <v>#N/A</v>
      </c>
    </row>
    <row r="2589" spans="14:18" x14ac:dyDescent="0.2">
      <c r="N2589" s="88" t="str">
        <f t="shared" si="46"/>
        <v>1w</v>
      </c>
      <c r="O2589" s="82">
        <f>_xll.qlCalendarAdvance(Calendar,O2588,N2589,"f",FALSE)</f>
        <v>57467</v>
      </c>
      <c r="P2589" s="92">
        <f>_xll.qlCalendarAdvance(Calendar,O2589,NDays&amp;"D")</f>
        <v>57469</v>
      </c>
      <c r="Q2589" s="81" t="e">
        <v>#N/A</v>
      </c>
      <c r="R2589" s="85" t="e">
        <v>#N/A</v>
      </c>
    </row>
    <row r="2590" spans="14:18" x14ac:dyDescent="0.2">
      <c r="N2590" s="88" t="str">
        <f t="shared" si="46"/>
        <v>1w</v>
      </c>
      <c r="O2590" s="82">
        <f>_xll.qlCalendarAdvance(Calendar,O2589,N2590,"f",FALSE)</f>
        <v>57474</v>
      </c>
      <c r="P2590" s="92">
        <f>_xll.qlCalendarAdvance(Calendar,O2590,NDays&amp;"D")</f>
        <v>57476</v>
      </c>
      <c r="Q2590" s="81" t="e">
        <v>#N/A</v>
      </c>
      <c r="R2590" s="85" t="e">
        <v>#N/A</v>
      </c>
    </row>
    <row r="2591" spans="14:18" x14ac:dyDescent="0.2">
      <c r="N2591" s="88" t="str">
        <f t="shared" si="46"/>
        <v>1w</v>
      </c>
      <c r="O2591" s="82">
        <f>_xll.qlCalendarAdvance(Calendar,O2590,N2591,"f",FALSE)</f>
        <v>57481</v>
      </c>
      <c r="P2591" s="92">
        <f>_xll.qlCalendarAdvance(Calendar,O2591,NDays&amp;"D")</f>
        <v>57483</v>
      </c>
      <c r="Q2591" s="81" t="e">
        <v>#N/A</v>
      </c>
      <c r="R2591" s="85" t="e">
        <v>#N/A</v>
      </c>
    </row>
    <row r="2592" spans="14:18" x14ac:dyDescent="0.2">
      <c r="N2592" s="88" t="str">
        <f t="shared" si="46"/>
        <v>1w</v>
      </c>
      <c r="O2592" s="82">
        <f>_xll.qlCalendarAdvance(Calendar,O2591,N2592,"f",FALSE)</f>
        <v>57488</v>
      </c>
      <c r="P2592" s="92">
        <f>_xll.qlCalendarAdvance(Calendar,O2592,NDays&amp;"D")</f>
        <v>57490</v>
      </c>
      <c r="Q2592" s="81" t="e">
        <v>#N/A</v>
      </c>
      <c r="R2592" s="85" t="e">
        <v>#N/A</v>
      </c>
    </row>
    <row r="2593" spans="14:18" x14ac:dyDescent="0.2">
      <c r="N2593" s="88" t="str">
        <f t="shared" si="46"/>
        <v>1w</v>
      </c>
      <c r="O2593" s="82">
        <f>_xll.qlCalendarAdvance(Calendar,O2592,N2593,"f",FALSE)</f>
        <v>57495</v>
      </c>
      <c r="P2593" s="92">
        <f>_xll.qlCalendarAdvance(Calendar,O2593,NDays&amp;"D")</f>
        <v>57500</v>
      </c>
      <c r="Q2593" s="81" t="e">
        <v>#N/A</v>
      </c>
      <c r="R2593" s="85" t="e">
        <v>#N/A</v>
      </c>
    </row>
    <row r="2594" spans="14:18" x14ac:dyDescent="0.2">
      <c r="N2594" s="88" t="str">
        <f t="shared" si="46"/>
        <v>1w</v>
      </c>
      <c r="O2594" s="82">
        <f>_xll.qlCalendarAdvance(Calendar,O2593,N2594,"f",FALSE)</f>
        <v>57502</v>
      </c>
      <c r="P2594" s="92">
        <f>_xll.qlCalendarAdvance(Calendar,O2594,NDays&amp;"D")</f>
        <v>57504</v>
      </c>
      <c r="Q2594" s="81" t="e">
        <v>#N/A</v>
      </c>
      <c r="R2594" s="85" t="e">
        <v>#N/A</v>
      </c>
    </row>
    <row r="2595" spans="14:18" x14ac:dyDescent="0.2">
      <c r="N2595" s="88" t="str">
        <f t="shared" si="46"/>
        <v>1w</v>
      </c>
      <c r="O2595" s="82">
        <f>_xll.qlCalendarAdvance(Calendar,O2594,N2595,"f",FALSE)</f>
        <v>57509</v>
      </c>
      <c r="P2595" s="92">
        <f>_xll.qlCalendarAdvance(Calendar,O2595,NDays&amp;"D")</f>
        <v>57511</v>
      </c>
      <c r="Q2595" s="81" t="e">
        <v>#N/A</v>
      </c>
      <c r="R2595" s="85" t="e">
        <v>#N/A</v>
      </c>
    </row>
    <row r="2596" spans="14:18" x14ac:dyDescent="0.2">
      <c r="N2596" s="88" t="str">
        <f t="shared" si="46"/>
        <v>1w</v>
      </c>
      <c r="O2596" s="82">
        <f>_xll.qlCalendarAdvance(Calendar,O2595,N2596,"f",FALSE)</f>
        <v>57516</v>
      </c>
      <c r="P2596" s="92">
        <f>_xll.qlCalendarAdvance(Calendar,O2596,NDays&amp;"D")</f>
        <v>57521</v>
      </c>
      <c r="Q2596" s="81" t="e">
        <v>#N/A</v>
      </c>
      <c r="R2596" s="85" t="e">
        <v>#N/A</v>
      </c>
    </row>
    <row r="2597" spans="14:18" x14ac:dyDescent="0.2">
      <c r="N2597" s="88" t="str">
        <f t="shared" si="46"/>
        <v>1w</v>
      </c>
      <c r="O2597" s="82">
        <f>_xll.qlCalendarAdvance(Calendar,O2596,N2597,"f",FALSE)</f>
        <v>57523</v>
      </c>
      <c r="P2597" s="92">
        <f>_xll.qlCalendarAdvance(Calendar,O2597,NDays&amp;"D")</f>
        <v>57525</v>
      </c>
      <c r="Q2597" s="81" t="e">
        <v>#N/A</v>
      </c>
      <c r="R2597" s="85" t="e">
        <v>#N/A</v>
      </c>
    </row>
    <row r="2598" spans="14:18" x14ac:dyDescent="0.2">
      <c r="N2598" s="88" t="str">
        <f t="shared" si="46"/>
        <v>1w</v>
      </c>
      <c r="O2598" s="82">
        <f>_xll.qlCalendarAdvance(Calendar,O2597,N2598,"f",FALSE)</f>
        <v>57530</v>
      </c>
      <c r="P2598" s="92">
        <f>_xll.qlCalendarAdvance(Calendar,O2598,NDays&amp;"D")</f>
        <v>57532</v>
      </c>
      <c r="Q2598" s="81" t="e">
        <v>#N/A</v>
      </c>
      <c r="R2598" s="85" t="e">
        <v>#N/A</v>
      </c>
    </row>
    <row r="2599" spans="14:18" x14ac:dyDescent="0.2">
      <c r="N2599" s="88" t="str">
        <f t="shared" si="46"/>
        <v>1w</v>
      </c>
      <c r="O2599" s="82">
        <f>_xll.qlCalendarAdvance(Calendar,O2598,N2599,"f",FALSE)</f>
        <v>57537</v>
      </c>
      <c r="P2599" s="92">
        <f>_xll.qlCalendarAdvance(Calendar,O2599,NDays&amp;"D")</f>
        <v>57539</v>
      </c>
      <c r="Q2599" s="81" t="e">
        <v>#N/A</v>
      </c>
      <c r="R2599" s="85" t="e">
        <v>#N/A</v>
      </c>
    </row>
    <row r="2600" spans="14:18" x14ac:dyDescent="0.2">
      <c r="N2600" s="88" t="str">
        <f t="shared" si="46"/>
        <v>1w</v>
      </c>
      <c r="O2600" s="82">
        <f>_xll.qlCalendarAdvance(Calendar,O2599,N2600,"f",FALSE)</f>
        <v>57544</v>
      </c>
      <c r="P2600" s="92">
        <f>_xll.qlCalendarAdvance(Calendar,O2600,NDays&amp;"D")</f>
        <v>57546</v>
      </c>
      <c r="Q2600" s="81" t="e">
        <v>#N/A</v>
      </c>
      <c r="R2600" s="85" t="e">
        <v>#N/A</v>
      </c>
    </row>
    <row r="2601" spans="14:18" x14ac:dyDescent="0.2">
      <c r="N2601" s="88" t="str">
        <f t="shared" si="46"/>
        <v>1w</v>
      </c>
      <c r="O2601" s="82">
        <f>_xll.qlCalendarAdvance(Calendar,O2600,N2601,"f",FALSE)</f>
        <v>57551</v>
      </c>
      <c r="P2601" s="92">
        <f>_xll.qlCalendarAdvance(Calendar,O2601,NDays&amp;"D")</f>
        <v>57553</v>
      </c>
      <c r="Q2601" s="81" t="e">
        <v>#N/A</v>
      </c>
      <c r="R2601" s="85" t="e">
        <v>#N/A</v>
      </c>
    </row>
    <row r="2602" spans="14:18" x14ac:dyDescent="0.2">
      <c r="N2602" s="88" t="str">
        <f t="shared" si="46"/>
        <v>1w</v>
      </c>
      <c r="O2602" s="82">
        <f>_xll.qlCalendarAdvance(Calendar,O2601,N2602,"f",FALSE)</f>
        <v>57558</v>
      </c>
      <c r="P2602" s="92">
        <f>_xll.qlCalendarAdvance(Calendar,O2602,NDays&amp;"D")</f>
        <v>57560</v>
      </c>
      <c r="Q2602" s="81" t="e">
        <v>#N/A</v>
      </c>
      <c r="R2602" s="85" t="e">
        <v>#N/A</v>
      </c>
    </row>
    <row r="2603" spans="14:18" x14ac:dyDescent="0.2">
      <c r="N2603" s="88" t="str">
        <f t="shared" si="46"/>
        <v>1w</v>
      </c>
      <c r="O2603" s="82">
        <f>_xll.qlCalendarAdvance(Calendar,O2602,N2603,"f",FALSE)</f>
        <v>57565</v>
      </c>
      <c r="P2603" s="92">
        <f>_xll.qlCalendarAdvance(Calendar,O2603,NDays&amp;"D")</f>
        <v>57567</v>
      </c>
      <c r="Q2603" s="81" t="e">
        <v>#N/A</v>
      </c>
      <c r="R2603" s="85" t="e">
        <v>#N/A</v>
      </c>
    </row>
    <row r="2604" spans="14:18" x14ac:dyDescent="0.2">
      <c r="N2604" s="88" t="str">
        <f t="shared" si="46"/>
        <v>1w</v>
      </c>
      <c r="O2604" s="82">
        <f>_xll.qlCalendarAdvance(Calendar,O2603,N2604,"f",FALSE)</f>
        <v>57572</v>
      </c>
      <c r="P2604" s="92">
        <f>_xll.qlCalendarAdvance(Calendar,O2604,NDays&amp;"D")</f>
        <v>57574</v>
      </c>
      <c r="Q2604" s="81" t="e">
        <v>#N/A</v>
      </c>
      <c r="R2604" s="85" t="e">
        <v>#N/A</v>
      </c>
    </row>
    <row r="2605" spans="14:18" x14ac:dyDescent="0.2">
      <c r="N2605" s="88" t="str">
        <f t="shared" si="46"/>
        <v>1w</v>
      </c>
      <c r="O2605" s="82">
        <f>_xll.qlCalendarAdvance(Calendar,O2604,N2605,"f",FALSE)</f>
        <v>57579</v>
      </c>
      <c r="P2605" s="92">
        <f>_xll.qlCalendarAdvance(Calendar,O2605,NDays&amp;"D")</f>
        <v>57581</v>
      </c>
      <c r="Q2605" s="81" t="e">
        <v>#N/A</v>
      </c>
      <c r="R2605" s="85" t="e">
        <v>#N/A</v>
      </c>
    </row>
    <row r="2606" spans="14:18" x14ac:dyDescent="0.2">
      <c r="N2606" s="88" t="str">
        <f t="shared" si="46"/>
        <v>1w</v>
      </c>
      <c r="O2606" s="82">
        <f>_xll.qlCalendarAdvance(Calendar,O2605,N2606,"f",FALSE)</f>
        <v>57586</v>
      </c>
      <c r="P2606" s="92">
        <f>_xll.qlCalendarAdvance(Calendar,O2606,NDays&amp;"D")</f>
        <v>57588</v>
      </c>
      <c r="Q2606" s="81" t="e">
        <v>#N/A</v>
      </c>
      <c r="R2606" s="85" t="e">
        <v>#N/A</v>
      </c>
    </row>
    <row r="2607" spans="14:18" x14ac:dyDescent="0.2">
      <c r="N2607" s="88" t="str">
        <f t="shared" si="46"/>
        <v>1w</v>
      </c>
      <c r="O2607" s="82">
        <f>_xll.qlCalendarAdvance(Calendar,O2606,N2607,"f",FALSE)</f>
        <v>57593</v>
      </c>
      <c r="P2607" s="92">
        <f>_xll.qlCalendarAdvance(Calendar,O2607,NDays&amp;"D")</f>
        <v>57595</v>
      </c>
      <c r="Q2607" s="81" t="e">
        <v>#N/A</v>
      </c>
      <c r="R2607" s="85" t="e">
        <v>#N/A</v>
      </c>
    </row>
    <row r="2608" spans="14:18" x14ac:dyDescent="0.2">
      <c r="N2608" s="88" t="str">
        <f t="shared" si="46"/>
        <v>1w</v>
      </c>
      <c r="O2608" s="82">
        <f>_xll.qlCalendarAdvance(Calendar,O2607,N2608,"f",FALSE)</f>
        <v>57600</v>
      </c>
      <c r="P2608" s="92">
        <f>_xll.qlCalendarAdvance(Calendar,O2608,NDays&amp;"D")</f>
        <v>57602</v>
      </c>
      <c r="Q2608" s="81" t="e">
        <v>#N/A</v>
      </c>
      <c r="R2608" s="85" t="e">
        <v>#N/A</v>
      </c>
    </row>
    <row r="2609" spans="14:18" x14ac:dyDescent="0.2">
      <c r="N2609" s="88" t="str">
        <f t="shared" si="46"/>
        <v>1w</v>
      </c>
      <c r="O2609" s="82">
        <f>_xll.qlCalendarAdvance(Calendar,O2608,N2609,"f",FALSE)</f>
        <v>57607</v>
      </c>
      <c r="P2609" s="92">
        <f>_xll.qlCalendarAdvance(Calendar,O2609,NDays&amp;"D")</f>
        <v>57609</v>
      </c>
      <c r="Q2609" s="81" t="e">
        <v>#N/A</v>
      </c>
      <c r="R2609" s="85" t="e">
        <v>#N/A</v>
      </c>
    </row>
    <row r="2610" spans="14:18" x14ac:dyDescent="0.2">
      <c r="N2610" s="88" t="str">
        <f t="shared" si="46"/>
        <v>1w</v>
      </c>
      <c r="O2610" s="82">
        <f>_xll.qlCalendarAdvance(Calendar,O2609,N2610,"f",FALSE)</f>
        <v>57614</v>
      </c>
      <c r="P2610" s="92">
        <f>_xll.qlCalendarAdvance(Calendar,O2610,NDays&amp;"D")</f>
        <v>57616</v>
      </c>
      <c r="Q2610" s="81" t="e">
        <v>#N/A</v>
      </c>
      <c r="R2610" s="85" t="e">
        <v>#N/A</v>
      </c>
    </row>
    <row r="2611" spans="14:18" x14ac:dyDescent="0.2">
      <c r="N2611" s="88" t="str">
        <f t="shared" si="46"/>
        <v>1w</v>
      </c>
      <c r="O2611" s="82">
        <f>_xll.qlCalendarAdvance(Calendar,O2610,N2611,"f",FALSE)</f>
        <v>57621</v>
      </c>
      <c r="P2611" s="92">
        <f>_xll.qlCalendarAdvance(Calendar,O2611,NDays&amp;"D")</f>
        <v>57623</v>
      </c>
      <c r="Q2611" s="81" t="e">
        <v>#N/A</v>
      </c>
      <c r="R2611" s="85" t="e">
        <v>#N/A</v>
      </c>
    </row>
    <row r="2612" spans="14:18" x14ac:dyDescent="0.2">
      <c r="N2612" s="88" t="str">
        <f t="shared" si="46"/>
        <v>1w</v>
      </c>
      <c r="O2612" s="82">
        <f>_xll.qlCalendarAdvance(Calendar,O2611,N2612,"f",FALSE)</f>
        <v>57628</v>
      </c>
      <c r="P2612" s="92">
        <f>_xll.qlCalendarAdvance(Calendar,O2612,NDays&amp;"D")</f>
        <v>57630</v>
      </c>
      <c r="Q2612" s="81" t="e">
        <v>#N/A</v>
      </c>
      <c r="R2612" s="85" t="e">
        <v>#N/A</v>
      </c>
    </row>
    <row r="2613" spans="14:18" x14ac:dyDescent="0.2">
      <c r="N2613" s="88" t="str">
        <f t="shared" si="46"/>
        <v>1w</v>
      </c>
      <c r="O2613" s="82">
        <f>_xll.qlCalendarAdvance(Calendar,O2612,N2613,"f",FALSE)</f>
        <v>57635</v>
      </c>
      <c r="P2613" s="92">
        <f>_xll.qlCalendarAdvance(Calendar,O2613,NDays&amp;"D")</f>
        <v>57637</v>
      </c>
      <c r="Q2613" s="81" t="e">
        <v>#N/A</v>
      </c>
      <c r="R2613" s="85" t="e">
        <v>#N/A</v>
      </c>
    </row>
    <row r="2614" spans="14:18" x14ac:dyDescent="0.2">
      <c r="N2614" s="88" t="str">
        <f t="shared" si="46"/>
        <v>1w</v>
      </c>
      <c r="O2614" s="82">
        <f>_xll.qlCalendarAdvance(Calendar,O2613,N2614,"f",FALSE)</f>
        <v>57642</v>
      </c>
      <c r="P2614" s="92">
        <f>_xll.qlCalendarAdvance(Calendar,O2614,NDays&amp;"D")</f>
        <v>57644</v>
      </c>
      <c r="Q2614" s="81" t="e">
        <v>#N/A</v>
      </c>
      <c r="R2614" s="85" t="e">
        <v>#N/A</v>
      </c>
    </row>
    <row r="2615" spans="14:18" x14ac:dyDescent="0.2">
      <c r="N2615" s="88" t="str">
        <f t="shared" si="46"/>
        <v>1w</v>
      </c>
      <c r="O2615" s="82">
        <f>_xll.qlCalendarAdvance(Calendar,O2614,N2615,"f",FALSE)</f>
        <v>57649</v>
      </c>
      <c r="P2615" s="92">
        <f>_xll.qlCalendarAdvance(Calendar,O2615,NDays&amp;"D")</f>
        <v>57651</v>
      </c>
      <c r="Q2615" s="81" t="e">
        <v>#N/A</v>
      </c>
      <c r="R2615" s="85" t="e">
        <v>#N/A</v>
      </c>
    </row>
    <row r="2616" spans="14:18" x14ac:dyDescent="0.2">
      <c r="N2616" s="88" t="str">
        <f t="shared" si="46"/>
        <v>1w</v>
      </c>
      <c r="O2616" s="82">
        <f>_xll.qlCalendarAdvance(Calendar,O2615,N2616,"f",FALSE)</f>
        <v>57656</v>
      </c>
      <c r="P2616" s="92">
        <f>_xll.qlCalendarAdvance(Calendar,O2616,NDays&amp;"D")</f>
        <v>57658</v>
      </c>
      <c r="Q2616" s="81" t="e">
        <v>#N/A</v>
      </c>
      <c r="R2616" s="85" t="e">
        <v>#N/A</v>
      </c>
    </row>
    <row r="2617" spans="14:18" x14ac:dyDescent="0.2">
      <c r="N2617" s="88" t="str">
        <f t="shared" si="46"/>
        <v>1w</v>
      </c>
      <c r="O2617" s="82">
        <f>_xll.qlCalendarAdvance(Calendar,O2616,N2617,"f",FALSE)</f>
        <v>57663</v>
      </c>
      <c r="P2617" s="92">
        <f>_xll.qlCalendarAdvance(Calendar,O2617,NDays&amp;"D")</f>
        <v>57665</v>
      </c>
      <c r="Q2617" s="81" t="e">
        <v>#N/A</v>
      </c>
      <c r="R2617" s="85" t="e">
        <v>#N/A</v>
      </c>
    </row>
    <row r="2618" spans="14:18" x14ac:dyDescent="0.2">
      <c r="N2618" s="88" t="str">
        <f t="shared" si="46"/>
        <v>1w</v>
      </c>
      <c r="O2618" s="82">
        <f>_xll.qlCalendarAdvance(Calendar,O2617,N2618,"f",FALSE)</f>
        <v>57670</v>
      </c>
      <c r="P2618" s="92">
        <f>_xll.qlCalendarAdvance(Calendar,O2618,NDays&amp;"D")</f>
        <v>57672</v>
      </c>
      <c r="Q2618" s="81" t="e">
        <v>#N/A</v>
      </c>
      <c r="R2618" s="85" t="e">
        <v>#N/A</v>
      </c>
    </row>
    <row r="2619" spans="14:18" x14ac:dyDescent="0.2">
      <c r="N2619" s="88" t="str">
        <f t="shared" si="46"/>
        <v>1w</v>
      </c>
      <c r="O2619" s="82">
        <f>_xll.qlCalendarAdvance(Calendar,O2618,N2619,"f",FALSE)</f>
        <v>57677</v>
      </c>
      <c r="P2619" s="92">
        <f>_xll.qlCalendarAdvance(Calendar,O2619,NDays&amp;"D")</f>
        <v>57679</v>
      </c>
      <c r="Q2619" s="81" t="e">
        <v>#N/A</v>
      </c>
      <c r="R2619" s="85" t="e">
        <v>#N/A</v>
      </c>
    </row>
    <row r="2620" spans="14:18" x14ac:dyDescent="0.2">
      <c r="N2620" s="88" t="str">
        <f t="shared" si="46"/>
        <v>1w</v>
      </c>
      <c r="O2620" s="82">
        <f>_xll.qlCalendarAdvance(Calendar,O2619,N2620,"f",FALSE)</f>
        <v>57684</v>
      </c>
      <c r="P2620" s="92">
        <f>_xll.qlCalendarAdvance(Calendar,O2620,NDays&amp;"D")</f>
        <v>57686</v>
      </c>
      <c r="Q2620" s="81" t="e">
        <v>#N/A</v>
      </c>
      <c r="R2620" s="85" t="e">
        <v>#N/A</v>
      </c>
    </row>
    <row r="2621" spans="14:18" x14ac:dyDescent="0.2">
      <c r="N2621" s="88" t="str">
        <f t="shared" si="46"/>
        <v>1w</v>
      </c>
      <c r="O2621" s="82">
        <f>_xll.qlCalendarAdvance(Calendar,O2620,N2621,"f",FALSE)</f>
        <v>57691</v>
      </c>
      <c r="P2621" s="92">
        <f>_xll.qlCalendarAdvance(Calendar,O2621,NDays&amp;"D")</f>
        <v>57693</v>
      </c>
      <c r="Q2621" s="81" t="e">
        <v>#N/A</v>
      </c>
      <c r="R2621" s="85" t="e">
        <v>#N/A</v>
      </c>
    </row>
    <row r="2622" spans="14:18" x14ac:dyDescent="0.2">
      <c r="N2622" s="88" t="str">
        <f t="shared" si="46"/>
        <v>1w</v>
      </c>
      <c r="O2622" s="82">
        <f>_xll.qlCalendarAdvance(Calendar,O2621,N2622,"f",FALSE)</f>
        <v>57698</v>
      </c>
      <c r="P2622" s="92">
        <f>_xll.qlCalendarAdvance(Calendar,O2622,NDays&amp;"D")</f>
        <v>57700</v>
      </c>
      <c r="Q2622" s="81" t="e">
        <v>#N/A</v>
      </c>
      <c r="R2622" s="85" t="e">
        <v>#N/A</v>
      </c>
    </row>
    <row r="2623" spans="14:18" x14ac:dyDescent="0.2">
      <c r="N2623" s="88" t="str">
        <f t="shared" si="46"/>
        <v>1w</v>
      </c>
      <c r="O2623" s="82">
        <f>_xll.qlCalendarAdvance(Calendar,O2622,N2623,"f",FALSE)</f>
        <v>57706</v>
      </c>
      <c r="P2623" s="92">
        <f>_xll.qlCalendarAdvance(Calendar,O2623,NDays&amp;"D")</f>
        <v>57712</v>
      </c>
      <c r="Q2623" s="81" t="e">
        <v>#N/A</v>
      </c>
      <c r="R2623" s="85" t="e">
        <v>#N/A</v>
      </c>
    </row>
    <row r="2624" spans="14:18" x14ac:dyDescent="0.2">
      <c r="N2624" s="88" t="str">
        <f t="shared" si="46"/>
        <v>1w</v>
      </c>
      <c r="O2624" s="82">
        <f>_xll.qlCalendarAdvance(Calendar,O2623,N2624,"f",FALSE)</f>
        <v>57713</v>
      </c>
      <c r="P2624" s="92">
        <f>_xll.qlCalendarAdvance(Calendar,O2624,NDays&amp;"D")</f>
        <v>57717</v>
      </c>
      <c r="Q2624" s="81" t="e">
        <v>#N/A</v>
      </c>
      <c r="R2624" s="85" t="e">
        <v>#N/A</v>
      </c>
    </row>
    <row r="2625" spans="14:18" x14ac:dyDescent="0.2">
      <c r="N2625" s="88" t="str">
        <f t="shared" si="46"/>
        <v>1w</v>
      </c>
      <c r="O2625" s="82">
        <f>_xll.qlCalendarAdvance(Calendar,O2624,N2625,"f",FALSE)</f>
        <v>57720</v>
      </c>
      <c r="P2625" s="92">
        <f>_xll.qlCalendarAdvance(Calendar,O2625,NDays&amp;"D")</f>
        <v>57724</v>
      </c>
      <c r="Q2625" s="81" t="e">
        <v>#N/A</v>
      </c>
      <c r="R2625" s="85" t="e">
        <v>#N/A</v>
      </c>
    </row>
    <row r="2626" spans="14:18" x14ac:dyDescent="0.2">
      <c r="N2626" s="88" t="str">
        <f t="shared" si="46"/>
        <v>1w</v>
      </c>
      <c r="O2626" s="82">
        <f>_xll.qlCalendarAdvance(Calendar,O2625,N2626,"f",FALSE)</f>
        <v>57727</v>
      </c>
      <c r="P2626" s="92">
        <f>_xll.qlCalendarAdvance(Calendar,O2626,NDays&amp;"D")</f>
        <v>57731</v>
      </c>
      <c r="Q2626" s="81" t="e">
        <v>#N/A</v>
      </c>
      <c r="R2626" s="85" t="e">
        <v>#N/A</v>
      </c>
    </row>
    <row r="2627" spans="14:18" x14ac:dyDescent="0.2">
      <c r="N2627" s="88" t="str">
        <f t="shared" si="46"/>
        <v>1w</v>
      </c>
      <c r="O2627" s="82">
        <f>_xll.qlCalendarAdvance(Calendar,O2626,N2627,"f",FALSE)</f>
        <v>57734</v>
      </c>
      <c r="P2627" s="92">
        <f>_xll.qlCalendarAdvance(Calendar,O2627,NDays&amp;"D")</f>
        <v>57738</v>
      </c>
      <c r="Q2627" s="81" t="e">
        <v>#N/A</v>
      </c>
      <c r="R2627" s="85" t="e">
        <v>#N/A</v>
      </c>
    </row>
    <row r="2628" spans="14:18" x14ac:dyDescent="0.2">
      <c r="N2628" s="88" t="str">
        <f t="shared" si="46"/>
        <v>1w</v>
      </c>
      <c r="O2628" s="82">
        <f>_xll.qlCalendarAdvance(Calendar,O2627,N2628,"f",FALSE)</f>
        <v>57741</v>
      </c>
      <c r="P2628" s="92">
        <f>_xll.qlCalendarAdvance(Calendar,O2628,NDays&amp;"D")</f>
        <v>57745</v>
      </c>
      <c r="Q2628" s="81" t="e">
        <v>#N/A</v>
      </c>
      <c r="R2628" s="85" t="e">
        <v>#N/A</v>
      </c>
    </row>
    <row r="2629" spans="14:18" x14ac:dyDescent="0.2">
      <c r="N2629" s="88" t="str">
        <f t="shared" si="46"/>
        <v>1w</v>
      </c>
      <c r="O2629" s="82">
        <f>_xll.qlCalendarAdvance(Calendar,O2628,N2629,"f",FALSE)</f>
        <v>57748</v>
      </c>
      <c r="P2629" s="92">
        <f>_xll.qlCalendarAdvance(Calendar,O2629,NDays&amp;"D")</f>
        <v>57752</v>
      </c>
      <c r="Q2629" s="81" t="e">
        <v>#N/A</v>
      </c>
      <c r="R2629" s="85" t="e">
        <v>#N/A</v>
      </c>
    </row>
    <row r="2630" spans="14:18" x14ac:dyDescent="0.2">
      <c r="N2630" s="88" t="str">
        <f t="shared" si="46"/>
        <v>1w</v>
      </c>
      <c r="O2630" s="82">
        <f>_xll.qlCalendarAdvance(Calendar,O2629,N2630,"f",FALSE)</f>
        <v>57755</v>
      </c>
      <c r="P2630" s="92">
        <f>_xll.qlCalendarAdvance(Calendar,O2630,NDays&amp;"D")</f>
        <v>57759</v>
      </c>
      <c r="Q2630" s="81" t="e">
        <v>#N/A</v>
      </c>
      <c r="R2630" s="85" t="e">
        <v>#N/A</v>
      </c>
    </row>
    <row r="2631" spans="14:18" x14ac:dyDescent="0.2">
      <c r="N2631" s="88" t="str">
        <f t="shared" si="46"/>
        <v>1w</v>
      </c>
      <c r="O2631" s="82">
        <f>_xll.qlCalendarAdvance(Calendar,O2630,N2631,"f",FALSE)</f>
        <v>57762</v>
      </c>
      <c r="P2631" s="92">
        <f>_xll.qlCalendarAdvance(Calendar,O2631,NDays&amp;"D")</f>
        <v>57766</v>
      </c>
      <c r="Q2631" s="81" t="e">
        <v>#N/A</v>
      </c>
      <c r="R2631" s="85" t="e">
        <v>#N/A</v>
      </c>
    </row>
    <row r="2632" spans="14:18" x14ac:dyDescent="0.2">
      <c r="N2632" s="88" t="str">
        <f t="shared" si="46"/>
        <v>1w</v>
      </c>
      <c r="O2632" s="82">
        <f>_xll.qlCalendarAdvance(Calendar,O2631,N2632,"f",FALSE)</f>
        <v>57769</v>
      </c>
      <c r="P2632" s="92">
        <f>_xll.qlCalendarAdvance(Calendar,O2632,NDays&amp;"D")</f>
        <v>57773</v>
      </c>
      <c r="Q2632" s="81" t="e">
        <v>#N/A</v>
      </c>
      <c r="R2632" s="85" t="e">
        <v>#N/A</v>
      </c>
    </row>
    <row r="2633" spans="14:18" x14ac:dyDescent="0.2">
      <c r="N2633" s="88" t="str">
        <f t="shared" si="46"/>
        <v>1w</v>
      </c>
      <c r="O2633" s="82">
        <f>_xll.qlCalendarAdvance(Calendar,O2632,N2633,"f",FALSE)</f>
        <v>57776</v>
      </c>
      <c r="P2633" s="92">
        <f>_xll.qlCalendarAdvance(Calendar,O2633,NDays&amp;"D")</f>
        <v>57780</v>
      </c>
      <c r="Q2633" s="81" t="e">
        <v>#N/A</v>
      </c>
      <c r="R2633" s="85" t="e">
        <v>#N/A</v>
      </c>
    </row>
    <row r="2634" spans="14:18" x14ac:dyDescent="0.2">
      <c r="N2634" s="88" t="str">
        <f t="shared" si="46"/>
        <v>1w</v>
      </c>
      <c r="O2634" s="82">
        <f>_xll.qlCalendarAdvance(Calendar,O2633,N2634,"f",FALSE)</f>
        <v>57783</v>
      </c>
      <c r="P2634" s="92">
        <f>_xll.qlCalendarAdvance(Calendar,O2634,NDays&amp;"D")</f>
        <v>57787</v>
      </c>
      <c r="Q2634" s="81" t="e">
        <v>#N/A</v>
      </c>
      <c r="R2634" s="85" t="e">
        <v>#N/A</v>
      </c>
    </row>
    <row r="2635" spans="14:18" x14ac:dyDescent="0.2">
      <c r="N2635" s="88" t="str">
        <f t="shared" si="46"/>
        <v>1w</v>
      </c>
      <c r="O2635" s="82">
        <f>_xll.qlCalendarAdvance(Calendar,O2634,N2635,"f",FALSE)</f>
        <v>57790</v>
      </c>
      <c r="P2635" s="92">
        <f>_xll.qlCalendarAdvance(Calendar,O2635,NDays&amp;"D")</f>
        <v>57794</v>
      </c>
      <c r="Q2635" s="81" t="e">
        <v>#N/A</v>
      </c>
      <c r="R2635" s="85" t="e">
        <v>#N/A</v>
      </c>
    </row>
    <row r="2636" spans="14:18" x14ac:dyDescent="0.2">
      <c r="N2636" s="88" t="str">
        <f t="shared" si="46"/>
        <v>1w</v>
      </c>
      <c r="O2636" s="82">
        <f>_xll.qlCalendarAdvance(Calendar,O2635,N2636,"f",FALSE)</f>
        <v>57797</v>
      </c>
      <c r="P2636" s="92">
        <f>_xll.qlCalendarAdvance(Calendar,O2636,NDays&amp;"D")</f>
        <v>57801</v>
      </c>
      <c r="Q2636" s="81" t="e">
        <v>#N/A</v>
      </c>
      <c r="R2636" s="85" t="e">
        <v>#N/A</v>
      </c>
    </row>
    <row r="2637" spans="14:18" x14ac:dyDescent="0.2">
      <c r="N2637" s="88" t="str">
        <f t="shared" si="46"/>
        <v>1w</v>
      </c>
      <c r="O2637" s="82">
        <f>_xll.qlCalendarAdvance(Calendar,O2636,N2637,"f",FALSE)</f>
        <v>57804</v>
      </c>
      <c r="P2637" s="92">
        <f>_xll.qlCalendarAdvance(Calendar,O2637,NDays&amp;"D")</f>
        <v>57808</v>
      </c>
      <c r="Q2637" s="81" t="e">
        <v>#N/A</v>
      </c>
      <c r="R2637" s="85" t="e">
        <v>#N/A</v>
      </c>
    </row>
    <row r="2638" spans="14:18" x14ac:dyDescent="0.2">
      <c r="N2638" s="88" t="str">
        <f t="shared" si="46"/>
        <v>1w</v>
      </c>
      <c r="O2638" s="82">
        <f>_xll.qlCalendarAdvance(Calendar,O2637,N2638,"f",FALSE)</f>
        <v>57811</v>
      </c>
      <c r="P2638" s="92">
        <f>_xll.qlCalendarAdvance(Calendar,O2638,NDays&amp;"D")</f>
        <v>57817</v>
      </c>
      <c r="Q2638" s="81" t="e">
        <v>#N/A</v>
      </c>
      <c r="R2638" s="85" t="e">
        <v>#N/A</v>
      </c>
    </row>
    <row r="2639" spans="14:18" x14ac:dyDescent="0.2">
      <c r="N2639" s="88" t="str">
        <f t="shared" si="46"/>
        <v>1w</v>
      </c>
      <c r="O2639" s="82">
        <f>_xll.qlCalendarAdvance(Calendar,O2638,N2639,"f",FALSE)</f>
        <v>57818</v>
      </c>
      <c r="P2639" s="92">
        <f>_xll.qlCalendarAdvance(Calendar,O2639,NDays&amp;"D")</f>
        <v>57822</v>
      </c>
      <c r="Q2639" s="81" t="e">
        <v>#N/A</v>
      </c>
      <c r="R2639" s="85" t="e">
        <v>#N/A</v>
      </c>
    </row>
    <row r="2640" spans="14:18" x14ac:dyDescent="0.2">
      <c r="N2640" s="88" t="str">
        <f t="shared" si="46"/>
        <v>1w</v>
      </c>
      <c r="O2640" s="82">
        <f>_xll.qlCalendarAdvance(Calendar,O2639,N2640,"f",FALSE)</f>
        <v>57825</v>
      </c>
      <c r="P2640" s="92">
        <f>_xll.qlCalendarAdvance(Calendar,O2640,NDays&amp;"D")</f>
        <v>57829</v>
      </c>
      <c r="Q2640" s="81" t="e">
        <v>#N/A</v>
      </c>
      <c r="R2640" s="85" t="e">
        <v>#N/A</v>
      </c>
    </row>
    <row r="2641" spans="14:18" x14ac:dyDescent="0.2">
      <c r="N2641" s="88" t="str">
        <f t="shared" si="46"/>
        <v>1w</v>
      </c>
      <c r="O2641" s="82">
        <f>_xll.qlCalendarAdvance(Calendar,O2640,N2641,"f",FALSE)</f>
        <v>57832</v>
      </c>
      <c r="P2641" s="92">
        <f>_xll.qlCalendarAdvance(Calendar,O2641,NDays&amp;"D")</f>
        <v>57836</v>
      </c>
      <c r="Q2641" s="81" t="e">
        <v>#N/A</v>
      </c>
      <c r="R2641" s="85" t="e">
        <v>#N/A</v>
      </c>
    </row>
    <row r="2642" spans="14:18" x14ac:dyDescent="0.2">
      <c r="N2642" s="88" t="str">
        <f t="shared" si="46"/>
        <v>1w</v>
      </c>
      <c r="O2642" s="82">
        <f>_xll.qlCalendarAdvance(Calendar,O2641,N2642,"f",FALSE)</f>
        <v>57839</v>
      </c>
      <c r="P2642" s="92">
        <f>_xll.qlCalendarAdvance(Calendar,O2642,NDays&amp;"D")</f>
        <v>57843</v>
      </c>
      <c r="Q2642" s="81" t="e">
        <v>#N/A</v>
      </c>
      <c r="R2642" s="85" t="e">
        <v>#N/A</v>
      </c>
    </row>
    <row r="2643" spans="14:18" x14ac:dyDescent="0.2">
      <c r="N2643" s="88" t="str">
        <f t="shared" si="46"/>
        <v>1w</v>
      </c>
      <c r="O2643" s="82">
        <f>_xll.qlCalendarAdvance(Calendar,O2642,N2643,"f",FALSE)</f>
        <v>57846</v>
      </c>
      <c r="P2643" s="92">
        <f>_xll.qlCalendarAdvance(Calendar,O2643,NDays&amp;"D")</f>
        <v>57850</v>
      </c>
      <c r="Q2643" s="81" t="e">
        <v>#N/A</v>
      </c>
      <c r="R2643" s="85" t="e">
        <v>#N/A</v>
      </c>
    </row>
    <row r="2644" spans="14:18" x14ac:dyDescent="0.2">
      <c r="N2644" s="88" t="str">
        <f t="shared" si="46"/>
        <v>1w</v>
      </c>
      <c r="O2644" s="82">
        <f>_xll.qlCalendarAdvance(Calendar,O2643,N2644,"f",FALSE)</f>
        <v>57854</v>
      </c>
      <c r="P2644" s="92">
        <f>_xll.qlCalendarAdvance(Calendar,O2644,NDays&amp;"D")</f>
        <v>57858</v>
      </c>
      <c r="Q2644" s="81" t="e">
        <v>#N/A</v>
      </c>
      <c r="R2644" s="85" t="e">
        <v>#N/A</v>
      </c>
    </row>
    <row r="2645" spans="14:18" x14ac:dyDescent="0.2">
      <c r="N2645" s="88" t="str">
        <f t="shared" ref="N2645:N2708" si="47">N2644</f>
        <v>1w</v>
      </c>
      <c r="O2645" s="82">
        <f>_xll.qlCalendarAdvance(Calendar,O2644,N2645,"f",FALSE)</f>
        <v>57861</v>
      </c>
      <c r="P2645" s="92">
        <f>_xll.qlCalendarAdvance(Calendar,O2645,NDays&amp;"D")</f>
        <v>57866</v>
      </c>
      <c r="Q2645" s="81" t="e">
        <v>#N/A</v>
      </c>
      <c r="R2645" s="85" t="e">
        <v>#N/A</v>
      </c>
    </row>
    <row r="2646" spans="14:18" x14ac:dyDescent="0.2">
      <c r="N2646" s="88" t="str">
        <f t="shared" si="47"/>
        <v>1w</v>
      </c>
      <c r="O2646" s="82">
        <f>_xll.qlCalendarAdvance(Calendar,O2645,N2646,"f",FALSE)</f>
        <v>57868</v>
      </c>
      <c r="P2646" s="92">
        <f>_xll.qlCalendarAdvance(Calendar,O2646,NDays&amp;"D")</f>
        <v>57872</v>
      </c>
      <c r="Q2646" s="81" t="e">
        <v>#N/A</v>
      </c>
      <c r="R2646" s="85" t="e">
        <v>#N/A</v>
      </c>
    </row>
    <row r="2647" spans="14:18" x14ac:dyDescent="0.2">
      <c r="N2647" s="88" t="str">
        <f t="shared" si="47"/>
        <v>1w</v>
      </c>
      <c r="O2647" s="82">
        <f>_xll.qlCalendarAdvance(Calendar,O2646,N2647,"f",FALSE)</f>
        <v>57875</v>
      </c>
      <c r="P2647" s="92">
        <f>_xll.qlCalendarAdvance(Calendar,O2647,NDays&amp;"D")</f>
        <v>57879</v>
      </c>
      <c r="Q2647" s="81" t="e">
        <v>#N/A</v>
      </c>
      <c r="R2647" s="85" t="e">
        <v>#N/A</v>
      </c>
    </row>
    <row r="2648" spans="14:18" x14ac:dyDescent="0.2">
      <c r="N2648" s="88" t="str">
        <f t="shared" si="47"/>
        <v>1w</v>
      </c>
      <c r="O2648" s="82">
        <f>_xll.qlCalendarAdvance(Calendar,O2647,N2648,"f",FALSE)</f>
        <v>57885</v>
      </c>
      <c r="P2648" s="92">
        <f>_xll.qlCalendarAdvance(Calendar,O2648,NDays&amp;"D")</f>
        <v>57887</v>
      </c>
      <c r="Q2648" s="81" t="e">
        <v>#N/A</v>
      </c>
      <c r="R2648" s="85" t="e">
        <v>#N/A</v>
      </c>
    </row>
    <row r="2649" spans="14:18" x14ac:dyDescent="0.2">
      <c r="N2649" s="88" t="str">
        <f t="shared" si="47"/>
        <v>1w</v>
      </c>
      <c r="O2649" s="82">
        <f>_xll.qlCalendarAdvance(Calendar,O2648,N2649,"f",FALSE)</f>
        <v>57892</v>
      </c>
      <c r="P2649" s="92">
        <f>_xll.qlCalendarAdvance(Calendar,O2649,NDays&amp;"D")</f>
        <v>57894</v>
      </c>
      <c r="Q2649" s="81" t="e">
        <v>#N/A</v>
      </c>
      <c r="R2649" s="85" t="e">
        <v>#N/A</v>
      </c>
    </row>
    <row r="2650" spans="14:18" x14ac:dyDescent="0.2">
      <c r="N2650" s="88" t="str">
        <f t="shared" si="47"/>
        <v>1w</v>
      </c>
      <c r="O2650" s="82">
        <f>_xll.qlCalendarAdvance(Calendar,O2649,N2650,"f",FALSE)</f>
        <v>57899</v>
      </c>
      <c r="P2650" s="92">
        <f>_xll.qlCalendarAdvance(Calendar,O2650,NDays&amp;"D")</f>
        <v>57901</v>
      </c>
      <c r="Q2650" s="81" t="e">
        <v>#N/A</v>
      </c>
      <c r="R2650" s="85" t="e">
        <v>#N/A</v>
      </c>
    </row>
    <row r="2651" spans="14:18" x14ac:dyDescent="0.2">
      <c r="N2651" s="88" t="str">
        <f t="shared" si="47"/>
        <v>1w</v>
      </c>
      <c r="O2651" s="82">
        <f>_xll.qlCalendarAdvance(Calendar,O2650,N2651,"f",FALSE)</f>
        <v>57906</v>
      </c>
      <c r="P2651" s="92">
        <f>_xll.qlCalendarAdvance(Calendar,O2651,NDays&amp;"D")</f>
        <v>57908</v>
      </c>
      <c r="Q2651" s="81" t="e">
        <v>#N/A</v>
      </c>
      <c r="R2651" s="85" t="e">
        <v>#N/A</v>
      </c>
    </row>
    <row r="2652" spans="14:18" x14ac:dyDescent="0.2">
      <c r="N2652" s="88" t="str">
        <f t="shared" si="47"/>
        <v>1w</v>
      </c>
      <c r="O2652" s="82">
        <f>_xll.qlCalendarAdvance(Calendar,O2651,N2652,"f",FALSE)</f>
        <v>57913</v>
      </c>
      <c r="P2652" s="92">
        <f>_xll.qlCalendarAdvance(Calendar,O2652,NDays&amp;"D")</f>
        <v>57915</v>
      </c>
      <c r="Q2652" s="81" t="e">
        <v>#N/A</v>
      </c>
      <c r="R2652" s="85" t="e">
        <v>#N/A</v>
      </c>
    </row>
    <row r="2653" spans="14:18" x14ac:dyDescent="0.2">
      <c r="N2653" s="88" t="str">
        <f t="shared" si="47"/>
        <v>1w</v>
      </c>
      <c r="O2653" s="82">
        <f>_xll.qlCalendarAdvance(Calendar,O2652,N2653,"f",FALSE)</f>
        <v>57920</v>
      </c>
      <c r="P2653" s="92">
        <f>_xll.qlCalendarAdvance(Calendar,O2653,NDays&amp;"D")</f>
        <v>57922</v>
      </c>
      <c r="Q2653" s="81" t="e">
        <v>#N/A</v>
      </c>
      <c r="R2653" s="85" t="e">
        <v>#N/A</v>
      </c>
    </row>
    <row r="2654" spans="14:18" x14ac:dyDescent="0.2">
      <c r="N2654" s="88" t="str">
        <f t="shared" si="47"/>
        <v>1w</v>
      </c>
      <c r="O2654" s="82">
        <f>_xll.qlCalendarAdvance(Calendar,O2653,N2654,"f",FALSE)</f>
        <v>57927</v>
      </c>
      <c r="P2654" s="92">
        <f>_xll.qlCalendarAdvance(Calendar,O2654,NDays&amp;"D")</f>
        <v>57929</v>
      </c>
      <c r="Q2654" s="81" t="e">
        <v>#N/A</v>
      </c>
      <c r="R2654" s="85" t="e">
        <v>#N/A</v>
      </c>
    </row>
    <row r="2655" spans="14:18" x14ac:dyDescent="0.2">
      <c r="N2655" s="88" t="str">
        <f t="shared" si="47"/>
        <v>1w</v>
      </c>
      <c r="O2655" s="82">
        <f>_xll.qlCalendarAdvance(Calendar,O2654,N2655,"f",FALSE)</f>
        <v>57934</v>
      </c>
      <c r="P2655" s="92">
        <f>_xll.qlCalendarAdvance(Calendar,O2655,NDays&amp;"D")</f>
        <v>57936</v>
      </c>
      <c r="Q2655" s="81" t="e">
        <v>#N/A</v>
      </c>
      <c r="R2655" s="85" t="e">
        <v>#N/A</v>
      </c>
    </row>
    <row r="2656" spans="14:18" x14ac:dyDescent="0.2">
      <c r="N2656" s="88" t="str">
        <f t="shared" si="47"/>
        <v>1w</v>
      </c>
      <c r="O2656" s="82">
        <f>_xll.qlCalendarAdvance(Calendar,O2655,N2656,"f",FALSE)</f>
        <v>57941</v>
      </c>
      <c r="P2656" s="92">
        <f>_xll.qlCalendarAdvance(Calendar,O2656,NDays&amp;"D")</f>
        <v>57943</v>
      </c>
      <c r="Q2656" s="81" t="e">
        <v>#N/A</v>
      </c>
      <c r="R2656" s="85" t="e">
        <v>#N/A</v>
      </c>
    </row>
    <row r="2657" spans="14:18" x14ac:dyDescent="0.2">
      <c r="N2657" s="88" t="str">
        <f t="shared" si="47"/>
        <v>1w</v>
      </c>
      <c r="O2657" s="82">
        <f>_xll.qlCalendarAdvance(Calendar,O2656,N2657,"f",FALSE)</f>
        <v>57948</v>
      </c>
      <c r="P2657" s="92">
        <f>_xll.qlCalendarAdvance(Calendar,O2657,NDays&amp;"D")</f>
        <v>57950</v>
      </c>
      <c r="Q2657" s="81" t="e">
        <v>#N/A</v>
      </c>
      <c r="R2657" s="85" t="e">
        <v>#N/A</v>
      </c>
    </row>
    <row r="2658" spans="14:18" x14ac:dyDescent="0.2">
      <c r="N2658" s="88" t="str">
        <f t="shared" si="47"/>
        <v>1w</v>
      </c>
      <c r="O2658" s="82">
        <f>_xll.qlCalendarAdvance(Calendar,O2657,N2658,"f",FALSE)</f>
        <v>57955</v>
      </c>
      <c r="P2658" s="92">
        <f>_xll.qlCalendarAdvance(Calendar,O2658,NDays&amp;"D")</f>
        <v>57957</v>
      </c>
      <c r="Q2658" s="81" t="e">
        <v>#N/A</v>
      </c>
      <c r="R2658" s="85" t="e">
        <v>#N/A</v>
      </c>
    </row>
    <row r="2659" spans="14:18" x14ac:dyDescent="0.2">
      <c r="N2659" s="88" t="str">
        <f t="shared" si="47"/>
        <v>1w</v>
      </c>
      <c r="O2659" s="82">
        <f>_xll.qlCalendarAdvance(Calendar,O2658,N2659,"f",FALSE)</f>
        <v>57962</v>
      </c>
      <c r="P2659" s="92">
        <f>_xll.qlCalendarAdvance(Calendar,O2659,NDays&amp;"D")</f>
        <v>57964</v>
      </c>
      <c r="Q2659" s="81" t="e">
        <v>#N/A</v>
      </c>
      <c r="R2659" s="85" t="e">
        <v>#N/A</v>
      </c>
    </row>
    <row r="2660" spans="14:18" x14ac:dyDescent="0.2">
      <c r="N2660" s="88" t="str">
        <f t="shared" si="47"/>
        <v>1w</v>
      </c>
      <c r="O2660" s="82">
        <f>_xll.qlCalendarAdvance(Calendar,O2659,N2660,"f",FALSE)</f>
        <v>57969</v>
      </c>
      <c r="P2660" s="92">
        <f>_xll.qlCalendarAdvance(Calendar,O2660,NDays&amp;"D")</f>
        <v>57971</v>
      </c>
      <c r="Q2660" s="81" t="e">
        <v>#N/A</v>
      </c>
      <c r="R2660" s="85" t="e">
        <v>#N/A</v>
      </c>
    </row>
    <row r="2661" spans="14:18" x14ac:dyDescent="0.2">
      <c r="N2661" s="88" t="str">
        <f t="shared" si="47"/>
        <v>1w</v>
      </c>
      <c r="O2661" s="82">
        <f>_xll.qlCalendarAdvance(Calendar,O2660,N2661,"f",FALSE)</f>
        <v>57976</v>
      </c>
      <c r="P2661" s="92">
        <f>_xll.qlCalendarAdvance(Calendar,O2661,NDays&amp;"D")</f>
        <v>57978</v>
      </c>
      <c r="Q2661" s="81" t="e">
        <v>#N/A</v>
      </c>
      <c r="R2661" s="85" t="e">
        <v>#N/A</v>
      </c>
    </row>
    <row r="2662" spans="14:18" x14ac:dyDescent="0.2">
      <c r="N2662" s="88" t="str">
        <f t="shared" si="47"/>
        <v>1w</v>
      </c>
      <c r="O2662" s="82">
        <f>_xll.qlCalendarAdvance(Calendar,O2661,N2662,"f",FALSE)</f>
        <v>57983</v>
      </c>
      <c r="P2662" s="92">
        <f>_xll.qlCalendarAdvance(Calendar,O2662,NDays&amp;"D")</f>
        <v>57985</v>
      </c>
      <c r="Q2662" s="81" t="e">
        <v>#N/A</v>
      </c>
      <c r="R2662" s="85" t="e">
        <v>#N/A</v>
      </c>
    </row>
    <row r="2663" spans="14:18" x14ac:dyDescent="0.2">
      <c r="N2663" s="88" t="str">
        <f t="shared" si="47"/>
        <v>1w</v>
      </c>
      <c r="O2663" s="82">
        <f>_xll.qlCalendarAdvance(Calendar,O2662,N2663,"f",FALSE)</f>
        <v>57990</v>
      </c>
      <c r="P2663" s="92">
        <f>_xll.qlCalendarAdvance(Calendar,O2663,NDays&amp;"D")</f>
        <v>57992</v>
      </c>
      <c r="Q2663" s="81" t="e">
        <v>#N/A</v>
      </c>
      <c r="R2663" s="85" t="e">
        <v>#N/A</v>
      </c>
    </row>
    <row r="2664" spans="14:18" x14ac:dyDescent="0.2">
      <c r="N2664" s="88" t="str">
        <f t="shared" si="47"/>
        <v>1w</v>
      </c>
      <c r="O2664" s="82">
        <f>_xll.qlCalendarAdvance(Calendar,O2663,N2664,"f",FALSE)</f>
        <v>57997</v>
      </c>
      <c r="P2664" s="92">
        <f>_xll.qlCalendarAdvance(Calendar,O2664,NDays&amp;"D")</f>
        <v>57999</v>
      </c>
      <c r="Q2664" s="81" t="e">
        <v>#N/A</v>
      </c>
      <c r="R2664" s="85" t="e">
        <v>#N/A</v>
      </c>
    </row>
    <row r="2665" spans="14:18" x14ac:dyDescent="0.2">
      <c r="N2665" s="88" t="str">
        <f t="shared" si="47"/>
        <v>1w</v>
      </c>
      <c r="O2665" s="82">
        <f>_xll.qlCalendarAdvance(Calendar,O2664,N2665,"f",FALSE)</f>
        <v>58004</v>
      </c>
      <c r="P2665" s="92">
        <f>_xll.qlCalendarAdvance(Calendar,O2665,NDays&amp;"D")</f>
        <v>58006</v>
      </c>
      <c r="Q2665" s="81" t="e">
        <v>#N/A</v>
      </c>
      <c r="R2665" s="85" t="e">
        <v>#N/A</v>
      </c>
    </row>
    <row r="2666" spans="14:18" x14ac:dyDescent="0.2">
      <c r="N2666" s="88" t="str">
        <f t="shared" si="47"/>
        <v>1w</v>
      </c>
      <c r="O2666" s="82">
        <f>_xll.qlCalendarAdvance(Calendar,O2665,N2666,"f",FALSE)</f>
        <v>58011</v>
      </c>
      <c r="P2666" s="92">
        <f>_xll.qlCalendarAdvance(Calendar,O2666,NDays&amp;"D")</f>
        <v>58013</v>
      </c>
      <c r="Q2666" s="81" t="e">
        <v>#N/A</v>
      </c>
      <c r="R2666" s="85" t="e">
        <v>#N/A</v>
      </c>
    </row>
    <row r="2667" spans="14:18" x14ac:dyDescent="0.2">
      <c r="N2667" s="88" t="str">
        <f t="shared" si="47"/>
        <v>1w</v>
      </c>
      <c r="O2667" s="82">
        <f>_xll.qlCalendarAdvance(Calendar,O2666,N2667,"f",FALSE)</f>
        <v>58018</v>
      </c>
      <c r="P2667" s="92">
        <f>_xll.qlCalendarAdvance(Calendar,O2667,NDays&amp;"D")</f>
        <v>58020</v>
      </c>
      <c r="Q2667" s="81" t="e">
        <v>#N/A</v>
      </c>
      <c r="R2667" s="85" t="e">
        <v>#N/A</v>
      </c>
    </row>
    <row r="2668" spans="14:18" x14ac:dyDescent="0.2">
      <c r="N2668" s="88" t="str">
        <f t="shared" si="47"/>
        <v>1w</v>
      </c>
      <c r="O2668" s="82">
        <f>_xll.qlCalendarAdvance(Calendar,O2667,N2668,"f",FALSE)</f>
        <v>58025</v>
      </c>
      <c r="P2668" s="92">
        <f>_xll.qlCalendarAdvance(Calendar,O2668,NDays&amp;"D")</f>
        <v>58027</v>
      </c>
      <c r="Q2668" s="81" t="e">
        <v>#N/A</v>
      </c>
      <c r="R2668" s="85" t="e">
        <v>#N/A</v>
      </c>
    </row>
    <row r="2669" spans="14:18" x14ac:dyDescent="0.2">
      <c r="N2669" s="88" t="str">
        <f t="shared" si="47"/>
        <v>1w</v>
      </c>
      <c r="O2669" s="82">
        <f>_xll.qlCalendarAdvance(Calendar,O2668,N2669,"f",FALSE)</f>
        <v>58032</v>
      </c>
      <c r="P2669" s="92">
        <f>_xll.qlCalendarAdvance(Calendar,O2669,NDays&amp;"D")</f>
        <v>58034</v>
      </c>
      <c r="Q2669" s="81" t="e">
        <v>#N/A</v>
      </c>
      <c r="R2669" s="85" t="e">
        <v>#N/A</v>
      </c>
    </row>
    <row r="2670" spans="14:18" x14ac:dyDescent="0.2">
      <c r="N2670" s="88" t="str">
        <f t="shared" si="47"/>
        <v>1w</v>
      </c>
      <c r="O2670" s="82">
        <f>_xll.qlCalendarAdvance(Calendar,O2669,N2670,"f",FALSE)</f>
        <v>58039</v>
      </c>
      <c r="P2670" s="92">
        <f>_xll.qlCalendarAdvance(Calendar,O2670,NDays&amp;"D")</f>
        <v>58041</v>
      </c>
      <c r="Q2670" s="81" t="e">
        <v>#N/A</v>
      </c>
      <c r="R2670" s="85" t="e">
        <v>#N/A</v>
      </c>
    </row>
    <row r="2671" spans="14:18" x14ac:dyDescent="0.2">
      <c r="N2671" s="88" t="str">
        <f t="shared" si="47"/>
        <v>1w</v>
      </c>
      <c r="O2671" s="82">
        <f>_xll.qlCalendarAdvance(Calendar,O2670,N2671,"f",FALSE)</f>
        <v>58046</v>
      </c>
      <c r="P2671" s="92">
        <f>_xll.qlCalendarAdvance(Calendar,O2671,NDays&amp;"D")</f>
        <v>58048</v>
      </c>
      <c r="Q2671" s="81" t="e">
        <v>#N/A</v>
      </c>
      <c r="R2671" s="85" t="e">
        <v>#N/A</v>
      </c>
    </row>
    <row r="2672" spans="14:18" x14ac:dyDescent="0.2">
      <c r="N2672" s="88" t="str">
        <f t="shared" si="47"/>
        <v>1w</v>
      </c>
      <c r="O2672" s="82">
        <f>_xll.qlCalendarAdvance(Calendar,O2671,N2672,"f",FALSE)</f>
        <v>58053</v>
      </c>
      <c r="P2672" s="92">
        <f>_xll.qlCalendarAdvance(Calendar,O2672,NDays&amp;"D")</f>
        <v>58055</v>
      </c>
      <c r="Q2672" s="81" t="e">
        <v>#N/A</v>
      </c>
      <c r="R2672" s="85" t="e">
        <v>#N/A</v>
      </c>
    </row>
    <row r="2673" spans="14:18" x14ac:dyDescent="0.2">
      <c r="N2673" s="88" t="str">
        <f t="shared" si="47"/>
        <v>1w</v>
      </c>
      <c r="O2673" s="82">
        <f>_xll.qlCalendarAdvance(Calendar,O2672,N2673,"f",FALSE)</f>
        <v>58060</v>
      </c>
      <c r="P2673" s="92">
        <f>_xll.qlCalendarAdvance(Calendar,O2673,NDays&amp;"D")</f>
        <v>58062</v>
      </c>
      <c r="Q2673" s="81" t="e">
        <v>#N/A</v>
      </c>
      <c r="R2673" s="85" t="e">
        <v>#N/A</v>
      </c>
    </row>
    <row r="2674" spans="14:18" x14ac:dyDescent="0.2">
      <c r="N2674" s="88" t="str">
        <f t="shared" si="47"/>
        <v>1w</v>
      </c>
      <c r="O2674" s="82">
        <f>_xll.qlCalendarAdvance(Calendar,O2673,N2674,"f",FALSE)</f>
        <v>58067</v>
      </c>
      <c r="P2674" s="92">
        <f>_xll.qlCalendarAdvance(Calendar,O2674,NDays&amp;"D")</f>
        <v>58074</v>
      </c>
      <c r="Q2674" s="81" t="e">
        <v>#N/A</v>
      </c>
      <c r="R2674" s="85" t="e">
        <v>#N/A</v>
      </c>
    </row>
    <row r="2675" spans="14:18" x14ac:dyDescent="0.2">
      <c r="N2675" s="88" t="str">
        <f t="shared" si="47"/>
        <v>1w</v>
      </c>
      <c r="O2675" s="82">
        <f>_xll.qlCalendarAdvance(Calendar,O2674,N2675,"f",FALSE)</f>
        <v>58074</v>
      </c>
      <c r="P2675" s="92">
        <f>_xll.qlCalendarAdvance(Calendar,O2675,NDays&amp;"D")</f>
        <v>58078</v>
      </c>
      <c r="Q2675" s="81" t="e">
        <v>#N/A</v>
      </c>
      <c r="R2675" s="85" t="e">
        <v>#N/A</v>
      </c>
    </row>
    <row r="2676" spans="14:18" x14ac:dyDescent="0.2">
      <c r="N2676" s="88" t="str">
        <f t="shared" si="47"/>
        <v>1w</v>
      </c>
      <c r="O2676" s="82">
        <f>_xll.qlCalendarAdvance(Calendar,O2675,N2676,"f",FALSE)</f>
        <v>58082</v>
      </c>
      <c r="P2676" s="92">
        <f>_xll.qlCalendarAdvance(Calendar,O2676,NDays&amp;"D")</f>
        <v>58084</v>
      </c>
      <c r="Q2676" s="81" t="e">
        <v>#N/A</v>
      </c>
      <c r="R2676" s="85" t="e">
        <v>#N/A</v>
      </c>
    </row>
    <row r="2677" spans="14:18" x14ac:dyDescent="0.2">
      <c r="N2677" s="88" t="str">
        <f t="shared" si="47"/>
        <v>1w</v>
      </c>
      <c r="O2677" s="82">
        <f>_xll.qlCalendarAdvance(Calendar,O2676,N2677,"f",FALSE)</f>
        <v>58089</v>
      </c>
      <c r="P2677" s="92">
        <f>_xll.qlCalendarAdvance(Calendar,O2677,NDays&amp;"D")</f>
        <v>58091</v>
      </c>
      <c r="Q2677" s="81" t="e">
        <v>#N/A</v>
      </c>
      <c r="R2677" s="85" t="e">
        <v>#N/A</v>
      </c>
    </row>
    <row r="2678" spans="14:18" x14ac:dyDescent="0.2">
      <c r="N2678" s="88" t="str">
        <f t="shared" si="47"/>
        <v>1w</v>
      </c>
      <c r="O2678" s="82">
        <f>_xll.qlCalendarAdvance(Calendar,O2677,N2678,"f",FALSE)</f>
        <v>58096</v>
      </c>
      <c r="P2678" s="92">
        <f>_xll.qlCalendarAdvance(Calendar,O2678,NDays&amp;"D")</f>
        <v>58098</v>
      </c>
      <c r="Q2678" s="81" t="e">
        <v>#N/A</v>
      </c>
      <c r="R2678" s="85" t="e">
        <v>#N/A</v>
      </c>
    </row>
    <row r="2679" spans="14:18" x14ac:dyDescent="0.2">
      <c r="N2679" s="88" t="str">
        <f t="shared" si="47"/>
        <v>1w</v>
      </c>
      <c r="O2679" s="82">
        <f>_xll.qlCalendarAdvance(Calendar,O2678,N2679,"f",FALSE)</f>
        <v>58103</v>
      </c>
      <c r="P2679" s="92">
        <f>_xll.qlCalendarAdvance(Calendar,O2679,NDays&amp;"D")</f>
        <v>58105</v>
      </c>
      <c r="Q2679" s="81" t="e">
        <v>#N/A</v>
      </c>
      <c r="R2679" s="85" t="e">
        <v>#N/A</v>
      </c>
    </row>
    <row r="2680" spans="14:18" x14ac:dyDescent="0.2">
      <c r="N2680" s="88" t="str">
        <f t="shared" si="47"/>
        <v>1w</v>
      </c>
      <c r="O2680" s="82">
        <f>_xll.qlCalendarAdvance(Calendar,O2679,N2680,"f",FALSE)</f>
        <v>58110</v>
      </c>
      <c r="P2680" s="92">
        <f>_xll.qlCalendarAdvance(Calendar,O2680,NDays&amp;"D")</f>
        <v>58112</v>
      </c>
      <c r="Q2680" s="81" t="e">
        <v>#N/A</v>
      </c>
      <c r="R2680" s="85" t="e">
        <v>#N/A</v>
      </c>
    </row>
    <row r="2681" spans="14:18" x14ac:dyDescent="0.2">
      <c r="N2681" s="88" t="str">
        <f t="shared" si="47"/>
        <v>1w</v>
      </c>
      <c r="O2681" s="82">
        <f>_xll.qlCalendarAdvance(Calendar,O2680,N2681,"f",FALSE)</f>
        <v>58117</v>
      </c>
      <c r="P2681" s="92">
        <f>_xll.qlCalendarAdvance(Calendar,O2681,NDays&amp;"D")</f>
        <v>58119</v>
      </c>
      <c r="Q2681" s="81" t="e">
        <v>#N/A</v>
      </c>
      <c r="R2681" s="85" t="e">
        <v>#N/A</v>
      </c>
    </row>
    <row r="2682" spans="14:18" x14ac:dyDescent="0.2">
      <c r="N2682" s="88" t="str">
        <f t="shared" si="47"/>
        <v>1w</v>
      </c>
      <c r="O2682" s="82">
        <f>_xll.qlCalendarAdvance(Calendar,O2681,N2682,"f",FALSE)</f>
        <v>58124</v>
      </c>
      <c r="P2682" s="92">
        <f>_xll.qlCalendarAdvance(Calendar,O2682,NDays&amp;"D")</f>
        <v>58126</v>
      </c>
      <c r="Q2682" s="81" t="e">
        <v>#N/A</v>
      </c>
      <c r="R2682" s="85" t="e">
        <v>#N/A</v>
      </c>
    </row>
    <row r="2683" spans="14:18" x14ac:dyDescent="0.2">
      <c r="N2683" s="88" t="str">
        <f t="shared" si="47"/>
        <v>1w</v>
      </c>
      <c r="O2683" s="82">
        <f>_xll.qlCalendarAdvance(Calendar,O2682,N2683,"f",FALSE)</f>
        <v>58131</v>
      </c>
      <c r="P2683" s="92">
        <f>_xll.qlCalendarAdvance(Calendar,O2683,NDays&amp;"D")</f>
        <v>58133</v>
      </c>
      <c r="Q2683" s="81" t="e">
        <v>#N/A</v>
      </c>
      <c r="R2683" s="85" t="e">
        <v>#N/A</v>
      </c>
    </row>
    <row r="2684" spans="14:18" x14ac:dyDescent="0.2">
      <c r="N2684" s="88" t="str">
        <f t="shared" si="47"/>
        <v>1w</v>
      </c>
      <c r="O2684" s="82">
        <f>_xll.qlCalendarAdvance(Calendar,O2683,N2684,"f",FALSE)</f>
        <v>58138</v>
      </c>
      <c r="P2684" s="92">
        <f>_xll.qlCalendarAdvance(Calendar,O2684,NDays&amp;"D")</f>
        <v>58140</v>
      </c>
      <c r="Q2684" s="81" t="e">
        <v>#N/A</v>
      </c>
      <c r="R2684" s="85" t="e">
        <v>#N/A</v>
      </c>
    </row>
    <row r="2685" spans="14:18" x14ac:dyDescent="0.2">
      <c r="N2685" s="88" t="str">
        <f t="shared" si="47"/>
        <v>1w</v>
      </c>
      <c r="O2685" s="82">
        <f>_xll.qlCalendarAdvance(Calendar,O2684,N2685,"f",FALSE)</f>
        <v>58145</v>
      </c>
      <c r="P2685" s="92">
        <f>_xll.qlCalendarAdvance(Calendar,O2685,NDays&amp;"D")</f>
        <v>58147</v>
      </c>
      <c r="Q2685" s="81" t="e">
        <v>#N/A</v>
      </c>
      <c r="R2685" s="85" t="e">
        <v>#N/A</v>
      </c>
    </row>
    <row r="2686" spans="14:18" x14ac:dyDescent="0.2">
      <c r="N2686" s="88" t="str">
        <f t="shared" si="47"/>
        <v>1w</v>
      </c>
      <c r="O2686" s="82">
        <f>_xll.qlCalendarAdvance(Calendar,O2685,N2686,"f",FALSE)</f>
        <v>58152</v>
      </c>
      <c r="P2686" s="92">
        <f>_xll.qlCalendarAdvance(Calendar,O2686,NDays&amp;"D")</f>
        <v>58154</v>
      </c>
      <c r="Q2686" s="81" t="e">
        <v>#N/A</v>
      </c>
      <c r="R2686" s="85" t="e">
        <v>#N/A</v>
      </c>
    </row>
    <row r="2687" spans="14:18" x14ac:dyDescent="0.2">
      <c r="N2687" s="88" t="str">
        <f t="shared" si="47"/>
        <v>1w</v>
      </c>
      <c r="O2687" s="82">
        <f>_xll.qlCalendarAdvance(Calendar,O2686,N2687,"f",FALSE)</f>
        <v>58159</v>
      </c>
      <c r="P2687" s="92">
        <f>_xll.qlCalendarAdvance(Calendar,O2687,NDays&amp;"D")</f>
        <v>58161</v>
      </c>
      <c r="Q2687" s="81" t="e">
        <v>#N/A</v>
      </c>
      <c r="R2687" s="85" t="e">
        <v>#N/A</v>
      </c>
    </row>
    <row r="2688" spans="14:18" x14ac:dyDescent="0.2">
      <c r="N2688" s="88" t="str">
        <f t="shared" si="47"/>
        <v>1w</v>
      </c>
      <c r="O2688" s="82">
        <f>_xll.qlCalendarAdvance(Calendar,O2687,N2688,"f",FALSE)</f>
        <v>58166</v>
      </c>
      <c r="P2688" s="92">
        <f>_xll.qlCalendarAdvance(Calendar,O2688,NDays&amp;"D")</f>
        <v>58168</v>
      </c>
      <c r="Q2688" s="81" t="e">
        <v>#N/A</v>
      </c>
      <c r="R2688" s="85" t="e">
        <v>#N/A</v>
      </c>
    </row>
    <row r="2689" spans="14:18" x14ac:dyDescent="0.2">
      <c r="N2689" s="88" t="str">
        <f t="shared" si="47"/>
        <v>1w</v>
      </c>
      <c r="O2689" s="82">
        <f>_xll.qlCalendarAdvance(Calendar,O2688,N2689,"f",FALSE)</f>
        <v>58173</v>
      </c>
      <c r="P2689" s="92">
        <f>_xll.qlCalendarAdvance(Calendar,O2689,NDays&amp;"D")</f>
        <v>58175</v>
      </c>
      <c r="Q2689" s="81" t="e">
        <v>#N/A</v>
      </c>
      <c r="R2689" s="85" t="e">
        <v>#N/A</v>
      </c>
    </row>
    <row r="2690" spans="14:18" x14ac:dyDescent="0.2">
      <c r="N2690" s="88" t="str">
        <f t="shared" si="47"/>
        <v>1w</v>
      </c>
      <c r="O2690" s="82">
        <f>_xll.qlCalendarAdvance(Calendar,O2689,N2690,"f",FALSE)</f>
        <v>58180</v>
      </c>
      <c r="P2690" s="92">
        <f>_xll.qlCalendarAdvance(Calendar,O2690,NDays&amp;"D")</f>
        <v>58182</v>
      </c>
      <c r="Q2690" s="81" t="e">
        <v>#N/A</v>
      </c>
      <c r="R2690" s="85" t="e">
        <v>#N/A</v>
      </c>
    </row>
    <row r="2691" spans="14:18" x14ac:dyDescent="0.2">
      <c r="N2691" s="88" t="str">
        <f t="shared" si="47"/>
        <v>1w</v>
      </c>
      <c r="O2691" s="82">
        <f>_xll.qlCalendarAdvance(Calendar,O2690,N2691,"f",FALSE)</f>
        <v>58187</v>
      </c>
      <c r="P2691" s="92">
        <f>_xll.qlCalendarAdvance(Calendar,O2691,NDays&amp;"D")</f>
        <v>58189</v>
      </c>
      <c r="Q2691" s="81" t="e">
        <v>#N/A</v>
      </c>
      <c r="R2691" s="85" t="e">
        <v>#N/A</v>
      </c>
    </row>
    <row r="2692" spans="14:18" x14ac:dyDescent="0.2">
      <c r="N2692" s="88" t="str">
        <f t="shared" si="47"/>
        <v>1w</v>
      </c>
      <c r="O2692" s="82">
        <f>_xll.qlCalendarAdvance(Calendar,O2691,N2692,"f",FALSE)</f>
        <v>58194</v>
      </c>
      <c r="P2692" s="92">
        <f>_xll.qlCalendarAdvance(Calendar,O2692,NDays&amp;"D")</f>
        <v>58197</v>
      </c>
      <c r="Q2692" s="81" t="e">
        <v>#N/A</v>
      </c>
      <c r="R2692" s="85" t="e">
        <v>#N/A</v>
      </c>
    </row>
    <row r="2693" spans="14:18" x14ac:dyDescent="0.2">
      <c r="N2693" s="88" t="str">
        <f t="shared" si="47"/>
        <v>1w</v>
      </c>
      <c r="O2693" s="82">
        <f>_xll.qlCalendarAdvance(Calendar,O2692,N2693,"f",FALSE)</f>
        <v>58201</v>
      </c>
      <c r="P2693" s="92">
        <f>_xll.qlCalendarAdvance(Calendar,O2693,NDays&amp;"D")</f>
        <v>58204</v>
      </c>
      <c r="Q2693" s="81" t="e">
        <v>#N/A</v>
      </c>
      <c r="R2693" s="85" t="e">
        <v>#N/A</v>
      </c>
    </row>
    <row r="2694" spans="14:18" x14ac:dyDescent="0.2">
      <c r="N2694" s="88" t="str">
        <f t="shared" si="47"/>
        <v>1w</v>
      </c>
      <c r="O2694" s="82">
        <f>_xll.qlCalendarAdvance(Calendar,O2693,N2694,"f",FALSE)</f>
        <v>58208</v>
      </c>
      <c r="P2694" s="92">
        <f>_xll.qlCalendarAdvance(Calendar,O2694,NDays&amp;"D")</f>
        <v>58210</v>
      </c>
      <c r="Q2694" s="81" t="e">
        <v>#N/A</v>
      </c>
      <c r="R2694" s="85" t="e">
        <v>#N/A</v>
      </c>
    </row>
    <row r="2695" spans="14:18" x14ac:dyDescent="0.2">
      <c r="N2695" s="88" t="str">
        <f t="shared" si="47"/>
        <v>1w</v>
      </c>
      <c r="O2695" s="82">
        <f>_xll.qlCalendarAdvance(Calendar,O2694,N2695,"f",FALSE)</f>
        <v>58215</v>
      </c>
      <c r="P2695" s="92">
        <f>_xll.qlCalendarAdvance(Calendar,O2695,NDays&amp;"D")</f>
        <v>58217</v>
      </c>
      <c r="Q2695" s="81" t="e">
        <v>#N/A</v>
      </c>
      <c r="R2695" s="85" t="e">
        <v>#N/A</v>
      </c>
    </row>
    <row r="2696" spans="14:18" x14ac:dyDescent="0.2">
      <c r="N2696" s="88" t="str">
        <f t="shared" si="47"/>
        <v>1w</v>
      </c>
      <c r="O2696" s="82">
        <f>_xll.qlCalendarAdvance(Calendar,O2695,N2696,"f",FALSE)</f>
        <v>58222</v>
      </c>
      <c r="P2696" s="92">
        <f>_xll.qlCalendarAdvance(Calendar,O2696,NDays&amp;"D")</f>
        <v>58224</v>
      </c>
      <c r="Q2696" s="81" t="e">
        <v>#N/A</v>
      </c>
      <c r="R2696" s="85" t="e">
        <v>#N/A</v>
      </c>
    </row>
    <row r="2697" spans="14:18" x14ac:dyDescent="0.2">
      <c r="N2697" s="88" t="str">
        <f t="shared" si="47"/>
        <v>1w</v>
      </c>
      <c r="O2697" s="82">
        <f>_xll.qlCalendarAdvance(Calendar,O2696,N2697,"f",FALSE)</f>
        <v>58229</v>
      </c>
      <c r="P2697" s="92">
        <f>_xll.qlCalendarAdvance(Calendar,O2697,NDays&amp;"D")</f>
        <v>58231</v>
      </c>
      <c r="Q2697" s="81" t="e">
        <v>#N/A</v>
      </c>
      <c r="R2697" s="85" t="e">
        <v>#N/A</v>
      </c>
    </row>
    <row r="2698" spans="14:18" x14ac:dyDescent="0.2">
      <c r="N2698" s="88" t="str">
        <f t="shared" si="47"/>
        <v>1w</v>
      </c>
      <c r="O2698" s="82">
        <f>_xll.qlCalendarAdvance(Calendar,O2697,N2698,"f",FALSE)</f>
        <v>58236</v>
      </c>
      <c r="P2698" s="92">
        <f>_xll.qlCalendarAdvance(Calendar,O2698,NDays&amp;"D")</f>
        <v>58238</v>
      </c>
      <c r="Q2698" s="81" t="e">
        <v>#N/A</v>
      </c>
      <c r="R2698" s="85" t="e">
        <v>#N/A</v>
      </c>
    </row>
    <row r="2699" spans="14:18" x14ac:dyDescent="0.2">
      <c r="N2699" s="88" t="str">
        <f t="shared" si="47"/>
        <v>1w</v>
      </c>
      <c r="O2699" s="82">
        <f>_xll.qlCalendarAdvance(Calendar,O2698,N2699,"f",FALSE)</f>
        <v>58243</v>
      </c>
      <c r="P2699" s="92">
        <f>_xll.qlCalendarAdvance(Calendar,O2699,NDays&amp;"D")</f>
        <v>58245</v>
      </c>
      <c r="Q2699" s="81" t="e">
        <v>#N/A</v>
      </c>
      <c r="R2699" s="85" t="e">
        <v>#N/A</v>
      </c>
    </row>
    <row r="2700" spans="14:18" x14ac:dyDescent="0.2">
      <c r="N2700" s="88" t="str">
        <f t="shared" si="47"/>
        <v>1w</v>
      </c>
      <c r="O2700" s="82">
        <f>_xll.qlCalendarAdvance(Calendar,O2699,N2700,"f",FALSE)</f>
        <v>58250</v>
      </c>
      <c r="P2700" s="92">
        <f>_xll.qlCalendarAdvance(Calendar,O2700,NDays&amp;"D")</f>
        <v>58252</v>
      </c>
      <c r="Q2700" s="81" t="e">
        <v>#N/A</v>
      </c>
      <c r="R2700" s="85" t="e">
        <v>#N/A</v>
      </c>
    </row>
    <row r="2701" spans="14:18" x14ac:dyDescent="0.2">
      <c r="N2701" s="88" t="str">
        <f t="shared" si="47"/>
        <v>1w</v>
      </c>
      <c r="O2701" s="82">
        <f>_xll.qlCalendarAdvance(Calendar,O2700,N2701,"f",FALSE)</f>
        <v>58257</v>
      </c>
      <c r="P2701" s="92">
        <f>_xll.qlCalendarAdvance(Calendar,O2701,NDays&amp;"D")</f>
        <v>58259</v>
      </c>
      <c r="Q2701" s="81" t="e">
        <v>#N/A</v>
      </c>
      <c r="R2701" s="85" t="e">
        <v>#N/A</v>
      </c>
    </row>
    <row r="2702" spans="14:18" x14ac:dyDescent="0.2">
      <c r="N2702" s="88" t="str">
        <f t="shared" si="47"/>
        <v>1w</v>
      </c>
      <c r="O2702" s="82">
        <f>_xll.qlCalendarAdvance(Calendar,O2701,N2702,"f",FALSE)</f>
        <v>58264</v>
      </c>
      <c r="P2702" s="92">
        <f>_xll.qlCalendarAdvance(Calendar,O2702,NDays&amp;"D")</f>
        <v>58266</v>
      </c>
      <c r="Q2702" s="81" t="e">
        <v>#N/A</v>
      </c>
      <c r="R2702" s="85" t="e">
        <v>#N/A</v>
      </c>
    </row>
    <row r="2703" spans="14:18" x14ac:dyDescent="0.2">
      <c r="N2703" s="88" t="str">
        <f t="shared" si="47"/>
        <v>1w</v>
      </c>
      <c r="O2703" s="82">
        <f>_xll.qlCalendarAdvance(Calendar,O2702,N2703,"f",FALSE)</f>
        <v>58271</v>
      </c>
      <c r="P2703" s="92">
        <f>_xll.qlCalendarAdvance(Calendar,O2703,NDays&amp;"D")</f>
        <v>58273</v>
      </c>
      <c r="Q2703" s="81" t="e">
        <v>#N/A</v>
      </c>
      <c r="R2703" s="85" t="e">
        <v>#N/A</v>
      </c>
    </row>
    <row r="2704" spans="14:18" x14ac:dyDescent="0.2">
      <c r="N2704" s="88" t="str">
        <f t="shared" si="47"/>
        <v>1w</v>
      </c>
      <c r="O2704" s="82">
        <f>_xll.qlCalendarAdvance(Calendar,O2703,N2704,"f",FALSE)</f>
        <v>58278</v>
      </c>
      <c r="P2704" s="92">
        <f>_xll.qlCalendarAdvance(Calendar,O2704,NDays&amp;"D")</f>
        <v>58280</v>
      </c>
      <c r="Q2704" s="81" t="e">
        <v>#N/A</v>
      </c>
      <c r="R2704" s="85" t="e">
        <v>#N/A</v>
      </c>
    </row>
    <row r="2705" spans="14:18" x14ac:dyDescent="0.2">
      <c r="N2705" s="88" t="str">
        <f t="shared" si="47"/>
        <v>1w</v>
      </c>
      <c r="O2705" s="82">
        <f>_xll.qlCalendarAdvance(Calendar,O2704,N2705,"f",FALSE)</f>
        <v>58285</v>
      </c>
      <c r="P2705" s="92">
        <f>_xll.qlCalendarAdvance(Calendar,O2705,NDays&amp;"D")</f>
        <v>58287</v>
      </c>
      <c r="Q2705" s="81" t="e">
        <v>#N/A</v>
      </c>
      <c r="R2705" s="85" t="e">
        <v>#N/A</v>
      </c>
    </row>
    <row r="2706" spans="14:18" x14ac:dyDescent="0.2">
      <c r="N2706" s="88" t="str">
        <f t="shared" si="47"/>
        <v>1w</v>
      </c>
      <c r="O2706" s="82">
        <f>_xll.qlCalendarAdvance(Calendar,O2705,N2706,"f",FALSE)</f>
        <v>58292</v>
      </c>
      <c r="P2706" s="92">
        <f>_xll.qlCalendarAdvance(Calendar,O2706,NDays&amp;"D")</f>
        <v>58294</v>
      </c>
      <c r="Q2706" s="81" t="e">
        <v>#N/A</v>
      </c>
      <c r="R2706" s="85" t="e">
        <v>#N/A</v>
      </c>
    </row>
    <row r="2707" spans="14:18" x14ac:dyDescent="0.2">
      <c r="N2707" s="88" t="str">
        <f t="shared" si="47"/>
        <v>1w</v>
      </c>
      <c r="O2707" s="82">
        <f>_xll.qlCalendarAdvance(Calendar,O2706,N2707,"f",FALSE)</f>
        <v>58299</v>
      </c>
      <c r="P2707" s="92">
        <f>_xll.qlCalendarAdvance(Calendar,O2707,NDays&amp;"D")</f>
        <v>58301</v>
      </c>
      <c r="Q2707" s="81" t="e">
        <v>#N/A</v>
      </c>
      <c r="R2707" s="85" t="e">
        <v>#N/A</v>
      </c>
    </row>
    <row r="2708" spans="14:18" x14ac:dyDescent="0.2">
      <c r="N2708" s="88" t="str">
        <f t="shared" si="47"/>
        <v>1w</v>
      </c>
      <c r="O2708" s="82">
        <f>_xll.qlCalendarAdvance(Calendar,O2707,N2708,"f",FALSE)</f>
        <v>58306</v>
      </c>
      <c r="P2708" s="92">
        <f>_xll.qlCalendarAdvance(Calendar,O2708,NDays&amp;"D")</f>
        <v>58308</v>
      </c>
      <c r="Q2708" s="81" t="e">
        <v>#N/A</v>
      </c>
      <c r="R2708" s="85" t="e">
        <v>#N/A</v>
      </c>
    </row>
    <row r="2709" spans="14:18" x14ac:dyDescent="0.2">
      <c r="N2709" s="88" t="str">
        <f t="shared" ref="N2709:N2772" si="48">N2708</f>
        <v>1w</v>
      </c>
      <c r="O2709" s="82">
        <f>_xll.qlCalendarAdvance(Calendar,O2708,N2709,"f",FALSE)</f>
        <v>58313</v>
      </c>
      <c r="P2709" s="92">
        <f>_xll.qlCalendarAdvance(Calendar,O2709,NDays&amp;"D")</f>
        <v>58315</v>
      </c>
      <c r="Q2709" s="81" t="e">
        <v>#N/A</v>
      </c>
      <c r="R2709" s="85" t="e">
        <v>#N/A</v>
      </c>
    </row>
    <row r="2710" spans="14:18" x14ac:dyDescent="0.2">
      <c r="N2710" s="88" t="str">
        <f t="shared" si="48"/>
        <v>1w</v>
      </c>
      <c r="O2710" s="82">
        <f>_xll.qlCalendarAdvance(Calendar,O2709,N2710,"f",FALSE)</f>
        <v>58320</v>
      </c>
      <c r="P2710" s="92">
        <f>_xll.qlCalendarAdvance(Calendar,O2710,NDays&amp;"D")</f>
        <v>58322</v>
      </c>
      <c r="Q2710" s="81" t="e">
        <v>#N/A</v>
      </c>
      <c r="R2710" s="85" t="e">
        <v>#N/A</v>
      </c>
    </row>
    <row r="2711" spans="14:18" x14ac:dyDescent="0.2">
      <c r="N2711" s="88" t="str">
        <f t="shared" si="48"/>
        <v>1w</v>
      </c>
      <c r="O2711" s="82">
        <f>_xll.qlCalendarAdvance(Calendar,O2710,N2711,"f",FALSE)</f>
        <v>58327</v>
      </c>
      <c r="P2711" s="92">
        <f>_xll.qlCalendarAdvance(Calendar,O2711,NDays&amp;"D")</f>
        <v>58329</v>
      </c>
      <c r="Q2711" s="81" t="e">
        <v>#N/A</v>
      </c>
      <c r="R2711" s="85" t="e">
        <v>#N/A</v>
      </c>
    </row>
    <row r="2712" spans="14:18" x14ac:dyDescent="0.2">
      <c r="N2712" s="88" t="str">
        <f t="shared" si="48"/>
        <v>1w</v>
      </c>
      <c r="O2712" s="82">
        <f>_xll.qlCalendarAdvance(Calendar,O2711,N2712,"f",FALSE)</f>
        <v>58334</v>
      </c>
      <c r="P2712" s="92">
        <f>_xll.qlCalendarAdvance(Calendar,O2712,NDays&amp;"D")</f>
        <v>58336</v>
      </c>
      <c r="Q2712" s="81" t="e">
        <v>#N/A</v>
      </c>
      <c r="R2712" s="85" t="e">
        <v>#N/A</v>
      </c>
    </row>
    <row r="2713" spans="14:18" x14ac:dyDescent="0.2">
      <c r="N2713" s="88" t="str">
        <f t="shared" si="48"/>
        <v>1w</v>
      </c>
      <c r="O2713" s="82">
        <f>_xll.qlCalendarAdvance(Calendar,O2712,N2713,"f",FALSE)</f>
        <v>58341</v>
      </c>
      <c r="P2713" s="92">
        <f>_xll.qlCalendarAdvance(Calendar,O2713,NDays&amp;"D")</f>
        <v>58343</v>
      </c>
      <c r="Q2713" s="81" t="e">
        <v>#N/A</v>
      </c>
      <c r="R2713" s="85" t="e">
        <v>#N/A</v>
      </c>
    </row>
    <row r="2714" spans="14:18" x14ac:dyDescent="0.2">
      <c r="N2714" s="88" t="str">
        <f t="shared" si="48"/>
        <v>1w</v>
      </c>
      <c r="O2714" s="82">
        <f>_xll.qlCalendarAdvance(Calendar,O2713,N2714,"f",FALSE)</f>
        <v>58348</v>
      </c>
      <c r="P2714" s="92">
        <f>_xll.qlCalendarAdvance(Calendar,O2714,NDays&amp;"D")</f>
        <v>58350</v>
      </c>
      <c r="Q2714" s="81" t="e">
        <v>#N/A</v>
      </c>
      <c r="R2714" s="85" t="e">
        <v>#N/A</v>
      </c>
    </row>
    <row r="2715" spans="14:18" x14ac:dyDescent="0.2">
      <c r="N2715" s="88" t="str">
        <f t="shared" si="48"/>
        <v>1w</v>
      </c>
      <c r="O2715" s="82">
        <f>_xll.qlCalendarAdvance(Calendar,O2714,N2715,"f",FALSE)</f>
        <v>58355</v>
      </c>
      <c r="P2715" s="92">
        <f>_xll.qlCalendarAdvance(Calendar,O2715,NDays&amp;"D")</f>
        <v>58357</v>
      </c>
      <c r="Q2715" s="81" t="e">
        <v>#N/A</v>
      </c>
      <c r="R2715" s="85" t="e">
        <v>#N/A</v>
      </c>
    </row>
    <row r="2716" spans="14:18" x14ac:dyDescent="0.2">
      <c r="N2716" s="88" t="str">
        <f t="shared" si="48"/>
        <v>1w</v>
      </c>
      <c r="O2716" s="82">
        <f>_xll.qlCalendarAdvance(Calendar,O2715,N2716,"f",FALSE)</f>
        <v>58362</v>
      </c>
      <c r="P2716" s="92">
        <f>_xll.qlCalendarAdvance(Calendar,O2716,NDays&amp;"D")</f>
        <v>58364</v>
      </c>
      <c r="Q2716" s="81" t="e">
        <v>#N/A</v>
      </c>
      <c r="R2716" s="85" t="e">
        <v>#N/A</v>
      </c>
    </row>
    <row r="2717" spans="14:18" x14ac:dyDescent="0.2">
      <c r="N2717" s="88" t="str">
        <f t="shared" si="48"/>
        <v>1w</v>
      </c>
      <c r="O2717" s="82">
        <f>_xll.qlCalendarAdvance(Calendar,O2716,N2717,"f",FALSE)</f>
        <v>58369</v>
      </c>
      <c r="P2717" s="92">
        <f>_xll.qlCalendarAdvance(Calendar,O2717,NDays&amp;"D")</f>
        <v>58371</v>
      </c>
      <c r="Q2717" s="81" t="e">
        <v>#N/A</v>
      </c>
      <c r="R2717" s="85" t="e">
        <v>#N/A</v>
      </c>
    </row>
    <row r="2718" spans="14:18" x14ac:dyDescent="0.2">
      <c r="N2718" s="88" t="str">
        <f t="shared" si="48"/>
        <v>1w</v>
      </c>
      <c r="O2718" s="82">
        <f>_xll.qlCalendarAdvance(Calendar,O2717,N2718,"f",FALSE)</f>
        <v>58376</v>
      </c>
      <c r="P2718" s="92">
        <f>_xll.qlCalendarAdvance(Calendar,O2718,NDays&amp;"D")</f>
        <v>58378</v>
      </c>
      <c r="Q2718" s="81" t="e">
        <v>#N/A</v>
      </c>
      <c r="R2718" s="85" t="e">
        <v>#N/A</v>
      </c>
    </row>
    <row r="2719" spans="14:18" x14ac:dyDescent="0.2">
      <c r="N2719" s="88" t="str">
        <f t="shared" si="48"/>
        <v>1w</v>
      </c>
      <c r="O2719" s="82">
        <f>_xll.qlCalendarAdvance(Calendar,O2718,N2719,"f",FALSE)</f>
        <v>58383</v>
      </c>
      <c r="P2719" s="92">
        <f>_xll.qlCalendarAdvance(Calendar,O2719,NDays&amp;"D")</f>
        <v>58385</v>
      </c>
      <c r="Q2719" s="81" t="e">
        <v>#N/A</v>
      </c>
      <c r="R2719" s="85" t="e">
        <v>#N/A</v>
      </c>
    </row>
    <row r="2720" spans="14:18" x14ac:dyDescent="0.2">
      <c r="N2720" s="88" t="str">
        <f t="shared" si="48"/>
        <v>1w</v>
      </c>
      <c r="O2720" s="82">
        <f>_xll.qlCalendarAdvance(Calendar,O2719,N2720,"f",FALSE)</f>
        <v>58390</v>
      </c>
      <c r="P2720" s="92">
        <f>_xll.qlCalendarAdvance(Calendar,O2720,NDays&amp;"D")</f>
        <v>58392</v>
      </c>
      <c r="Q2720" s="81" t="e">
        <v>#N/A</v>
      </c>
      <c r="R2720" s="85" t="e">
        <v>#N/A</v>
      </c>
    </row>
    <row r="2721" spans="14:18" x14ac:dyDescent="0.2">
      <c r="N2721" s="88" t="str">
        <f t="shared" si="48"/>
        <v>1w</v>
      </c>
      <c r="O2721" s="82">
        <f>_xll.qlCalendarAdvance(Calendar,O2720,N2721,"f",FALSE)</f>
        <v>58397</v>
      </c>
      <c r="P2721" s="92">
        <f>_xll.qlCalendarAdvance(Calendar,O2721,NDays&amp;"D")</f>
        <v>58399</v>
      </c>
      <c r="Q2721" s="81" t="e">
        <v>#N/A</v>
      </c>
      <c r="R2721" s="85" t="e">
        <v>#N/A</v>
      </c>
    </row>
    <row r="2722" spans="14:18" x14ac:dyDescent="0.2">
      <c r="N2722" s="88" t="str">
        <f t="shared" si="48"/>
        <v>1w</v>
      </c>
      <c r="O2722" s="82">
        <f>_xll.qlCalendarAdvance(Calendar,O2721,N2722,"f",FALSE)</f>
        <v>58404</v>
      </c>
      <c r="P2722" s="92">
        <f>_xll.qlCalendarAdvance(Calendar,O2722,NDays&amp;"D")</f>
        <v>58406</v>
      </c>
      <c r="Q2722" s="81" t="e">
        <v>#N/A</v>
      </c>
      <c r="R2722" s="85" t="e">
        <v>#N/A</v>
      </c>
    </row>
    <row r="2723" spans="14:18" x14ac:dyDescent="0.2">
      <c r="N2723" s="88" t="str">
        <f t="shared" si="48"/>
        <v>1w</v>
      </c>
      <c r="O2723" s="82">
        <f>_xll.qlCalendarAdvance(Calendar,O2722,N2723,"f",FALSE)</f>
        <v>58411</v>
      </c>
      <c r="P2723" s="92">
        <f>_xll.qlCalendarAdvance(Calendar,O2723,NDays&amp;"D")</f>
        <v>58413</v>
      </c>
      <c r="Q2723" s="81" t="e">
        <v>#N/A</v>
      </c>
      <c r="R2723" s="85" t="e">
        <v>#N/A</v>
      </c>
    </row>
    <row r="2724" spans="14:18" x14ac:dyDescent="0.2">
      <c r="N2724" s="88" t="str">
        <f t="shared" si="48"/>
        <v>1w</v>
      </c>
      <c r="O2724" s="82">
        <f>_xll.qlCalendarAdvance(Calendar,O2723,N2724,"f",FALSE)</f>
        <v>58418</v>
      </c>
      <c r="P2724" s="92">
        <f>_xll.qlCalendarAdvance(Calendar,O2724,NDays&amp;"D")</f>
        <v>58420</v>
      </c>
      <c r="Q2724" s="81" t="e">
        <v>#N/A</v>
      </c>
      <c r="R2724" s="85" t="e">
        <v>#N/A</v>
      </c>
    </row>
    <row r="2725" spans="14:18" x14ac:dyDescent="0.2">
      <c r="N2725" s="88" t="str">
        <f t="shared" si="48"/>
        <v>1w</v>
      </c>
      <c r="O2725" s="82">
        <f>_xll.qlCalendarAdvance(Calendar,O2724,N2725,"f",FALSE)</f>
        <v>58425</v>
      </c>
      <c r="P2725" s="92">
        <f>_xll.qlCalendarAdvance(Calendar,O2725,NDays&amp;"D")</f>
        <v>58427</v>
      </c>
      <c r="Q2725" s="81" t="e">
        <v>#N/A</v>
      </c>
      <c r="R2725" s="85" t="e">
        <v>#N/A</v>
      </c>
    </row>
    <row r="2726" spans="14:18" x14ac:dyDescent="0.2">
      <c r="N2726" s="88" t="str">
        <f t="shared" si="48"/>
        <v>1w</v>
      </c>
      <c r="O2726" s="82">
        <f>_xll.qlCalendarAdvance(Calendar,O2725,N2726,"f",FALSE)</f>
        <v>58432</v>
      </c>
      <c r="P2726" s="92">
        <f>_xll.qlCalendarAdvance(Calendar,O2726,NDays&amp;"D")</f>
        <v>58439</v>
      </c>
      <c r="Q2726" s="81" t="e">
        <v>#N/A</v>
      </c>
      <c r="R2726" s="85" t="e">
        <v>#N/A</v>
      </c>
    </row>
    <row r="2727" spans="14:18" x14ac:dyDescent="0.2">
      <c r="N2727" s="88" t="str">
        <f t="shared" si="48"/>
        <v>1w</v>
      </c>
      <c r="O2727" s="82">
        <f>_xll.qlCalendarAdvance(Calendar,O2726,N2727,"f",FALSE)</f>
        <v>58439</v>
      </c>
      <c r="P2727" s="92">
        <f>_xll.qlCalendarAdvance(Calendar,O2727,NDays&amp;"D")</f>
        <v>58445</v>
      </c>
      <c r="Q2727" s="81" t="e">
        <v>#N/A</v>
      </c>
      <c r="R2727" s="85" t="e">
        <v>#N/A</v>
      </c>
    </row>
    <row r="2728" spans="14:18" x14ac:dyDescent="0.2">
      <c r="N2728" s="88" t="str">
        <f t="shared" si="48"/>
        <v>1w</v>
      </c>
      <c r="O2728" s="82">
        <f>_xll.qlCalendarAdvance(Calendar,O2727,N2728,"f",FALSE)</f>
        <v>58447</v>
      </c>
      <c r="P2728" s="92">
        <f>_xll.qlCalendarAdvance(Calendar,O2728,NDays&amp;"D")</f>
        <v>58449</v>
      </c>
      <c r="Q2728" s="81" t="e">
        <v>#N/A</v>
      </c>
      <c r="R2728" s="85" t="e">
        <v>#N/A</v>
      </c>
    </row>
    <row r="2729" spans="14:18" x14ac:dyDescent="0.2">
      <c r="N2729" s="88" t="str">
        <f t="shared" si="48"/>
        <v>1w</v>
      </c>
      <c r="O2729" s="82">
        <f>_xll.qlCalendarAdvance(Calendar,O2728,N2729,"f",FALSE)</f>
        <v>58454</v>
      </c>
      <c r="P2729" s="92">
        <f>_xll.qlCalendarAdvance(Calendar,O2729,NDays&amp;"D")</f>
        <v>58456</v>
      </c>
      <c r="Q2729" s="81" t="e">
        <v>#N/A</v>
      </c>
      <c r="R2729" s="85" t="e">
        <v>#N/A</v>
      </c>
    </row>
    <row r="2730" spans="14:18" x14ac:dyDescent="0.2">
      <c r="N2730" s="88" t="str">
        <f t="shared" si="48"/>
        <v>1w</v>
      </c>
      <c r="O2730" s="82">
        <f>_xll.qlCalendarAdvance(Calendar,O2729,N2730,"f",FALSE)</f>
        <v>58461</v>
      </c>
      <c r="P2730" s="92">
        <f>_xll.qlCalendarAdvance(Calendar,O2730,NDays&amp;"D")</f>
        <v>58463</v>
      </c>
      <c r="Q2730" s="81" t="e">
        <v>#N/A</v>
      </c>
      <c r="R2730" s="85" t="e">
        <v>#N/A</v>
      </c>
    </row>
    <row r="2731" spans="14:18" x14ac:dyDescent="0.2">
      <c r="N2731" s="88" t="str">
        <f t="shared" si="48"/>
        <v>1w</v>
      </c>
      <c r="O2731" s="82">
        <f>_xll.qlCalendarAdvance(Calendar,O2730,N2731,"f",FALSE)</f>
        <v>58468</v>
      </c>
      <c r="P2731" s="92">
        <f>_xll.qlCalendarAdvance(Calendar,O2731,NDays&amp;"D")</f>
        <v>58470</v>
      </c>
      <c r="Q2731" s="81" t="e">
        <v>#N/A</v>
      </c>
      <c r="R2731" s="85" t="e">
        <v>#N/A</v>
      </c>
    </row>
    <row r="2732" spans="14:18" x14ac:dyDescent="0.2">
      <c r="N2732" s="88" t="str">
        <f t="shared" si="48"/>
        <v>1w</v>
      </c>
      <c r="O2732" s="82">
        <f>_xll.qlCalendarAdvance(Calendar,O2731,N2732,"f",FALSE)</f>
        <v>58475</v>
      </c>
      <c r="P2732" s="92">
        <f>_xll.qlCalendarAdvance(Calendar,O2732,NDays&amp;"D")</f>
        <v>58477</v>
      </c>
      <c r="Q2732" s="81" t="e">
        <v>#N/A</v>
      </c>
      <c r="R2732" s="85" t="e">
        <v>#N/A</v>
      </c>
    </row>
    <row r="2733" spans="14:18" x14ac:dyDescent="0.2">
      <c r="N2733" s="88" t="str">
        <f t="shared" si="48"/>
        <v>1w</v>
      </c>
      <c r="O2733" s="82">
        <f>_xll.qlCalendarAdvance(Calendar,O2732,N2733,"f",FALSE)</f>
        <v>58482</v>
      </c>
      <c r="P2733" s="92">
        <f>_xll.qlCalendarAdvance(Calendar,O2733,NDays&amp;"D")</f>
        <v>58484</v>
      </c>
      <c r="Q2733" s="81" t="e">
        <v>#N/A</v>
      </c>
      <c r="R2733" s="85" t="e">
        <v>#N/A</v>
      </c>
    </row>
    <row r="2734" spans="14:18" x14ac:dyDescent="0.2">
      <c r="N2734" s="88" t="str">
        <f t="shared" si="48"/>
        <v>1w</v>
      </c>
      <c r="O2734" s="82">
        <f>_xll.qlCalendarAdvance(Calendar,O2733,N2734,"f",FALSE)</f>
        <v>58489</v>
      </c>
      <c r="P2734" s="92">
        <f>_xll.qlCalendarAdvance(Calendar,O2734,NDays&amp;"D")</f>
        <v>58491</v>
      </c>
      <c r="Q2734" s="81" t="e">
        <v>#N/A</v>
      </c>
      <c r="R2734" s="85" t="e">
        <v>#N/A</v>
      </c>
    </row>
    <row r="2735" spans="14:18" x14ac:dyDescent="0.2">
      <c r="N2735" s="88" t="str">
        <f t="shared" si="48"/>
        <v>1w</v>
      </c>
      <c r="O2735" s="82">
        <f>_xll.qlCalendarAdvance(Calendar,O2734,N2735,"f",FALSE)</f>
        <v>58496</v>
      </c>
      <c r="P2735" s="92">
        <f>_xll.qlCalendarAdvance(Calendar,O2735,NDays&amp;"D")</f>
        <v>58498</v>
      </c>
      <c r="Q2735" s="81" t="e">
        <v>#N/A</v>
      </c>
      <c r="R2735" s="85" t="e">
        <v>#N/A</v>
      </c>
    </row>
    <row r="2736" spans="14:18" x14ac:dyDescent="0.2">
      <c r="N2736" s="88" t="str">
        <f t="shared" si="48"/>
        <v>1w</v>
      </c>
      <c r="O2736" s="82">
        <f>_xll.qlCalendarAdvance(Calendar,O2735,N2736,"f",FALSE)</f>
        <v>58503</v>
      </c>
      <c r="P2736" s="92">
        <f>_xll.qlCalendarAdvance(Calendar,O2736,NDays&amp;"D")</f>
        <v>58505</v>
      </c>
      <c r="Q2736" s="81" t="e">
        <v>#N/A</v>
      </c>
      <c r="R2736" s="85" t="e">
        <v>#N/A</v>
      </c>
    </row>
    <row r="2737" spans="14:18" x14ac:dyDescent="0.2">
      <c r="N2737" s="88" t="str">
        <f t="shared" si="48"/>
        <v>1w</v>
      </c>
      <c r="O2737" s="82">
        <f>_xll.qlCalendarAdvance(Calendar,O2736,N2737,"f",FALSE)</f>
        <v>58510</v>
      </c>
      <c r="P2737" s="92">
        <f>_xll.qlCalendarAdvance(Calendar,O2737,NDays&amp;"D")</f>
        <v>58512</v>
      </c>
      <c r="Q2737" s="81" t="e">
        <v>#N/A</v>
      </c>
      <c r="R2737" s="85" t="e">
        <v>#N/A</v>
      </c>
    </row>
    <row r="2738" spans="14:18" x14ac:dyDescent="0.2">
      <c r="N2738" s="88" t="str">
        <f t="shared" si="48"/>
        <v>1w</v>
      </c>
      <c r="O2738" s="82">
        <f>_xll.qlCalendarAdvance(Calendar,O2737,N2738,"f",FALSE)</f>
        <v>58517</v>
      </c>
      <c r="P2738" s="92">
        <f>_xll.qlCalendarAdvance(Calendar,O2738,NDays&amp;"D")</f>
        <v>58519</v>
      </c>
      <c r="Q2738" s="81" t="e">
        <v>#N/A</v>
      </c>
      <c r="R2738" s="85" t="e">
        <v>#N/A</v>
      </c>
    </row>
    <row r="2739" spans="14:18" x14ac:dyDescent="0.2">
      <c r="N2739" s="88" t="str">
        <f t="shared" si="48"/>
        <v>1w</v>
      </c>
      <c r="O2739" s="82">
        <f>_xll.qlCalendarAdvance(Calendar,O2738,N2739,"f",FALSE)</f>
        <v>58524</v>
      </c>
      <c r="P2739" s="92">
        <f>_xll.qlCalendarAdvance(Calendar,O2739,NDays&amp;"D")</f>
        <v>58526</v>
      </c>
      <c r="Q2739" s="81" t="e">
        <v>#N/A</v>
      </c>
      <c r="R2739" s="85" t="e">
        <v>#N/A</v>
      </c>
    </row>
    <row r="2740" spans="14:18" x14ac:dyDescent="0.2">
      <c r="N2740" s="88" t="str">
        <f t="shared" si="48"/>
        <v>1w</v>
      </c>
      <c r="O2740" s="82">
        <f>_xll.qlCalendarAdvance(Calendar,O2739,N2740,"f",FALSE)</f>
        <v>58531</v>
      </c>
      <c r="P2740" s="92">
        <f>_xll.qlCalendarAdvance(Calendar,O2740,NDays&amp;"D")</f>
        <v>58533</v>
      </c>
      <c r="Q2740" s="81" t="e">
        <v>#N/A</v>
      </c>
      <c r="R2740" s="85" t="e">
        <v>#N/A</v>
      </c>
    </row>
    <row r="2741" spans="14:18" x14ac:dyDescent="0.2">
      <c r="N2741" s="88" t="str">
        <f t="shared" si="48"/>
        <v>1w</v>
      </c>
      <c r="O2741" s="82">
        <f>_xll.qlCalendarAdvance(Calendar,O2740,N2741,"f",FALSE)</f>
        <v>58538</v>
      </c>
      <c r="P2741" s="92">
        <f>_xll.qlCalendarAdvance(Calendar,O2741,NDays&amp;"D")</f>
        <v>58540</v>
      </c>
      <c r="Q2741" s="81" t="e">
        <v>#N/A</v>
      </c>
      <c r="R2741" s="85" t="e">
        <v>#N/A</v>
      </c>
    </row>
    <row r="2742" spans="14:18" x14ac:dyDescent="0.2">
      <c r="N2742" s="88" t="str">
        <f t="shared" si="48"/>
        <v>1w</v>
      </c>
      <c r="O2742" s="82">
        <f>_xll.qlCalendarAdvance(Calendar,O2741,N2742,"f",FALSE)</f>
        <v>58545</v>
      </c>
      <c r="P2742" s="92">
        <f>_xll.qlCalendarAdvance(Calendar,O2742,NDays&amp;"D")</f>
        <v>58551</v>
      </c>
      <c r="Q2742" s="81" t="e">
        <v>#N/A</v>
      </c>
      <c r="R2742" s="85" t="e">
        <v>#N/A</v>
      </c>
    </row>
    <row r="2743" spans="14:18" x14ac:dyDescent="0.2">
      <c r="N2743" s="88" t="str">
        <f t="shared" si="48"/>
        <v>1w</v>
      </c>
      <c r="O2743" s="82">
        <f>_xll.qlCalendarAdvance(Calendar,O2742,N2743,"f",FALSE)</f>
        <v>58552</v>
      </c>
      <c r="P2743" s="92">
        <f>_xll.qlCalendarAdvance(Calendar,O2743,NDays&amp;"D")</f>
        <v>58554</v>
      </c>
      <c r="Q2743" s="81" t="e">
        <v>#N/A</v>
      </c>
      <c r="R2743" s="85" t="e">
        <v>#N/A</v>
      </c>
    </row>
    <row r="2744" spans="14:18" x14ac:dyDescent="0.2">
      <c r="N2744" s="88" t="str">
        <f t="shared" si="48"/>
        <v>1w</v>
      </c>
      <c r="O2744" s="82">
        <f>_xll.qlCalendarAdvance(Calendar,O2743,N2744,"f",FALSE)</f>
        <v>58559</v>
      </c>
      <c r="P2744" s="92">
        <f>_xll.qlCalendarAdvance(Calendar,O2744,NDays&amp;"D")</f>
        <v>58561</v>
      </c>
      <c r="Q2744" s="81" t="e">
        <v>#N/A</v>
      </c>
      <c r="R2744" s="85" t="e">
        <v>#N/A</v>
      </c>
    </row>
    <row r="2745" spans="14:18" x14ac:dyDescent="0.2">
      <c r="N2745" s="88" t="str">
        <f t="shared" si="48"/>
        <v>1w</v>
      </c>
      <c r="O2745" s="82">
        <f>_xll.qlCalendarAdvance(Calendar,O2744,N2745,"f",FALSE)</f>
        <v>58566</v>
      </c>
      <c r="P2745" s="92">
        <f>_xll.qlCalendarAdvance(Calendar,O2745,NDays&amp;"D")</f>
        <v>58568</v>
      </c>
      <c r="Q2745" s="81" t="e">
        <v>#N/A</v>
      </c>
      <c r="R2745" s="85" t="e">
        <v>#N/A</v>
      </c>
    </row>
    <row r="2746" spans="14:18" x14ac:dyDescent="0.2">
      <c r="N2746" s="88" t="str">
        <f t="shared" si="48"/>
        <v>1w</v>
      </c>
      <c r="O2746" s="82">
        <f>_xll.qlCalendarAdvance(Calendar,O2745,N2746,"f",FALSE)</f>
        <v>58573</v>
      </c>
      <c r="P2746" s="92">
        <f>_xll.qlCalendarAdvance(Calendar,O2746,NDays&amp;"D")</f>
        <v>58575</v>
      </c>
      <c r="Q2746" s="81" t="e">
        <v>#N/A</v>
      </c>
      <c r="R2746" s="85" t="e">
        <v>#N/A</v>
      </c>
    </row>
    <row r="2747" spans="14:18" x14ac:dyDescent="0.2">
      <c r="N2747" s="88" t="str">
        <f t="shared" si="48"/>
        <v>1w</v>
      </c>
      <c r="O2747" s="82">
        <f>_xll.qlCalendarAdvance(Calendar,O2746,N2747,"f",FALSE)</f>
        <v>58580</v>
      </c>
      <c r="P2747" s="92">
        <f>_xll.qlCalendarAdvance(Calendar,O2747,NDays&amp;"D")</f>
        <v>58582</v>
      </c>
      <c r="Q2747" s="81" t="e">
        <v>#N/A</v>
      </c>
      <c r="R2747" s="85" t="e">
        <v>#N/A</v>
      </c>
    </row>
    <row r="2748" spans="14:18" x14ac:dyDescent="0.2">
      <c r="N2748" s="88" t="str">
        <f t="shared" si="48"/>
        <v>1w</v>
      </c>
      <c r="O2748" s="82">
        <f>_xll.qlCalendarAdvance(Calendar,O2747,N2748,"f",FALSE)</f>
        <v>58587</v>
      </c>
      <c r="P2748" s="92">
        <f>_xll.qlCalendarAdvance(Calendar,O2748,NDays&amp;"D")</f>
        <v>58592</v>
      </c>
      <c r="Q2748" s="81" t="e">
        <v>#N/A</v>
      </c>
      <c r="R2748" s="85" t="e">
        <v>#N/A</v>
      </c>
    </row>
    <row r="2749" spans="14:18" x14ac:dyDescent="0.2">
      <c r="N2749" s="88" t="str">
        <f t="shared" si="48"/>
        <v>1w</v>
      </c>
      <c r="O2749" s="82">
        <f>_xll.qlCalendarAdvance(Calendar,O2748,N2749,"f",FALSE)</f>
        <v>58594</v>
      </c>
      <c r="P2749" s="92">
        <f>_xll.qlCalendarAdvance(Calendar,O2749,NDays&amp;"D")</f>
        <v>58596</v>
      </c>
      <c r="Q2749" s="81" t="e">
        <v>#N/A</v>
      </c>
      <c r="R2749" s="85" t="e">
        <v>#N/A</v>
      </c>
    </row>
    <row r="2750" spans="14:18" x14ac:dyDescent="0.2">
      <c r="N2750" s="88" t="str">
        <f t="shared" si="48"/>
        <v>1w</v>
      </c>
      <c r="O2750" s="82">
        <f>_xll.qlCalendarAdvance(Calendar,O2749,N2750,"f",FALSE)</f>
        <v>58601</v>
      </c>
      <c r="P2750" s="92">
        <f>_xll.qlCalendarAdvance(Calendar,O2750,NDays&amp;"D")</f>
        <v>58603</v>
      </c>
      <c r="Q2750" s="81" t="e">
        <v>#N/A</v>
      </c>
      <c r="R2750" s="85" t="e">
        <v>#N/A</v>
      </c>
    </row>
    <row r="2751" spans="14:18" x14ac:dyDescent="0.2">
      <c r="N2751" s="88" t="str">
        <f t="shared" si="48"/>
        <v>1w</v>
      </c>
      <c r="O2751" s="82">
        <f>_xll.qlCalendarAdvance(Calendar,O2750,N2751,"f",FALSE)</f>
        <v>58608</v>
      </c>
      <c r="P2751" s="92">
        <f>_xll.qlCalendarAdvance(Calendar,O2751,NDays&amp;"D")</f>
        <v>58610</v>
      </c>
      <c r="Q2751" s="81" t="e">
        <v>#N/A</v>
      </c>
      <c r="R2751" s="85" t="e">
        <v>#N/A</v>
      </c>
    </row>
    <row r="2752" spans="14:18" x14ac:dyDescent="0.2">
      <c r="N2752" s="88" t="str">
        <f t="shared" si="48"/>
        <v>1w</v>
      </c>
      <c r="O2752" s="82">
        <f>_xll.qlCalendarAdvance(Calendar,O2751,N2752,"f",FALSE)</f>
        <v>58615</v>
      </c>
      <c r="P2752" s="92">
        <f>_xll.qlCalendarAdvance(Calendar,O2752,NDays&amp;"D")</f>
        <v>58620</v>
      </c>
      <c r="Q2752" s="81" t="e">
        <v>#N/A</v>
      </c>
      <c r="R2752" s="85" t="e">
        <v>#N/A</v>
      </c>
    </row>
    <row r="2753" spans="14:18" x14ac:dyDescent="0.2">
      <c r="N2753" s="88" t="str">
        <f t="shared" si="48"/>
        <v>1w</v>
      </c>
      <c r="O2753" s="82">
        <f>_xll.qlCalendarAdvance(Calendar,O2752,N2753,"f",FALSE)</f>
        <v>58622</v>
      </c>
      <c r="P2753" s="92">
        <f>_xll.qlCalendarAdvance(Calendar,O2753,NDays&amp;"D")</f>
        <v>58624</v>
      </c>
      <c r="Q2753" s="81" t="e">
        <v>#N/A</v>
      </c>
      <c r="R2753" s="85" t="e">
        <v>#N/A</v>
      </c>
    </row>
    <row r="2754" spans="14:18" x14ac:dyDescent="0.2">
      <c r="N2754" s="88" t="str">
        <f t="shared" si="48"/>
        <v>1w</v>
      </c>
      <c r="O2754" s="82">
        <f>_xll.qlCalendarAdvance(Calendar,O2753,N2754,"f",FALSE)</f>
        <v>58629</v>
      </c>
      <c r="P2754" s="92">
        <f>_xll.qlCalendarAdvance(Calendar,O2754,NDays&amp;"D")</f>
        <v>58631</v>
      </c>
      <c r="Q2754" s="81" t="e">
        <v>#N/A</v>
      </c>
      <c r="R2754" s="85" t="e">
        <v>#N/A</v>
      </c>
    </row>
    <row r="2755" spans="14:18" x14ac:dyDescent="0.2">
      <c r="N2755" s="88" t="str">
        <f t="shared" si="48"/>
        <v>1w</v>
      </c>
      <c r="O2755" s="82">
        <f>_xll.qlCalendarAdvance(Calendar,O2754,N2755,"f",FALSE)</f>
        <v>58636</v>
      </c>
      <c r="P2755" s="92">
        <f>_xll.qlCalendarAdvance(Calendar,O2755,NDays&amp;"D")</f>
        <v>58638</v>
      </c>
      <c r="Q2755" s="81" t="e">
        <v>#N/A</v>
      </c>
      <c r="R2755" s="85" t="e">
        <v>#N/A</v>
      </c>
    </row>
    <row r="2756" spans="14:18" x14ac:dyDescent="0.2">
      <c r="N2756" s="88" t="str">
        <f t="shared" si="48"/>
        <v>1w</v>
      </c>
      <c r="O2756" s="82">
        <f>_xll.qlCalendarAdvance(Calendar,O2755,N2756,"f",FALSE)</f>
        <v>58643</v>
      </c>
      <c r="P2756" s="92">
        <f>_xll.qlCalendarAdvance(Calendar,O2756,NDays&amp;"D")</f>
        <v>58645</v>
      </c>
      <c r="Q2756" s="81" t="e">
        <v>#N/A</v>
      </c>
      <c r="R2756" s="85" t="e">
        <v>#N/A</v>
      </c>
    </row>
    <row r="2757" spans="14:18" x14ac:dyDescent="0.2">
      <c r="N2757" s="88" t="str">
        <f t="shared" si="48"/>
        <v>1w</v>
      </c>
      <c r="O2757" s="82">
        <f>_xll.qlCalendarAdvance(Calendar,O2756,N2757,"f",FALSE)</f>
        <v>58650</v>
      </c>
      <c r="P2757" s="92">
        <f>_xll.qlCalendarAdvance(Calendar,O2757,NDays&amp;"D")</f>
        <v>58652</v>
      </c>
      <c r="Q2757" s="81" t="e">
        <v>#N/A</v>
      </c>
      <c r="R2757" s="85" t="e">
        <v>#N/A</v>
      </c>
    </row>
    <row r="2758" spans="14:18" x14ac:dyDescent="0.2">
      <c r="N2758" s="88" t="str">
        <f t="shared" si="48"/>
        <v>1w</v>
      </c>
      <c r="O2758" s="82">
        <f>_xll.qlCalendarAdvance(Calendar,O2757,N2758,"f",FALSE)</f>
        <v>58657</v>
      </c>
      <c r="P2758" s="92">
        <f>_xll.qlCalendarAdvance(Calendar,O2758,NDays&amp;"D")</f>
        <v>58659</v>
      </c>
      <c r="Q2758" s="81" t="e">
        <v>#N/A</v>
      </c>
      <c r="R2758" s="85" t="e">
        <v>#N/A</v>
      </c>
    </row>
    <row r="2759" spans="14:18" x14ac:dyDescent="0.2">
      <c r="N2759" s="88" t="str">
        <f t="shared" si="48"/>
        <v>1w</v>
      </c>
      <c r="O2759" s="82">
        <f>_xll.qlCalendarAdvance(Calendar,O2758,N2759,"f",FALSE)</f>
        <v>58664</v>
      </c>
      <c r="P2759" s="92">
        <f>_xll.qlCalendarAdvance(Calendar,O2759,NDays&amp;"D")</f>
        <v>58666</v>
      </c>
      <c r="Q2759" s="81" t="e">
        <v>#N/A</v>
      </c>
      <c r="R2759" s="85" t="e">
        <v>#N/A</v>
      </c>
    </row>
    <row r="2760" spans="14:18" x14ac:dyDescent="0.2">
      <c r="N2760" s="88" t="str">
        <f t="shared" si="48"/>
        <v>1w</v>
      </c>
      <c r="O2760" s="82">
        <f>_xll.qlCalendarAdvance(Calendar,O2759,N2760,"f",FALSE)</f>
        <v>58671</v>
      </c>
      <c r="P2760" s="92">
        <f>_xll.qlCalendarAdvance(Calendar,O2760,NDays&amp;"D")</f>
        <v>58673</v>
      </c>
      <c r="Q2760" s="81" t="e">
        <v>#N/A</v>
      </c>
      <c r="R2760" s="85" t="e">
        <v>#N/A</v>
      </c>
    </row>
    <row r="2761" spans="14:18" x14ac:dyDescent="0.2">
      <c r="N2761" s="88" t="str">
        <f t="shared" si="48"/>
        <v>1w</v>
      </c>
      <c r="O2761" s="82">
        <f>_xll.qlCalendarAdvance(Calendar,O2760,N2761,"f",FALSE)</f>
        <v>58678</v>
      </c>
      <c r="P2761" s="92">
        <f>_xll.qlCalendarAdvance(Calendar,O2761,NDays&amp;"D")</f>
        <v>58680</v>
      </c>
      <c r="Q2761" s="81" t="e">
        <v>#N/A</v>
      </c>
      <c r="R2761" s="85" t="e">
        <v>#N/A</v>
      </c>
    </row>
    <row r="2762" spans="14:18" x14ac:dyDescent="0.2">
      <c r="N2762" s="88" t="str">
        <f t="shared" si="48"/>
        <v>1w</v>
      </c>
      <c r="O2762" s="82">
        <f>_xll.qlCalendarAdvance(Calendar,O2761,N2762,"f",FALSE)</f>
        <v>58685</v>
      </c>
      <c r="P2762" s="92">
        <f>_xll.qlCalendarAdvance(Calendar,O2762,NDays&amp;"D")</f>
        <v>58687</v>
      </c>
      <c r="Q2762" s="81" t="e">
        <v>#N/A</v>
      </c>
      <c r="R2762" s="85" t="e">
        <v>#N/A</v>
      </c>
    </row>
    <row r="2763" spans="14:18" x14ac:dyDescent="0.2">
      <c r="N2763" s="88" t="str">
        <f t="shared" si="48"/>
        <v>1w</v>
      </c>
      <c r="O2763" s="82">
        <f>_xll.qlCalendarAdvance(Calendar,O2762,N2763,"f",FALSE)</f>
        <v>58692</v>
      </c>
      <c r="P2763" s="92">
        <f>_xll.qlCalendarAdvance(Calendar,O2763,NDays&amp;"D")</f>
        <v>58694</v>
      </c>
      <c r="Q2763" s="81" t="e">
        <v>#N/A</v>
      </c>
      <c r="R2763" s="85" t="e">
        <v>#N/A</v>
      </c>
    </row>
    <row r="2764" spans="14:18" x14ac:dyDescent="0.2">
      <c r="N2764" s="88" t="str">
        <f t="shared" si="48"/>
        <v>1w</v>
      </c>
      <c r="O2764" s="82">
        <f>_xll.qlCalendarAdvance(Calendar,O2763,N2764,"f",FALSE)</f>
        <v>58699</v>
      </c>
      <c r="P2764" s="92">
        <f>_xll.qlCalendarAdvance(Calendar,O2764,NDays&amp;"D")</f>
        <v>58701</v>
      </c>
      <c r="Q2764" s="81" t="e">
        <v>#N/A</v>
      </c>
      <c r="R2764" s="85" t="e">
        <v>#N/A</v>
      </c>
    </row>
    <row r="2765" spans="14:18" x14ac:dyDescent="0.2">
      <c r="N2765" s="88" t="str">
        <f t="shared" si="48"/>
        <v>1w</v>
      </c>
      <c r="O2765" s="82">
        <f>_xll.qlCalendarAdvance(Calendar,O2764,N2765,"f",FALSE)</f>
        <v>58706</v>
      </c>
      <c r="P2765" s="92">
        <f>_xll.qlCalendarAdvance(Calendar,O2765,NDays&amp;"D")</f>
        <v>58708</v>
      </c>
      <c r="Q2765" s="81" t="e">
        <v>#N/A</v>
      </c>
      <c r="R2765" s="85" t="e">
        <v>#N/A</v>
      </c>
    </row>
    <row r="2766" spans="14:18" x14ac:dyDescent="0.2">
      <c r="N2766" s="88" t="str">
        <f t="shared" si="48"/>
        <v>1w</v>
      </c>
      <c r="O2766" s="82">
        <f>_xll.qlCalendarAdvance(Calendar,O2765,N2766,"f",FALSE)</f>
        <v>58713</v>
      </c>
      <c r="P2766" s="92">
        <f>_xll.qlCalendarAdvance(Calendar,O2766,NDays&amp;"D")</f>
        <v>58715</v>
      </c>
      <c r="Q2766" s="81" t="e">
        <v>#N/A</v>
      </c>
      <c r="R2766" s="85" t="e">
        <v>#N/A</v>
      </c>
    </row>
    <row r="2767" spans="14:18" x14ac:dyDescent="0.2">
      <c r="N2767" s="88" t="str">
        <f t="shared" si="48"/>
        <v>1w</v>
      </c>
      <c r="O2767" s="82">
        <f>_xll.qlCalendarAdvance(Calendar,O2766,N2767,"f",FALSE)</f>
        <v>58720</v>
      </c>
      <c r="P2767" s="92">
        <f>_xll.qlCalendarAdvance(Calendar,O2767,NDays&amp;"D")</f>
        <v>58722</v>
      </c>
      <c r="Q2767" s="81" t="e">
        <v>#N/A</v>
      </c>
      <c r="R2767" s="85" t="e">
        <v>#N/A</v>
      </c>
    </row>
    <row r="2768" spans="14:18" x14ac:dyDescent="0.2">
      <c r="N2768" s="88" t="str">
        <f t="shared" si="48"/>
        <v>1w</v>
      </c>
      <c r="O2768" s="82">
        <f>_xll.qlCalendarAdvance(Calendar,O2767,N2768,"f",FALSE)</f>
        <v>58727</v>
      </c>
      <c r="P2768" s="92">
        <f>_xll.qlCalendarAdvance(Calendar,O2768,NDays&amp;"D")</f>
        <v>58729</v>
      </c>
      <c r="Q2768" s="81" t="e">
        <v>#N/A</v>
      </c>
      <c r="R2768" s="85" t="e">
        <v>#N/A</v>
      </c>
    </row>
    <row r="2769" spans="14:18" x14ac:dyDescent="0.2">
      <c r="N2769" s="88" t="str">
        <f t="shared" si="48"/>
        <v>1w</v>
      </c>
      <c r="O2769" s="82">
        <f>_xll.qlCalendarAdvance(Calendar,O2768,N2769,"f",FALSE)</f>
        <v>58734</v>
      </c>
      <c r="P2769" s="92">
        <f>_xll.qlCalendarAdvance(Calendar,O2769,NDays&amp;"D")</f>
        <v>58736</v>
      </c>
      <c r="Q2769" s="81" t="e">
        <v>#N/A</v>
      </c>
      <c r="R2769" s="85" t="e">
        <v>#N/A</v>
      </c>
    </row>
    <row r="2770" spans="14:18" x14ac:dyDescent="0.2">
      <c r="N2770" s="88" t="str">
        <f t="shared" si="48"/>
        <v>1w</v>
      </c>
      <c r="O2770" s="82">
        <f>_xll.qlCalendarAdvance(Calendar,O2769,N2770,"f",FALSE)</f>
        <v>58741</v>
      </c>
      <c r="P2770" s="92">
        <f>_xll.qlCalendarAdvance(Calendar,O2770,NDays&amp;"D")</f>
        <v>58743</v>
      </c>
      <c r="Q2770" s="81" t="e">
        <v>#N/A</v>
      </c>
      <c r="R2770" s="85" t="e">
        <v>#N/A</v>
      </c>
    </row>
    <row r="2771" spans="14:18" x14ac:dyDescent="0.2">
      <c r="N2771" s="88" t="str">
        <f t="shared" si="48"/>
        <v>1w</v>
      </c>
      <c r="O2771" s="82">
        <f>_xll.qlCalendarAdvance(Calendar,O2770,N2771,"f",FALSE)</f>
        <v>58748</v>
      </c>
      <c r="P2771" s="92">
        <f>_xll.qlCalendarAdvance(Calendar,O2771,NDays&amp;"D")</f>
        <v>58750</v>
      </c>
      <c r="Q2771" s="81" t="e">
        <v>#N/A</v>
      </c>
      <c r="R2771" s="85" t="e">
        <v>#N/A</v>
      </c>
    </row>
    <row r="2772" spans="14:18" x14ac:dyDescent="0.2">
      <c r="N2772" s="88" t="str">
        <f t="shared" si="48"/>
        <v>1w</v>
      </c>
      <c r="O2772" s="82">
        <f>_xll.qlCalendarAdvance(Calendar,O2771,N2772,"f",FALSE)</f>
        <v>58755</v>
      </c>
      <c r="P2772" s="92">
        <f>_xll.qlCalendarAdvance(Calendar,O2772,NDays&amp;"D")</f>
        <v>58757</v>
      </c>
      <c r="Q2772" s="81" t="e">
        <v>#N/A</v>
      </c>
      <c r="R2772" s="85" t="e">
        <v>#N/A</v>
      </c>
    </row>
    <row r="2773" spans="14:18" x14ac:dyDescent="0.2">
      <c r="N2773" s="88" t="str">
        <f t="shared" ref="N2773:N2836" si="49">N2772</f>
        <v>1w</v>
      </c>
      <c r="O2773" s="82">
        <f>_xll.qlCalendarAdvance(Calendar,O2772,N2773,"f",FALSE)</f>
        <v>58762</v>
      </c>
      <c r="P2773" s="92">
        <f>_xll.qlCalendarAdvance(Calendar,O2773,NDays&amp;"D")</f>
        <v>58764</v>
      </c>
      <c r="Q2773" s="81" t="e">
        <v>#N/A</v>
      </c>
      <c r="R2773" s="85" t="e">
        <v>#N/A</v>
      </c>
    </row>
    <row r="2774" spans="14:18" x14ac:dyDescent="0.2">
      <c r="N2774" s="88" t="str">
        <f t="shared" si="49"/>
        <v>1w</v>
      </c>
      <c r="O2774" s="82">
        <f>_xll.qlCalendarAdvance(Calendar,O2773,N2774,"f",FALSE)</f>
        <v>58769</v>
      </c>
      <c r="P2774" s="92">
        <f>_xll.qlCalendarAdvance(Calendar,O2774,NDays&amp;"D")</f>
        <v>58771</v>
      </c>
      <c r="Q2774" s="81" t="e">
        <v>#N/A</v>
      </c>
      <c r="R2774" s="85" t="e">
        <v>#N/A</v>
      </c>
    </row>
    <row r="2775" spans="14:18" x14ac:dyDescent="0.2">
      <c r="N2775" s="88" t="str">
        <f t="shared" si="49"/>
        <v>1w</v>
      </c>
      <c r="O2775" s="82">
        <f>_xll.qlCalendarAdvance(Calendar,O2774,N2775,"f",FALSE)</f>
        <v>58776</v>
      </c>
      <c r="P2775" s="92">
        <f>_xll.qlCalendarAdvance(Calendar,O2775,NDays&amp;"D")</f>
        <v>58778</v>
      </c>
      <c r="Q2775" s="81" t="e">
        <v>#N/A</v>
      </c>
      <c r="R2775" s="85" t="e">
        <v>#N/A</v>
      </c>
    </row>
    <row r="2776" spans="14:18" x14ac:dyDescent="0.2">
      <c r="N2776" s="88" t="str">
        <f t="shared" si="49"/>
        <v>1w</v>
      </c>
      <c r="O2776" s="82">
        <f>_xll.qlCalendarAdvance(Calendar,O2775,N2776,"f",FALSE)</f>
        <v>58783</v>
      </c>
      <c r="P2776" s="92">
        <f>_xll.qlCalendarAdvance(Calendar,O2776,NDays&amp;"D")</f>
        <v>58785</v>
      </c>
      <c r="Q2776" s="81" t="e">
        <v>#N/A</v>
      </c>
      <c r="R2776" s="85" t="e">
        <v>#N/A</v>
      </c>
    </row>
    <row r="2777" spans="14:18" x14ac:dyDescent="0.2">
      <c r="N2777" s="88" t="str">
        <f t="shared" si="49"/>
        <v>1w</v>
      </c>
      <c r="O2777" s="82">
        <f>_xll.qlCalendarAdvance(Calendar,O2776,N2777,"f",FALSE)</f>
        <v>58790</v>
      </c>
      <c r="P2777" s="92">
        <f>_xll.qlCalendarAdvance(Calendar,O2777,NDays&amp;"D")</f>
        <v>58792</v>
      </c>
      <c r="Q2777" s="81" t="e">
        <v>#N/A</v>
      </c>
      <c r="R2777" s="85" t="e">
        <v>#N/A</v>
      </c>
    </row>
    <row r="2778" spans="14:18" x14ac:dyDescent="0.2">
      <c r="N2778" s="88" t="str">
        <f t="shared" si="49"/>
        <v>1w</v>
      </c>
      <c r="O2778" s="82">
        <f>_xll.qlCalendarAdvance(Calendar,O2777,N2778,"f",FALSE)</f>
        <v>58797</v>
      </c>
      <c r="P2778" s="92">
        <f>_xll.qlCalendarAdvance(Calendar,O2778,NDays&amp;"D")</f>
        <v>58802</v>
      </c>
      <c r="Q2778" s="81" t="e">
        <v>#N/A</v>
      </c>
      <c r="R2778" s="85" t="e">
        <v>#N/A</v>
      </c>
    </row>
    <row r="2779" spans="14:18" x14ac:dyDescent="0.2">
      <c r="N2779" s="88" t="str">
        <f t="shared" si="49"/>
        <v>1w</v>
      </c>
      <c r="O2779" s="82">
        <f>_xll.qlCalendarAdvance(Calendar,O2778,N2779,"f",FALSE)</f>
        <v>58804</v>
      </c>
      <c r="P2779" s="92">
        <f>_xll.qlCalendarAdvance(Calendar,O2779,NDays&amp;"D")</f>
        <v>58809</v>
      </c>
      <c r="Q2779" s="81" t="e">
        <v>#N/A</v>
      </c>
      <c r="R2779" s="85" t="e">
        <v>#N/A</v>
      </c>
    </row>
    <row r="2780" spans="14:18" x14ac:dyDescent="0.2">
      <c r="N2780" s="88" t="str">
        <f t="shared" si="49"/>
        <v>1w</v>
      </c>
      <c r="O2780" s="82">
        <f>_xll.qlCalendarAdvance(Calendar,O2779,N2780,"f",FALSE)</f>
        <v>58811</v>
      </c>
      <c r="P2780" s="92">
        <f>_xll.qlCalendarAdvance(Calendar,O2780,NDays&amp;"D")</f>
        <v>58816</v>
      </c>
      <c r="Q2780" s="81" t="e">
        <v>#N/A</v>
      </c>
      <c r="R2780" s="85" t="e">
        <v>#N/A</v>
      </c>
    </row>
    <row r="2781" spans="14:18" x14ac:dyDescent="0.2">
      <c r="N2781" s="88" t="str">
        <f t="shared" si="49"/>
        <v>1w</v>
      </c>
      <c r="O2781" s="82">
        <f>_xll.qlCalendarAdvance(Calendar,O2780,N2781,"f",FALSE)</f>
        <v>58818</v>
      </c>
      <c r="P2781" s="92">
        <f>_xll.qlCalendarAdvance(Calendar,O2781,NDays&amp;"D")</f>
        <v>58820</v>
      </c>
      <c r="Q2781" s="81" t="e">
        <v>#N/A</v>
      </c>
      <c r="R2781" s="85" t="e">
        <v>#N/A</v>
      </c>
    </row>
    <row r="2782" spans="14:18" x14ac:dyDescent="0.2">
      <c r="N2782" s="88" t="str">
        <f t="shared" si="49"/>
        <v>1w</v>
      </c>
      <c r="O2782" s="82">
        <f>_xll.qlCalendarAdvance(Calendar,O2781,N2782,"f",FALSE)</f>
        <v>58825</v>
      </c>
      <c r="P2782" s="92">
        <f>_xll.qlCalendarAdvance(Calendar,O2782,NDays&amp;"D")</f>
        <v>58827</v>
      </c>
      <c r="Q2782" s="81" t="e">
        <v>#N/A</v>
      </c>
      <c r="R2782" s="85" t="e">
        <v>#N/A</v>
      </c>
    </row>
    <row r="2783" spans="14:18" x14ac:dyDescent="0.2">
      <c r="N2783" s="88" t="str">
        <f t="shared" si="49"/>
        <v>1w</v>
      </c>
      <c r="O2783" s="82">
        <f>_xll.qlCalendarAdvance(Calendar,O2782,N2783,"f",FALSE)</f>
        <v>58832</v>
      </c>
      <c r="P2783" s="92">
        <f>_xll.qlCalendarAdvance(Calendar,O2783,NDays&amp;"D")</f>
        <v>58834</v>
      </c>
      <c r="Q2783" s="81" t="e">
        <v>#N/A</v>
      </c>
      <c r="R2783" s="85" t="e">
        <v>#N/A</v>
      </c>
    </row>
    <row r="2784" spans="14:18" x14ac:dyDescent="0.2">
      <c r="N2784" s="88" t="str">
        <f t="shared" si="49"/>
        <v>1w</v>
      </c>
      <c r="O2784" s="82">
        <f>_xll.qlCalendarAdvance(Calendar,O2783,N2784,"f",FALSE)</f>
        <v>58839</v>
      </c>
      <c r="P2784" s="92">
        <f>_xll.qlCalendarAdvance(Calendar,O2784,NDays&amp;"D")</f>
        <v>58841</v>
      </c>
      <c r="Q2784" s="81" t="e">
        <v>#N/A</v>
      </c>
      <c r="R2784" s="85" t="e">
        <v>#N/A</v>
      </c>
    </row>
    <row r="2785" spans="14:18" x14ac:dyDescent="0.2">
      <c r="N2785" s="88" t="str">
        <f t="shared" si="49"/>
        <v>1w</v>
      </c>
      <c r="O2785" s="82">
        <f>_xll.qlCalendarAdvance(Calendar,O2784,N2785,"f",FALSE)</f>
        <v>58846</v>
      </c>
      <c r="P2785" s="92">
        <f>_xll.qlCalendarAdvance(Calendar,O2785,NDays&amp;"D")</f>
        <v>58848</v>
      </c>
      <c r="Q2785" s="81" t="e">
        <v>#N/A</v>
      </c>
      <c r="R2785" s="85" t="e">
        <v>#N/A</v>
      </c>
    </row>
    <row r="2786" spans="14:18" x14ac:dyDescent="0.2">
      <c r="N2786" s="88" t="str">
        <f t="shared" si="49"/>
        <v>1w</v>
      </c>
      <c r="O2786" s="82">
        <f>_xll.qlCalendarAdvance(Calendar,O2785,N2786,"f",FALSE)</f>
        <v>58853</v>
      </c>
      <c r="P2786" s="92">
        <f>_xll.qlCalendarAdvance(Calendar,O2786,NDays&amp;"D")</f>
        <v>58855</v>
      </c>
      <c r="Q2786" s="81" t="e">
        <v>#N/A</v>
      </c>
      <c r="R2786" s="85" t="e">
        <v>#N/A</v>
      </c>
    </row>
    <row r="2787" spans="14:18" x14ac:dyDescent="0.2">
      <c r="N2787" s="88" t="str">
        <f t="shared" si="49"/>
        <v>1w</v>
      </c>
      <c r="O2787" s="82">
        <f>_xll.qlCalendarAdvance(Calendar,O2786,N2787,"f",FALSE)</f>
        <v>58860</v>
      </c>
      <c r="P2787" s="92">
        <f>_xll.qlCalendarAdvance(Calendar,O2787,NDays&amp;"D")</f>
        <v>58862</v>
      </c>
      <c r="Q2787" s="81" t="e">
        <v>#N/A</v>
      </c>
      <c r="R2787" s="85" t="e">
        <v>#N/A</v>
      </c>
    </row>
    <row r="2788" spans="14:18" x14ac:dyDescent="0.2">
      <c r="N2788" s="88" t="str">
        <f t="shared" si="49"/>
        <v>1w</v>
      </c>
      <c r="O2788" s="82">
        <f>_xll.qlCalendarAdvance(Calendar,O2787,N2788,"f",FALSE)</f>
        <v>58867</v>
      </c>
      <c r="P2788" s="92">
        <f>_xll.qlCalendarAdvance(Calendar,O2788,NDays&amp;"D")</f>
        <v>58869</v>
      </c>
      <c r="Q2788" s="81" t="e">
        <v>#N/A</v>
      </c>
      <c r="R2788" s="85" t="e">
        <v>#N/A</v>
      </c>
    </row>
    <row r="2789" spans="14:18" x14ac:dyDescent="0.2">
      <c r="N2789" s="88" t="str">
        <f t="shared" si="49"/>
        <v>1w</v>
      </c>
      <c r="O2789" s="82">
        <f>_xll.qlCalendarAdvance(Calendar,O2788,N2789,"f",FALSE)</f>
        <v>58874</v>
      </c>
      <c r="P2789" s="92">
        <f>_xll.qlCalendarAdvance(Calendar,O2789,NDays&amp;"D")</f>
        <v>58876</v>
      </c>
      <c r="Q2789" s="81" t="e">
        <v>#N/A</v>
      </c>
      <c r="R2789" s="85" t="e">
        <v>#N/A</v>
      </c>
    </row>
    <row r="2790" spans="14:18" x14ac:dyDescent="0.2">
      <c r="N2790" s="88" t="str">
        <f t="shared" si="49"/>
        <v>1w</v>
      </c>
      <c r="O2790" s="82">
        <f>_xll.qlCalendarAdvance(Calendar,O2789,N2790,"f",FALSE)</f>
        <v>58881</v>
      </c>
      <c r="P2790" s="92">
        <f>_xll.qlCalendarAdvance(Calendar,O2790,NDays&amp;"D")</f>
        <v>58883</v>
      </c>
      <c r="Q2790" s="81" t="e">
        <v>#N/A</v>
      </c>
      <c r="R2790" s="85" t="e">
        <v>#N/A</v>
      </c>
    </row>
    <row r="2791" spans="14:18" x14ac:dyDescent="0.2">
      <c r="N2791" s="88" t="str">
        <f t="shared" si="49"/>
        <v>1w</v>
      </c>
      <c r="O2791" s="82">
        <f>_xll.qlCalendarAdvance(Calendar,O2790,N2791,"f",FALSE)</f>
        <v>58888</v>
      </c>
      <c r="P2791" s="92">
        <f>_xll.qlCalendarAdvance(Calendar,O2791,NDays&amp;"D")</f>
        <v>58890</v>
      </c>
      <c r="Q2791" s="81" t="e">
        <v>#N/A</v>
      </c>
      <c r="R2791" s="85" t="e">
        <v>#N/A</v>
      </c>
    </row>
    <row r="2792" spans="14:18" x14ac:dyDescent="0.2">
      <c r="N2792" s="88" t="str">
        <f t="shared" si="49"/>
        <v>1w</v>
      </c>
      <c r="O2792" s="82">
        <f>_xll.qlCalendarAdvance(Calendar,O2791,N2792,"f",FALSE)</f>
        <v>58895</v>
      </c>
      <c r="P2792" s="92">
        <f>_xll.qlCalendarAdvance(Calendar,O2792,NDays&amp;"D")</f>
        <v>58897</v>
      </c>
      <c r="Q2792" s="81" t="e">
        <v>#N/A</v>
      </c>
      <c r="R2792" s="85" t="e">
        <v>#N/A</v>
      </c>
    </row>
    <row r="2793" spans="14:18" x14ac:dyDescent="0.2">
      <c r="N2793" s="88" t="str">
        <f t="shared" si="49"/>
        <v>1w</v>
      </c>
      <c r="O2793" s="82">
        <f>_xll.qlCalendarAdvance(Calendar,O2792,N2793,"f",FALSE)</f>
        <v>58902</v>
      </c>
      <c r="P2793" s="92">
        <f>_xll.qlCalendarAdvance(Calendar,O2793,NDays&amp;"D")</f>
        <v>58908</v>
      </c>
      <c r="Q2793" s="81" t="e">
        <v>#N/A</v>
      </c>
      <c r="R2793" s="85" t="e">
        <v>#N/A</v>
      </c>
    </row>
    <row r="2794" spans="14:18" x14ac:dyDescent="0.2">
      <c r="N2794" s="88" t="str">
        <f t="shared" si="49"/>
        <v>1w</v>
      </c>
      <c r="O2794" s="82">
        <f>_xll.qlCalendarAdvance(Calendar,O2793,N2794,"f",FALSE)</f>
        <v>58909</v>
      </c>
      <c r="P2794" s="92">
        <f>_xll.qlCalendarAdvance(Calendar,O2794,NDays&amp;"D")</f>
        <v>58911</v>
      </c>
      <c r="Q2794" s="81" t="e">
        <v>#N/A</v>
      </c>
      <c r="R2794" s="85" t="e">
        <v>#N/A</v>
      </c>
    </row>
    <row r="2795" spans="14:18" x14ac:dyDescent="0.2">
      <c r="N2795" s="88" t="str">
        <f t="shared" si="49"/>
        <v>1w</v>
      </c>
      <c r="O2795" s="82">
        <f>_xll.qlCalendarAdvance(Calendar,O2794,N2795,"f",FALSE)</f>
        <v>58916</v>
      </c>
      <c r="P2795" s="92">
        <f>_xll.qlCalendarAdvance(Calendar,O2795,NDays&amp;"D")</f>
        <v>58918</v>
      </c>
      <c r="Q2795" s="81" t="e">
        <v>#N/A</v>
      </c>
      <c r="R2795" s="85" t="e">
        <v>#N/A</v>
      </c>
    </row>
    <row r="2796" spans="14:18" x14ac:dyDescent="0.2">
      <c r="N2796" s="88" t="str">
        <f t="shared" si="49"/>
        <v>1w</v>
      </c>
      <c r="O2796" s="82">
        <f>_xll.qlCalendarAdvance(Calendar,O2795,N2796,"f",FALSE)</f>
        <v>58923</v>
      </c>
      <c r="P2796" s="92">
        <f>_xll.qlCalendarAdvance(Calendar,O2796,NDays&amp;"D")</f>
        <v>58925</v>
      </c>
      <c r="Q2796" s="81" t="e">
        <v>#N/A</v>
      </c>
      <c r="R2796" s="85" t="e">
        <v>#N/A</v>
      </c>
    </row>
    <row r="2797" spans="14:18" x14ac:dyDescent="0.2">
      <c r="N2797" s="88" t="str">
        <f t="shared" si="49"/>
        <v>1w</v>
      </c>
      <c r="O2797" s="82">
        <f>_xll.qlCalendarAdvance(Calendar,O2796,N2797,"f",FALSE)</f>
        <v>58930</v>
      </c>
      <c r="P2797" s="92">
        <f>_xll.qlCalendarAdvance(Calendar,O2797,NDays&amp;"D")</f>
        <v>58932</v>
      </c>
      <c r="Q2797" s="81" t="e">
        <v>#N/A</v>
      </c>
      <c r="R2797" s="85" t="e">
        <v>#N/A</v>
      </c>
    </row>
    <row r="2798" spans="14:18" x14ac:dyDescent="0.2">
      <c r="N2798" s="88" t="str">
        <f t="shared" si="49"/>
        <v>1w</v>
      </c>
      <c r="O2798" s="82">
        <f>_xll.qlCalendarAdvance(Calendar,O2797,N2798,"f",FALSE)</f>
        <v>58937</v>
      </c>
      <c r="P2798" s="92">
        <f>_xll.qlCalendarAdvance(Calendar,O2798,NDays&amp;"D")</f>
        <v>58939</v>
      </c>
      <c r="Q2798" s="81" t="e">
        <v>#N/A</v>
      </c>
      <c r="R2798" s="85" t="e">
        <v>#N/A</v>
      </c>
    </row>
    <row r="2799" spans="14:18" x14ac:dyDescent="0.2">
      <c r="N2799" s="88" t="str">
        <f t="shared" si="49"/>
        <v>1w</v>
      </c>
      <c r="O2799" s="82">
        <f>_xll.qlCalendarAdvance(Calendar,O2798,N2799,"f",FALSE)</f>
        <v>58944</v>
      </c>
      <c r="P2799" s="92">
        <f>_xll.qlCalendarAdvance(Calendar,O2799,NDays&amp;"D")</f>
        <v>58949</v>
      </c>
      <c r="Q2799" s="81" t="e">
        <v>#N/A</v>
      </c>
      <c r="R2799" s="85" t="e">
        <v>#N/A</v>
      </c>
    </row>
    <row r="2800" spans="14:18" x14ac:dyDescent="0.2">
      <c r="N2800" s="88" t="str">
        <f t="shared" si="49"/>
        <v>1w</v>
      </c>
      <c r="O2800" s="82">
        <f>_xll.qlCalendarAdvance(Calendar,O2799,N2800,"f",FALSE)</f>
        <v>58951</v>
      </c>
      <c r="P2800" s="92">
        <f>_xll.qlCalendarAdvance(Calendar,O2800,NDays&amp;"D")</f>
        <v>58953</v>
      </c>
      <c r="Q2800" s="81" t="e">
        <v>#N/A</v>
      </c>
      <c r="R2800" s="85" t="e">
        <v>#N/A</v>
      </c>
    </row>
    <row r="2801" spans="14:18" x14ac:dyDescent="0.2">
      <c r="N2801" s="88" t="str">
        <f t="shared" si="49"/>
        <v>1w</v>
      </c>
      <c r="O2801" s="82">
        <f>_xll.qlCalendarAdvance(Calendar,O2800,N2801,"f",FALSE)</f>
        <v>58958</v>
      </c>
      <c r="P2801" s="92">
        <f>_xll.qlCalendarAdvance(Calendar,O2801,NDays&amp;"D")</f>
        <v>58960</v>
      </c>
      <c r="Q2801" s="81" t="e">
        <v>#N/A</v>
      </c>
      <c r="R2801" s="85" t="e">
        <v>#N/A</v>
      </c>
    </row>
    <row r="2802" spans="14:18" x14ac:dyDescent="0.2">
      <c r="N2802" s="88" t="str">
        <f t="shared" si="49"/>
        <v>1w</v>
      </c>
      <c r="O2802" s="82">
        <f>_xll.qlCalendarAdvance(Calendar,O2801,N2802,"f",FALSE)</f>
        <v>58965</v>
      </c>
      <c r="P2802" s="92">
        <f>_xll.qlCalendarAdvance(Calendar,O2802,NDays&amp;"D")</f>
        <v>58967</v>
      </c>
      <c r="Q2802" s="81" t="e">
        <v>#N/A</v>
      </c>
      <c r="R2802" s="85" t="e">
        <v>#N/A</v>
      </c>
    </row>
    <row r="2803" spans="14:18" x14ac:dyDescent="0.2">
      <c r="N2803" s="88" t="str">
        <f t="shared" si="49"/>
        <v>1w</v>
      </c>
      <c r="O2803" s="82">
        <f>_xll.qlCalendarAdvance(Calendar,O2802,N2803,"f",FALSE)</f>
        <v>58972</v>
      </c>
      <c r="P2803" s="92">
        <f>_xll.qlCalendarAdvance(Calendar,O2803,NDays&amp;"D")</f>
        <v>58974</v>
      </c>
      <c r="Q2803" s="81" t="e">
        <v>#N/A</v>
      </c>
      <c r="R2803" s="85" t="e">
        <v>#N/A</v>
      </c>
    </row>
    <row r="2804" spans="14:18" x14ac:dyDescent="0.2">
      <c r="N2804" s="88" t="str">
        <f t="shared" si="49"/>
        <v>1w</v>
      </c>
      <c r="O2804" s="82">
        <f>_xll.qlCalendarAdvance(Calendar,O2803,N2804,"f",FALSE)</f>
        <v>58979</v>
      </c>
      <c r="P2804" s="92">
        <f>_xll.qlCalendarAdvance(Calendar,O2804,NDays&amp;"D")</f>
        <v>58984</v>
      </c>
      <c r="Q2804" s="81" t="e">
        <v>#N/A</v>
      </c>
      <c r="R2804" s="85" t="e">
        <v>#N/A</v>
      </c>
    </row>
    <row r="2805" spans="14:18" x14ac:dyDescent="0.2">
      <c r="N2805" s="88" t="str">
        <f t="shared" si="49"/>
        <v>1w</v>
      </c>
      <c r="O2805" s="82">
        <f>_xll.qlCalendarAdvance(Calendar,O2804,N2805,"f",FALSE)</f>
        <v>58986</v>
      </c>
      <c r="P2805" s="92">
        <f>_xll.qlCalendarAdvance(Calendar,O2805,NDays&amp;"D")</f>
        <v>58988</v>
      </c>
      <c r="Q2805" s="81" t="e">
        <v>#N/A</v>
      </c>
      <c r="R2805" s="85" t="e">
        <v>#N/A</v>
      </c>
    </row>
    <row r="2806" spans="14:18" x14ac:dyDescent="0.2">
      <c r="N2806" s="88" t="str">
        <f t="shared" si="49"/>
        <v>1w</v>
      </c>
      <c r="O2806" s="82">
        <f>_xll.qlCalendarAdvance(Calendar,O2805,N2806,"f",FALSE)</f>
        <v>58993</v>
      </c>
      <c r="P2806" s="92">
        <f>_xll.qlCalendarAdvance(Calendar,O2806,NDays&amp;"D")</f>
        <v>58995</v>
      </c>
      <c r="Q2806" s="81" t="e">
        <v>#N/A</v>
      </c>
      <c r="R2806" s="85" t="e">
        <v>#N/A</v>
      </c>
    </row>
    <row r="2807" spans="14:18" x14ac:dyDescent="0.2">
      <c r="N2807" s="88" t="str">
        <f t="shared" si="49"/>
        <v>1w</v>
      </c>
      <c r="O2807" s="82">
        <f>_xll.qlCalendarAdvance(Calendar,O2806,N2807,"f",FALSE)</f>
        <v>59000</v>
      </c>
      <c r="P2807" s="92">
        <f>_xll.qlCalendarAdvance(Calendar,O2807,NDays&amp;"D")</f>
        <v>59002</v>
      </c>
      <c r="Q2807" s="81" t="e">
        <v>#N/A</v>
      </c>
      <c r="R2807" s="85" t="e">
        <v>#N/A</v>
      </c>
    </row>
    <row r="2808" spans="14:18" x14ac:dyDescent="0.2">
      <c r="N2808" s="88" t="str">
        <f t="shared" si="49"/>
        <v>1w</v>
      </c>
      <c r="O2808" s="82">
        <f>_xll.qlCalendarAdvance(Calendar,O2807,N2808,"f",FALSE)</f>
        <v>59007</v>
      </c>
      <c r="P2808" s="92">
        <f>_xll.qlCalendarAdvance(Calendar,O2808,NDays&amp;"D")</f>
        <v>59009</v>
      </c>
      <c r="Q2808" s="81" t="e">
        <v>#N/A</v>
      </c>
      <c r="R2808" s="85" t="e">
        <v>#N/A</v>
      </c>
    </row>
    <row r="2809" spans="14:18" x14ac:dyDescent="0.2">
      <c r="N2809" s="88" t="str">
        <f t="shared" si="49"/>
        <v>1w</v>
      </c>
      <c r="O2809" s="82">
        <f>_xll.qlCalendarAdvance(Calendar,O2808,N2809,"f",FALSE)</f>
        <v>59014</v>
      </c>
      <c r="P2809" s="92">
        <f>_xll.qlCalendarAdvance(Calendar,O2809,NDays&amp;"D")</f>
        <v>59016</v>
      </c>
      <c r="Q2809" s="81" t="e">
        <v>#N/A</v>
      </c>
      <c r="R2809" s="85" t="e">
        <v>#N/A</v>
      </c>
    </row>
    <row r="2810" spans="14:18" x14ac:dyDescent="0.2">
      <c r="N2810" s="88" t="str">
        <f t="shared" si="49"/>
        <v>1w</v>
      </c>
      <c r="O2810" s="82">
        <f>_xll.qlCalendarAdvance(Calendar,O2809,N2810,"f",FALSE)</f>
        <v>59021</v>
      </c>
      <c r="P2810" s="92">
        <f>_xll.qlCalendarAdvance(Calendar,O2810,NDays&amp;"D")</f>
        <v>59023</v>
      </c>
      <c r="Q2810" s="81" t="e">
        <v>#N/A</v>
      </c>
      <c r="R2810" s="85" t="e">
        <v>#N/A</v>
      </c>
    </row>
    <row r="2811" spans="14:18" x14ac:dyDescent="0.2">
      <c r="N2811" s="88" t="str">
        <f t="shared" si="49"/>
        <v>1w</v>
      </c>
      <c r="O2811" s="82">
        <f>_xll.qlCalendarAdvance(Calendar,O2810,N2811,"f",FALSE)</f>
        <v>59028</v>
      </c>
      <c r="P2811" s="92">
        <f>_xll.qlCalendarAdvance(Calendar,O2811,NDays&amp;"D")</f>
        <v>59030</v>
      </c>
      <c r="Q2811" s="81" t="e">
        <v>#N/A</v>
      </c>
      <c r="R2811" s="85" t="e">
        <v>#N/A</v>
      </c>
    </row>
    <row r="2812" spans="14:18" x14ac:dyDescent="0.2">
      <c r="N2812" s="88" t="str">
        <f t="shared" si="49"/>
        <v>1w</v>
      </c>
      <c r="O2812" s="82">
        <f>_xll.qlCalendarAdvance(Calendar,O2811,N2812,"f",FALSE)</f>
        <v>59035</v>
      </c>
      <c r="P2812" s="92">
        <f>_xll.qlCalendarAdvance(Calendar,O2812,NDays&amp;"D")</f>
        <v>59037</v>
      </c>
      <c r="Q2812" s="81" t="e">
        <v>#N/A</v>
      </c>
      <c r="R2812" s="85" t="e">
        <v>#N/A</v>
      </c>
    </row>
    <row r="2813" spans="14:18" x14ac:dyDescent="0.2">
      <c r="N2813" s="88" t="str">
        <f t="shared" si="49"/>
        <v>1w</v>
      </c>
      <c r="O2813" s="82">
        <f>_xll.qlCalendarAdvance(Calendar,O2812,N2813,"f",FALSE)</f>
        <v>59042</v>
      </c>
      <c r="P2813" s="92">
        <f>_xll.qlCalendarAdvance(Calendar,O2813,NDays&amp;"D")</f>
        <v>59044</v>
      </c>
      <c r="Q2813" s="81" t="e">
        <v>#N/A</v>
      </c>
      <c r="R2813" s="85" t="e">
        <v>#N/A</v>
      </c>
    </row>
    <row r="2814" spans="14:18" x14ac:dyDescent="0.2">
      <c r="N2814" s="88" t="str">
        <f t="shared" si="49"/>
        <v>1w</v>
      </c>
      <c r="O2814" s="82">
        <f>_xll.qlCalendarAdvance(Calendar,O2813,N2814,"f",FALSE)</f>
        <v>59049</v>
      </c>
      <c r="P2814" s="92">
        <f>_xll.qlCalendarAdvance(Calendar,O2814,NDays&amp;"D")</f>
        <v>59051</v>
      </c>
      <c r="Q2814" s="81" t="e">
        <v>#N/A</v>
      </c>
      <c r="R2814" s="85" t="e">
        <v>#N/A</v>
      </c>
    </row>
    <row r="2815" spans="14:18" x14ac:dyDescent="0.2">
      <c r="N2815" s="88" t="str">
        <f t="shared" si="49"/>
        <v>1w</v>
      </c>
      <c r="O2815" s="82">
        <f>_xll.qlCalendarAdvance(Calendar,O2814,N2815,"f",FALSE)</f>
        <v>59056</v>
      </c>
      <c r="P2815" s="92">
        <f>_xll.qlCalendarAdvance(Calendar,O2815,NDays&amp;"D")</f>
        <v>59058</v>
      </c>
      <c r="Q2815" s="81" t="e">
        <v>#N/A</v>
      </c>
      <c r="R2815" s="85" t="e">
        <v>#N/A</v>
      </c>
    </row>
    <row r="2816" spans="14:18" x14ac:dyDescent="0.2">
      <c r="N2816" s="88" t="str">
        <f t="shared" si="49"/>
        <v>1w</v>
      </c>
      <c r="O2816" s="82">
        <f>_xll.qlCalendarAdvance(Calendar,O2815,N2816,"f",FALSE)</f>
        <v>59063</v>
      </c>
      <c r="P2816" s="92">
        <f>_xll.qlCalendarAdvance(Calendar,O2816,NDays&amp;"D")</f>
        <v>59065</v>
      </c>
      <c r="Q2816" s="81" t="e">
        <v>#N/A</v>
      </c>
      <c r="R2816" s="85" t="e">
        <v>#N/A</v>
      </c>
    </row>
    <row r="2817" spans="14:18" x14ac:dyDescent="0.2">
      <c r="N2817" s="88" t="str">
        <f t="shared" si="49"/>
        <v>1w</v>
      </c>
      <c r="O2817" s="82">
        <f>_xll.qlCalendarAdvance(Calendar,O2816,N2817,"f",FALSE)</f>
        <v>59070</v>
      </c>
      <c r="P2817" s="92">
        <f>_xll.qlCalendarAdvance(Calendar,O2817,NDays&amp;"D")</f>
        <v>59072</v>
      </c>
      <c r="Q2817" s="81" t="e">
        <v>#N/A</v>
      </c>
      <c r="R2817" s="85" t="e">
        <v>#N/A</v>
      </c>
    </row>
    <row r="2818" spans="14:18" x14ac:dyDescent="0.2">
      <c r="N2818" s="88" t="str">
        <f t="shared" si="49"/>
        <v>1w</v>
      </c>
      <c r="O2818" s="82">
        <f>_xll.qlCalendarAdvance(Calendar,O2817,N2818,"f",FALSE)</f>
        <v>59077</v>
      </c>
      <c r="P2818" s="92">
        <f>_xll.qlCalendarAdvance(Calendar,O2818,NDays&amp;"D")</f>
        <v>59079</v>
      </c>
      <c r="Q2818" s="81" t="e">
        <v>#N/A</v>
      </c>
      <c r="R2818" s="85" t="e">
        <v>#N/A</v>
      </c>
    </row>
    <row r="2819" spans="14:18" x14ac:dyDescent="0.2">
      <c r="N2819" s="88" t="str">
        <f t="shared" si="49"/>
        <v>1w</v>
      </c>
      <c r="O2819" s="82">
        <f>_xll.qlCalendarAdvance(Calendar,O2818,N2819,"f",FALSE)</f>
        <v>59084</v>
      </c>
      <c r="P2819" s="92">
        <f>_xll.qlCalendarAdvance(Calendar,O2819,NDays&amp;"D")</f>
        <v>59086</v>
      </c>
      <c r="Q2819" s="81" t="e">
        <v>#N/A</v>
      </c>
      <c r="R2819" s="85" t="e">
        <v>#N/A</v>
      </c>
    </row>
    <row r="2820" spans="14:18" x14ac:dyDescent="0.2">
      <c r="N2820" s="88" t="str">
        <f t="shared" si="49"/>
        <v>1w</v>
      </c>
      <c r="O2820" s="82">
        <f>_xll.qlCalendarAdvance(Calendar,O2819,N2820,"f",FALSE)</f>
        <v>59091</v>
      </c>
      <c r="P2820" s="92">
        <f>_xll.qlCalendarAdvance(Calendar,O2820,NDays&amp;"D")</f>
        <v>59093</v>
      </c>
      <c r="Q2820" s="81" t="e">
        <v>#N/A</v>
      </c>
      <c r="R2820" s="85" t="e">
        <v>#N/A</v>
      </c>
    </row>
    <row r="2821" spans="14:18" x14ac:dyDescent="0.2">
      <c r="N2821" s="88" t="str">
        <f t="shared" si="49"/>
        <v>1w</v>
      </c>
      <c r="O2821" s="82">
        <f>_xll.qlCalendarAdvance(Calendar,O2820,N2821,"f",FALSE)</f>
        <v>59098</v>
      </c>
      <c r="P2821" s="92">
        <f>_xll.qlCalendarAdvance(Calendar,O2821,NDays&amp;"D")</f>
        <v>59100</v>
      </c>
      <c r="Q2821" s="81" t="e">
        <v>#N/A</v>
      </c>
      <c r="R2821" s="85" t="e">
        <v>#N/A</v>
      </c>
    </row>
    <row r="2822" spans="14:18" x14ac:dyDescent="0.2">
      <c r="N2822" s="88" t="str">
        <f t="shared" si="49"/>
        <v>1w</v>
      </c>
      <c r="O2822" s="82">
        <f>_xll.qlCalendarAdvance(Calendar,O2821,N2822,"f",FALSE)</f>
        <v>59105</v>
      </c>
      <c r="P2822" s="92">
        <f>_xll.qlCalendarAdvance(Calendar,O2822,NDays&amp;"D")</f>
        <v>59107</v>
      </c>
      <c r="Q2822" s="81" t="e">
        <v>#N/A</v>
      </c>
      <c r="R2822" s="85" t="e">
        <v>#N/A</v>
      </c>
    </row>
    <row r="2823" spans="14:18" x14ac:dyDescent="0.2">
      <c r="N2823" s="88" t="str">
        <f t="shared" si="49"/>
        <v>1w</v>
      </c>
      <c r="O2823" s="82">
        <f>_xll.qlCalendarAdvance(Calendar,O2822,N2823,"f",FALSE)</f>
        <v>59112</v>
      </c>
      <c r="P2823" s="92">
        <f>_xll.qlCalendarAdvance(Calendar,O2823,NDays&amp;"D")</f>
        <v>59114</v>
      </c>
      <c r="Q2823" s="81" t="e">
        <v>#N/A</v>
      </c>
      <c r="R2823" s="85" t="e">
        <v>#N/A</v>
      </c>
    </row>
    <row r="2824" spans="14:18" x14ac:dyDescent="0.2">
      <c r="N2824" s="88" t="str">
        <f t="shared" si="49"/>
        <v>1w</v>
      </c>
      <c r="O2824" s="82">
        <f>_xll.qlCalendarAdvance(Calendar,O2823,N2824,"f",FALSE)</f>
        <v>59119</v>
      </c>
      <c r="P2824" s="92">
        <f>_xll.qlCalendarAdvance(Calendar,O2824,NDays&amp;"D")</f>
        <v>59121</v>
      </c>
      <c r="Q2824" s="81" t="e">
        <v>#N/A</v>
      </c>
      <c r="R2824" s="85" t="e">
        <v>#N/A</v>
      </c>
    </row>
    <row r="2825" spans="14:18" x14ac:dyDescent="0.2">
      <c r="N2825" s="88" t="str">
        <f t="shared" si="49"/>
        <v>1w</v>
      </c>
      <c r="O2825" s="82">
        <f>_xll.qlCalendarAdvance(Calendar,O2824,N2825,"f",FALSE)</f>
        <v>59126</v>
      </c>
      <c r="P2825" s="92">
        <f>_xll.qlCalendarAdvance(Calendar,O2825,NDays&amp;"D")</f>
        <v>59128</v>
      </c>
      <c r="Q2825" s="81" t="e">
        <v>#N/A</v>
      </c>
      <c r="R2825" s="85" t="e">
        <v>#N/A</v>
      </c>
    </row>
    <row r="2826" spans="14:18" x14ac:dyDescent="0.2">
      <c r="N2826" s="88" t="str">
        <f t="shared" si="49"/>
        <v>1w</v>
      </c>
      <c r="O2826" s="82">
        <f>_xll.qlCalendarAdvance(Calendar,O2825,N2826,"f",FALSE)</f>
        <v>59133</v>
      </c>
      <c r="P2826" s="92">
        <f>_xll.qlCalendarAdvance(Calendar,O2826,NDays&amp;"D")</f>
        <v>59135</v>
      </c>
      <c r="Q2826" s="81" t="e">
        <v>#N/A</v>
      </c>
      <c r="R2826" s="85" t="e">
        <v>#N/A</v>
      </c>
    </row>
    <row r="2827" spans="14:18" x14ac:dyDescent="0.2">
      <c r="N2827" s="88" t="str">
        <f t="shared" si="49"/>
        <v>1w</v>
      </c>
      <c r="O2827" s="82">
        <f>_xll.qlCalendarAdvance(Calendar,O2826,N2827,"f",FALSE)</f>
        <v>59140</v>
      </c>
      <c r="P2827" s="92">
        <f>_xll.qlCalendarAdvance(Calendar,O2827,NDays&amp;"D")</f>
        <v>59142</v>
      </c>
      <c r="Q2827" s="81" t="e">
        <v>#N/A</v>
      </c>
      <c r="R2827" s="85" t="e">
        <v>#N/A</v>
      </c>
    </row>
    <row r="2828" spans="14:18" x14ac:dyDescent="0.2">
      <c r="N2828" s="88" t="str">
        <f t="shared" si="49"/>
        <v>1w</v>
      </c>
      <c r="O2828" s="82">
        <f>_xll.qlCalendarAdvance(Calendar,O2827,N2828,"f",FALSE)</f>
        <v>59147</v>
      </c>
      <c r="P2828" s="92">
        <f>_xll.qlCalendarAdvance(Calendar,O2828,NDays&amp;"D")</f>
        <v>59149</v>
      </c>
      <c r="Q2828" s="81" t="e">
        <v>#N/A</v>
      </c>
      <c r="R2828" s="85" t="e">
        <v>#N/A</v>
      </c>
    </row>
    <row r="2829" spans="14:18" x14ac:dyDescent="0.2">
      <c r="N2829" s="88" t="str">
        <f t="shared" si="49"/>
        <v>1w</v>
      </c>
      <c r="O2829" s="82">
        <f>_xll.qlCalendarAdvance(Calendar,O2828,N2829,"f",FALSE)</f>
        <v>59154</v>
      </c>
      <c r="P2829" s="92">
        <f>_xll.qlCalendarAdvance(Calendar,O2829,NDays&amp;"D")</f>
        <v>59156</v>
      </c>
      <c r="Q2829" s="81" t="e">
        <v>#N/A</v>
      </c>
      <c r="R2829" s="85" t="e">
        <v>#N/A</v>
      </c>
    </row>
    <row r="2830" spans="14:18" x14ac:dyDescent="0.2">
      <c r="N2830" s="88" t="str">
        <f t="shared" si="49"/>
        <v>1w</v>
      </c>
      <c r="O2830" s="82">
        <f>_xll.qlCalendarAdvance(Calendar,O2829,N2830,"f",FALSE)</f>
        <v>59161</v>
      </c>
      <c r="P2830" s="92">
        <f>_xll.qlCalendarAdvance(Calendar,O2830,NDays&amp;"D")</f>
        <v>59163</v>
      </c>
      <c r="Q2830" s="81" t="e">
        <v>#N/A</v>
      </c>
      <c r="R2830" s="85" t="e">
        <v>#N/A</v>
      </c>
    </row>
    <row r="2831" spans="14:18" x14ac:dyDescent="0.2">
      <c r="N2831" s="88" t="str">
        <f t="shared" si="49"/>
        <v>1w</v>
      </c>
      <c r="O2831" s="82">
        <f>_xll.qlCalendarAdvance(Calendar,O2830,N2831,"f",FALSE)</f>
        <v>59168</v>
      </c>
      <c r="P2831" s="92">
        <f>_xll.qlCalendarAdvance(Calendar,O2831,NDays&amp;"D")</f>
        <v>59170</v>
      </c>
      <c r="Q2831" s="81" t="e">
        <v>#N/A</v>
      </c>
      <c r="R2831" s="85" t="e">
        <v>#N/A</v>
      </c>
    </row>
    <row r="2832" spans="14:18" x14ac:dyDescent="0.2">
      <c r="N2832" s="88" t="str">
        <f t="shared" si="49"/>
        <v>1w</v>
      </c>
      <c r="O2832" s="82">
        <f>_xll.qlCalendarAdvance(Calendar,O2831,N2832,"f",FALSE)</f>
        <v>59175</v>
      </c>
      <c r="P2832" s="92">
        <f>_xll.qlCalendarAdvance(Calendar,O2832,NDays&amp;"D")</f>
        <v>59180</v>
      </c>
      <c r="Q2832" s="81" t="e">
        <v>#N/A</v>
      </c>
      <c r="R2832" s="85" t="e">
        <v>#N/A</v>
      </c>
    </row>
    <row r="2833" spans="14:18" x14ac:dyDescent="0.2">
      <c r="N2833" s="88" t="str">
        <f t="shared" si="49"/>
        <v>1w</v>
      </c>
      <c r="O2833" s="82">
        <f>_xll.qlCalendarAdvance(Calendar,O2832,N2833,"f",FALSE)</f>
        <v>59182</v>
      </c>
      <c r="P2833" s="92">
        <f>_xll.qlCalendarAdvance(Calendar,O2833,NDays&amp;"D")</f>
        <v>59184</v>
      </c>
      <c r="Q2833" s="81" t="e">
        <v>#N/A</v>
      </c>
      <c r="R2833" s="85" t="e">
        <v>#N/A</v>
      </c>
    </row>
    <row r="2834" spans="14:18" x14ac:dyDescent="0.2">
      <c r="N2834" s="88" t="str">
        <f t="shared" si="49"/>
        <v>1w</v>
      </c>
      <c r="O2834" s="82">
        <f>_xll.qlCalendarAdvance(Calendar,O2833,N2834,"f",FALSE)</f>
        <v>59189</v>
      </c>
      <c r="P2834" s="92">
        <f>_xll.qlCalendarAdvance(Calendar,O2834,NDays&amp;"D")</f>
        <v>59191</v>
      </c>
      <c r="Q2834" s="81" t="e">
        <v>#N/A</v>
      </c>
      <c r="R2834" s="85" t="e">
        <v>#N/A</v>
      </c>
    </row>
    <row r="2835" spans="14:18" x14ac:dyDescent="0.2">
      <c r="N2835" s="88" t="str">
        <f t="shared" si="49"/>
        <v>1w</v>
      </c>
      <c r="O2835" s="82">
        <f>_xll.qlCalendarAdvance(Calendar,O2834,N2835,"f",FALSE)</f>
        <v>59196</v>
      </c>
      <c r="P2835" s="92">
        <f>_xll.qlCalendarAdvance(Calendar,O2835,NDays&amp;"D")</f>
        <v>59198</v>
      </c>
      <c r="Q2835" s="81" t="e">
        <v>#N/A</v>
      </c>
      <c r="R2835" s="85" t="e">
        <v>#N/A</v>
      </c>
    </row>
    <row r="2836" spans="14:18" x14ac:dyDescent="0.2">
      <c r="N2836" s="88" t="str">
        <f t="shared" si="49"/>
        <v>1w</v>
      </c>
      <c r="O2836" s="82">
        <f>_xll.qlCalendarAdvance(Calendar,O2835,N2836,"f",FALSE)</f>
        <v>59203</v>
      </c>
      <c r="P2836" s="92">
        <f>_xll.qlCalendarAdvance(Calendar,O2836,NDays&amp;"D")</f>
        <v>59205</v>
      </c>
      <c r="Q2836" s="81" t="e">
        <v>#N/A</v>
      </c>
      <c r="R2836" s="85" t="e">
        <v>#N/A</v>
      </c>
    </row>
    <row r="2837" spans="14:18" x14ac:dyDescent="0.2">
      <c r="N2837" s="88" t="str">
        <f t="shared" ref="N2837:N2900" si="50">N2836</f>
        <v>1w</v>
      </c>
      <c r="O2837" s="82">
        <f>_xll.qlCalendarAdvance(Calendar,O2836,N2837,"f",FALSE)</f>
        <v>59210</v>
      </c>
      <c r="P2837" s="92">
        <f>_xll.qlCalendarAdvance(Calendar,O2837,NDays&amp;"D")</f>
        <v>59212</v>
      </c>
      <c r="Q2837" s="81" t="e">
        <v>#N/A</v>
      </c>
      <c r="R2837" s="85" t="e">
        <v>#N/A</v>
      </c>
    </row>
    <row r="2838" spans="14:18" x14ac:dyDescent="0.2">
      <c r="N2838" s="88" t="str">
        <f t="shared" si="50"/>
        <v>1w</v>
      </c>
      <c r="O2838" s="82">
        <f>_xll.qlCalendarAdvance(Calendar,O2837,N2838,"f",FALSE)</f>
        <v>59217</v>
      </c>
      <c r="P2838" s="92">
        <f>_xll.qlCalendarAdvance(Calendar,O2838,NDays&amp;"D")</f>
        <v>59219</v>
      </c>
      <c r="Q2838" s="81" t="e">
        <v>#N/A</v>
      </c>
      <c r="R2838" s="85" t="e">
        <v>#N/A</v>
      </c>
    </row>
    <row r="2839" spans="14:18" x14ac:dyDescent="0.2">
      <c r="N2839" s="88" t="str">
        <f t="shared" si="50"/>
        <v>1w</v>
      </c>
      <c r="O2839" s="82">
        <f>_xll.qlCalendarAdvance(Calendar,O2838,N2839,"f",FALSE)</f>
        <v>59224</v>
      </c>
      <c r="P2839" s="92">
        <f>_xll.qlCalendarAdvance(Calendar,O2839,NDays&amp;"D")</f>
        <v>59226</v>
      </c>
      <c r="Q2839" s="81" t="e">
        <v>#N/A</v>
      </c>
      <c r="R2839" s="85" t="e">
        <v>#N/A</v>
      </c>
    </row>
    <row r="2840" spans="14:18" x14ac:dyDescent="0.2">
      <c r="N2840" s="88" t="str">
        <f t="shared" si="50"/>
        <v>1w</v>
      </c>
      <c r="O2840" s="82">
        <f>_xll.qlCalendarAdvance(Calendar,O2839,N2840,"f",FALSE)</f>
        <v>59231</v>
      </c>
      <c r="P2840" s="92">
        <f>_xll.qlCalendarAdvance(Calendar,O2840,NDays&amp;"D")</f>
        <v>59233</v>
      </c>
      <c r="Q2840" s="81" t="e">
        <v>#N/A</v>
      </c>
      <c r="R2840" s="85" t="e">
        <v>#N/A</v>
      </c>
    </row>
    <row r="2841" spans="14:18" x14ac:dyDescent="0.2">
      <c r="N2841" s="88" t="str">
        <f t="shared" si="50"/>
        <v>1w</v>
      </c>
      <c r="O2841" s="82">
        <f>_xll.qlCalendarAdvance(Calendar,O2840,N2841,"f",FALSE)</f>
        <v>59238</v>
      </c>
      <c r="P2841" s="92">
        <f>_xll.qlCalendarAdvance(Calendar,O2841,NDays&amp;"D")</f>
        <v>59240</v>
      </c>
      <c r="Q2841" s="81" t="e">
        <v>#N/A</v>
      </c>
      <c r="R2841" s="85" t="e">
        <v>#N/A</v>
      </c>
    </row>
    <row r="2842" spans="14:18" x14ac:dyDescent="0.2">
      <c r="N2842" s="88" t="str">
        <f t="shared" si="50"/>
        <v>1w</v>
      </c>
      <c r="O2842" s="82">
        <f>_xll.qlCalendarAdvance(Calendar,O2841,N2842,"f",FALSE)</f>
        <v>59245</v>
      </c>
      <c r="P2842" s="92">
        <f>_xll.qlCalendarAdvance(Calendar,O2842,NDays&amp;"D")</f>
        <v>59247</v>
      </c>
      <c r="Q2842" s="81" t="e">
        <v>#N/A</v>
      </c>
      <c r="R2842" s="85" t="e">
        <v>#N/A</v>
      </c>
    </row>
    <row r="2843" spans="14:18" x14ac:dyDescent="0.2">
      <c r="N2843" s="88" t="str">
        <f t="shared" si="50"/>
        <v>1w</v>
      </c>
      <c r="O2843" s="82">
        <f>_xll.qlCalendarAdvance(Calendar,O2842,N2843,"f",FALSE)</f>
        <v>59252</v>
      </c>
      <c r="P2843" s="92">
        <f>_xll.qlCalendarAdvance(Calendar,O2843,NDays&amp;"D")</f>
        <v>59258</v>
      </c>
      <c r="Q2843" s="81" t="e">
        <v>#N/A</v>
      </c>
      <c r="R2843" s="85" t="e">
        <v>#N/A</v>
      </c>
    </row>
    <row r="2844" spans="14:18" x14ac:dyDescent="0.2">
      <c r="N2844" s="88" t="str">
        <f t="shared" si="50"/>
        <v>1w</v>
      </c>
      <c r="O2844" s="82">
        <f>_xll.qlCalendarAdvance(Calendar,O2843,N2844,"f",FALSE)</f>
        <v>59259</v>
      </c>
      <c r="P2844" s="92">
        <f>_xll.qlCalendarAdvance(Calendar,O2844,NDays&amp;"D")</f>
        <v>59261</v>
      </c>
      <c r="Q2844" s="81" t="e">
        <v>#N/A</v>
      </c>
      <c r="R2844" s="85" t="e">
        <v>#N/A</v>
      </c>
    </row>
    <row r="2845" spans="14:18" x14ac:dyDescent="0.2">
      <c r="N2845" s="88" t="str">
        <f t="shared" si="50"/>
        <v>1w</v>
      </c>
      <c r="O2845" s="82">
        <f>_xll.qlCalendarAdvance(Calendar,O2844,N2845,"f",FALSE)</f>
        <v>59266</v>
      </c>
      <c r="P2845" s="92">
        <f>_xll.qlCalendarAdvance(Calendar,O2845,NDays&amp;"D")</f>
        <v>59268</v>
      </c>
      <c r="Q2845" s="81" t="e">
        <v>#N/A</v>
      </c>
      <c r="R2845" s="85" t="e">
        <v>#N/A</v>
      </c>
    </row>
    <row r="2846" spans="14:18" x14ac:dyDescent="0.2">
      <c r="N2846" s="88" t="str">
        <f t="shared" si="50"/>
        <v>1w</v>
      </c>
      <c r="O2846" s="82">
        <f>_xll.qlCalendarAdvance(Calendar,O2845,N2846,"f",FALSE)</f>
        <v>59273</v>
      </c>
      <c r="P2846" s="92">
        <f>_xll.qlCalendarAdvance(Calendar,O2846,NDays&amp;"D")</f>
        <v>59275</v>
      </c>
      <c r="Q2846" s="81" t="e">
        <v>#N/A</v>
      </c>
      <c r="R2846" s="85" t="e">
        <v>#N/A</v>
      </c>
    </row>
    <row r="2847" spans="14:18" x14ac:dyDescent="0.2">
      <c r="N2847" s="88" t="str">
        <f t="shared" si="50"/>
        <v>1w</v>
      </c>
      <c r="O2847" s="82">
        <f>_xll.qlCalendarAdvance(Calendar,O2846,N2847,"f",FALSE)</f>
        <v>59280</v>
      </c>
      <c r="P2847" s="92">
        <f>_xll.qlCalendarAdvance(Calendar,O2847,NDays&amp;"D")</f>
        <v>59282</v>
      </c>
      <c r="Q2847" s="81" t="e">
        <v>#N/A</v>
      </c>
      <c r="R2847" s="85" t="e">
        <v>#N/A</v>
      </c>
    </row>
    <row r="2848" spans="14:18" x14ac:dyDescent="0.2">
      <c r="N2848" s="88" t="str">
        <f t="shared" si="50"/>
        <v>1w</v>
      </c>
      <c r="O2848" s="82">
        <f>_xll.qlCalendarAdvance(Calendar,O2847,N2848,"f",FALSE)</f>
        <v>59287</v>
      </c>
      <c r="P2848" s="92">
        <f>_xll.qlCalendarAdvance(Calendar,O2848,NDays&amp;"D")</f>
        <v>59289</v>
      </c>
      <c r="Q2848" s="81" t="e">
        <v>#N/A</v>
      </c>
      <c r="R2848" s="85" t="e">
        <v>#N/A</v>
      </c>
    </row>
    <row r="2849" spans="14:18" x14ac:dyDescent="0.2">
      <c r="N2849" s="88" t="str">
        <f t="shared" si="50"/>
        <v>1w</v>
      </c>
      <c r="O2849" s="82">
        <f>_xll.qlCalendarAdvance(Calendar,O2848,N2849,"f",FALSE)</f>
        <v>59294</v>
      </c>
      <c r="P2849" s="92">
        <f>_xll.qlCalendarAdvance(Calendar,O2849,NDays&amp;"D")</f>
        <v>59299</v>
      </c>
      <c r="Q2849" s="81" t="e">
        <v>#N/A</v>
      </c>
      <c r="R2849" s="85" t="e">
        <v>#N/A</v>
      </c>
    </row>
    <row r="2850" spans="14:18" x14ac:dyDescent="0.2">
      <c r="N2850" s="88" t="str">
        <f t="shared" si="50"/>
        <v>1w</v>
      </c>
      <c r="O2850" s="82">
        <f>_xll.qlCalendarAdvance(Calendar,O2849,N2850,"f",FALSE)</f>
        <v>59301</v>
      </c>
      <c r="P2850" s="92">
        <f>_xll.qlCalendarAdvance(Calendar,O2850,NDays&amp;"D")</f>
        <v>59303</v>
      </c>
      <c r="Q2850" s="81" t="e">
        <v>#N/A</v>
      </c>
      <c r="R2850" s="85" t="e">
        <v>#N/A</v>
      </c>
    </row>
    <row r="2851" spans="14:18" x14ac:dyDescent="0.2">
      <c r="N2851" s="88" t="str">
        <f t="shared" si="50"/>
        <v>1w</v>
      </c>
      <c r="O2851" s="82">
        <f>_xll.qlCalendarAdvance(Calendar,O2850,N2851,"f",FALSE)</f>
        <v>59308</v>
      </c>
      <c r="P2851" s="92">
        <f>_xll.qlCalendarAdvance(Calendar,O2851,NDays&amp;"D")</f>
        <v>59310</v>
      </c>
      <c r="Q2851" s="81" t="e">
        <v>#N/A</v>
      </c>
      <c r="R2851" s="85" t="e">
        <v>#N/A</v>
      </c>
    </row>
    <row r="2852" spans="14:18" x14ac:dyDescent="0.2">
      <c r="N2852" s="88" t="str">
        <f t="shared" si="50"/>
        <v>1w</v>
      </c>
      <c r="O2852" s="82">
        <f>_xll.qlCalendarAdvance(Calendar,O2851,N2852,"f",FALSE)</f>
        <v>59315</v>
      </c>
      <c r="P2852" s="92">
        <f>_xll.qlCalendarAdvance(Calendar,O2852,NDays&amp;"D")</f>
        <v>59317</v>
      </c>
      <c r="Q2852" s="81" t="e">
        <v>#N/A</v>
      </c>
      <c r="R2852" s="85" t="e">
        <v>#N/A</v>
      </c>
    </row>
    <row r="2853" spans="14:18" x14ac:dyDescent="0.2">
      <c r="N2853" s="88" t="str">
        <f t="shared" si="50"/>
        <v>1w</v>
      </c>
      <c r="O2853" s="82">
        <f>_xll.qlCalendarAdvance(Calendar,O2852,N2853,"f",FALSE)</f>
        <v>59322</v>
      </c>
      <c r="P2853" s="92">
        <f>_xll.qlCalendarAdvance(Calendar,O2853,NDays&amp;"D")</f>
        <v>59324</v>
      </c>
      <c r="Q2853" s="81" t="e">
        <v>#N/A</v>
      </c>
      <c r="R2853" s="85" t="e">
        <v>#N/A</v>
      </c>
    </row>
    <row r="2854" spans="14:18" x14ac:dyDescent="0.2">
      <c r="N2854" s="88" t="str">
        <f t="shared" si="50"/>
        <v>1w</v>
      </c>
      <c r="O2854" s="82">
        <f>_xll.qlCalendarAdvance(Calendar,O2853,N2854,"f",FALSE)</f>
        <v>59329</v>
      </c>
      <c r="P2854" s="92">
        <f>_xll.qlCalendarAdvance(Calendar,O2854,NDays&amp;"D")</f>
        <v>59331</v>
      </c>
      <c r="Q2854" s="81" t="e">
        <v>#N/A</v>
      </c>
      <c r="R2854" s="85" t="e">
        <v>#N/A</v>
      </c>
    </row>
    <row r="2855" spans="14:18" x14ac:dyDescent="0.2">
      <c r="N2855" s="88" t="str">
        <f t="shared" si="50"/>
        <v>1w</v>
      </c>
      <c r="O2855" s="82">
        <f>_xll.qlCalendarAdvance(Calendar,O2854,N2855,"f",FALSE)</f>
        <v>59336</v>
      </c>
      <c r="P2855" s="92">
        <f>_xll.qlCalendarAdvance(Calendar,O2855,NDays&amp;"D")</f>
        <v>59338</v>
      </c>
      <c r="Q2855" s="81" t="e">
        <v>#N/A</v>
      </c>
      <c r="R2855" s="85" t="e">
        <v>#N/A</v>
      </c>
    </row>
    <row r="2856" spans="14:18" x14ac:dyDescent="0.2">
      <c r="N2856" s="88" t="str">
        <f t="shared" si="50"/>
        <v>1w</v>
      </c>
      <c r="O2856" s="82">
        <f>_xll.qlCalendarAdvance(Calendar,O2855,N2856,"f",FALSE)</f>
        <v>59343</v>
      </c>
      <c r="P2856" s="92">
        <f>_xll.qlCalendarAdvance(Calendar,O2856,NDays&amp;"D")</f>
        <v>59348</v>
      </c>
      <c r="Q2856" s="81" t="e">
        <v>#N/A</v>
      </c>
      <c r="R2856" s="85" t="e">
        <v>#N/A</v>
      </c>
    </row>
    <row r="2857" spans="14:18" x14ac:dyDescent="0.2">
      <c r="N2857" s="88" t="str">
        <f t="shared" si="50"/>
        <v>1w</v>
      </c>
      <c r="O2857" s="82">
        <f>_xll.qlCalendarAdvance(Calendar,O2856,N2857,"f",FALSE)</f>
        <v>59350</v>
      </c>
      <c r="P2857" s="92">
        <f>_xll.qlCalendarAdvance(Calendar,O2857,NDays&amp;"D")</f>
        <v>59352</v>
      </c>
      <c r="Q2857" s="81" t="e">
        <v>#N/A</v>
      </c>
      <c r="R2857" s="85" t="e">
        <v>#N/A</v>
      </c>
    </row>
    <row r="2858" spans="14:18" x14ac:dyDescent="0.2">
      <c r="N2858" s="88" t="str">
        <f t="shared" si="50"/>
        <v>1w</v>
      </c>
      <c r="O2858" s="82">
        <f>_xll.qlCalendarAdvance(Calendar,O2857,N2858,"f",FALSE)</f>
        <v>59357</v>
      </c>
      <c r="P2858" s="92">
        <f>_xll.qlCalendarAdvance(Calendar,O2858,NDays&amp;"D")</f>
        <v>59359</v>
      </c>
      <c r="Q2858" s="81" t="e">
        <v>#N/A</v>
      </c>
      <c r="R2858" s="85" t="e">
        <v>#N/A</v>
      </c>
    </row>
    <row r="2859" spans="14:18" x14ac:dyDescent="0.2">
      <c r="N2859" s="88" t="str">
        <f t="shared" si="50"/>
        <v>1w</v>
      </c>
      <c r="O2859" s="82">
        <f>_xll.qlCalendarAdvance(Calendar,O2858,N2859,"f",FALSE)</f>
        <v>59364</v>
      </c>
      <c r="P2859" s="92">
        <f>_xll.qlCalendarAdvance(Calendar,O2859,NDays&amp;"D")</f>
        <v>59366</v>
      </c>
      <c r="Q2859" s="81" t="e">
        <v>#N/A</v>
      </c>
      <c r="R2859" s="85" t="e">
        <v>#N/A</v>
      </c>
    </row>
    <row r="2860" spans="14:18" x14ac:dyDescent="0.2">
      <c r="N2860" s="88" t="str">
        <f t="shared" si="50"/>
        <v>1w</v>
      </c>
      <c r="O2860" s="82">
        <f>_xll.qlCalendarAdvance(Calendar,O2859,N2860,"f",FALSE)</f>
        <v>59371</v>
      </c>
      <c r="P2860" s="92">
        <f>_xll.qlCalendarAdvance(Calendar,O2860,NDays&amp;"D")</f>
        <v>59373</v>
      </c>
      <c r="Q2860" s="81" t="e">
        <v>#N/A</v>
      </c>
      <c r="R2860" s="85" t="e">
        <v>#N/A</v>
      </c>
    </row>
    <row r="2861" spans="14:18" x14ac:dyDescent="0.2">
      <c r="N2861" s="88" t="str">
        <f t="shared" si="50"/>
        <v>1w</v>
      </c>
      <c r="O2861" s="82">
        <f>_xll.qlCalendarAdvance(Calendar,O2860,N2861,"f",FALSE)</f>
        <v>59378</v>
      </c>
      <c r="P2861" s="92">
        <f>_xll.qlCalendarAdvance(Calendar,O2861,NDays&amp;"D")</f>
        <v>59380</v>
      </c>
      <c r="Q2861" s="81" t="e">
        <v>#N/A</v>
      </c>
      <c r="R2861" s="85" t="e">
        <v>#N/A</v>
      </c>
    </row>
    <row r="2862" spans="14:18" x14ac:dyDescent="0.2">
      <c r="N2862" s="88" t="str">
        <f t="shared" si="50"/>
        <v>1w</v>
      </c>
      <c r="O2862" s="82">
        <f>_xll.qlCalendarAdvance(Calendar,O2861,N2862,"f",FALSE)</f>
        <v>59385</v>
      </c>
      <c r="P2862" s="92">
        <f>_xll.qlCalendarAdvance(Calendar,O2862,NDays&amp;"D")</f>
        <v>59387</v>
      </c>
      <c r="Q2862" s="81" t="e">
        <v>#N/A</v>
      </c>
      <c r="R2862" s="85" t="e">
        <v>#N/A</v>
      </c>
    </row>
    <row r="2863" spans="14:18" x14ac:dyDescent="0.2">
      <c r="N2863" s="88" t="str">
        <f t="shared" si="50"/>
        <v>1w</v>
      </c>
      <c r="O2863" s="82">
        <f>_xll.qlCalendarAdvance(Calendar,O2862,N2863,"f",FALSE)</f>
        <v>59392</v>
      </c>
      <c r="P2863" s="92">
        <f>_xll.qlCalendarAdvance(Calendar,O2863,NDays&amp;"D")</f>
        <v>59394</v>
      </c>
      <c r="Q2863" s="81" t="e">
        <v>#N/A</v>
      </c>
      <c r="R2863" s="85" t="e">
        <v>#N/A</v>
      </c>
    </row>
    <row r="2864" spans="14:18" x14ac:dyDescent="0.2">
      <c r="N2864" s="88" t="str">
        <f t="shared" si="50"/>
        <v>1w</v>
      </c>
      <c r="O2864" s="82">
        <f>_xll.qlCalendarAdvance(Calendar,O2863,N2864,"f",FALSE)</f>
        <v>59399</v>
      </c>
      <c r="P2864" s="92">
        <f>_xll.qlCalendarAdvance(Calendar,O2864,NDays&amp;"D")</f>
        <v>59401</v>
      </c>
      <c r="Q2864" s="81" t="e">
        <v>#N/A</v>
      </c>
      <c r="R2864" s="85" t="e">
        <v>#N/A</v>
      </c>
    </row>
    <row r="2865" spans="14:18" x14ac:dyDescent="0.2">
      <c r="N2865" s="88" t="str">
        <f t="shared" si="50"/>
        <v>1w</v>
      </c>
      <c r="O2865" s="82">
        <f>_xll.qlCalendarAdvance(Calendar,O2864,N2865,"f",FALSE)</f>
        <v>59406</v>
      </c>
      <c r="P2865" s="92">
        <f>_xll.qlCalendarAdvance(Calendar,O2865,NDays&amp;"D")</f>
        <v>59408</v>
      </c>
      <c r="Q2865" s="81" t="e">
        <v>#N/A</v>
      </c>
      <c r="R2865" s="85" t="e">
        <v>#N/A</v>
      </c>
    </row>
    <row r="2866" spans="14:18" x14ac:dyDescent="0.2">
      <c r="N2866" s="88" t="str">
        <f t="shared" si="50"/>
        <v>1w</v>
      </c>
      <c r="O2866" s="82">
        <f>_xll.qlCalendarAdvance(Calendar,O2865,N2866,"f",FALSE)</f>
        <v>59413</v>
      </c>
      <c r="P2866" s="92">
        <f>_xll.qlCalendarAdvance(Calendar,O2866,NDays&amp;"D")</f>
        <v>59415</v>
      </c>
      <c r="Q2866" s="81" t="e">
        <v>#N/A</v>
      </c>
      <c r="R2866" s="85" t="e">
        <v>#N/A</v>
      </c>
    </row>
    <row r="2867" spans="14:18" x14ac:dyDescent="0.2">
      <c r="N2867" s="88" t="str">
        <f t="shared" si="50"/>
        <v>1w</v>
      </c>
      <c r="O2867" s="82">
        <f>_xll.qlCalendarAdvance(Calendar,O2866,N2867,"f",FALSE)</f>
        <v>59420</v>
      </c>
      <c r="P2867" s="92">
        <f>_xll.qlCalendarAdvance(Calendar,O2867,NDays&amp;"D")</f>
        <v>59422</v>
      </c>
      <c r="Q2867" s="81" t="e">
        <v>#N/A</v>
      </c>
      <c r="R2867" s="85" t="e">
        <v>#N/A</v>
      </c>
    </row>
    <row r="2868" spans="14:18" x14ac:dyDescent="0.2">
      <c r="N2868" s="88" t="str">
        <f t="shared" si="50"/>
        <v>1w</v>
      </c>
      <c r="O2868" s="82">
        <f>_xll.qlCalendarAdvance(Calendar,O2867,N2868,"f",FALSE)</f>
        <v>59427</v>
      </c>
      <c r="P2868" s="92">
        <f>_xll.qlCalendarAdvance(Calendar,O2868,NDays&amp;"D")</f>
        <v>59429</v>
      </c>
      <c r="Q2868" s="81" t="e">
        <v>#N/A</v>
      </c>
      <c r="R2868" s="85" t="e">
        <v>#N/A</v>
      </c>
    </row>
    <row r="2869" spans="14:18" x14ac:dyDescent="0.2">
      <c r="N2869" s="88" t="str">
        <f t="shared" si="50"/>
        <v>1w</v>
      </c>
      <c r="O2869" s="82">
        <f>_xll.qlCalendarAdvance(Calendar,O2868,N2869,"f",FALSE)</f>
        <v>59434</v>
      </c>
      <c r="P2869" s="92">
        <f>_xll.qlCalendarAdvance(Calendar,O2869,NDays&amp;"D")</f>
        <v>59436</v>
      </c>
      <c r="Q2869" s="81" t="e">
        <v>#N/A</v>
      </c>
      <c r="R2869" s="85" t="e">
        <v>#N/A</v>
      </c>
    </row>
    <row r="2870" spans="14:18" x14ac:dyDescent="0.2">
      <c r="N2870" s="88" t="str">
        <f t="shared" si="50"/>
        <v>1w</v>
      </c>
      <c r="O2870" s="82">
        <f>_xll.qlCalendarAdvance(Calendar,O2869,N2870,"f",FALSE)</f>
        <v>59441</v>
      </c>
      <c r="P2870" s="92">
        <f>_xll.qlCalendarAdvance(Calendar,O2870,NDays&amp;"D")</f>
        <v>59443</v>
      </c>
      <c r="Q2870" s="81" t="e">
        <v>#N/A</v>
      </c>
      <c r="R2870" s="85" t="e">
        <v>#N/A</v>
      </c>
    </row>
    <row r="2871" spans="14:18" x14ac:dyDescent="0.2">
      <c r="N2871" s="88" t="str">
        <f t="shared" si="50"/>
        <v>1w</v>
      </c>
      <c r="O2871" s="82">
        <f>_xll.qlCalendarAdvance(Calendar,O2870,N2871,"f",FALSE)</f>
        <v>59448</v>
      </c>
      <c r="P2871" s="92">
        <f>_xll.qlCalendarAdvance(Calendar,O2871,NDays&amp;"D")</f>
        <v>59450</v>
      </c>
      <c r="Q2871" s="81" t="e">
        <v>#N/A</v>
      </c>
      <c r="R2871" s="85" t="e">
        <v>#N/A</v>
      </c>
    </row>
    <row r="2872" spans="14:18" x14ac:dyDescent="0.2">
      <c r="N2872" s="88" t="str">
        <f t="shared" si="50"/>
        <v>1w</v>
      </c>
      <c r="O2872" s="82">
        <f>_xll.qlCalendarAdvance(Calendar,O2871,N2872,"f",FALSE)</f>
        <v>59455</v>
      </c>
      <c r="P2872" s="92">
        <f>_xll.qlCalendarAdvance(Calendar,O2872,NDays&amp;"D")</f>
        <v>59457</v>
      </c>
      <c r="Q2872" s="81" t="e">
        <v>#N/A</v>
      </c>
      <c r="R2872" s="85" t="e">
        <v>#N/A</v>
      </c>
    </row>
    <row r="2873" spans="14:18" x14ac:dyDescent="0.2">
      <c r="N2873" s="88" t="str">
        <f t="shared" si="50"/>
        <v>1w</v>
      </c>
      <c r="O2873" s="82">
        <f>_xll.qlCalendarAdvance(Calendar,O2872,N2873,"f",FALSE)</f>
        <v>59462</v>
      </c>
      <c r="P2873" s="92">
        <f>_xll.qlCalendarAdvance(Calendar,O2873,NDays&amp;"D")</f>
        <v>59464</v>
      </c>
      <c r="Q2873" s="81" t="e">
        <v>#N/A</v>
      </c>
      <c r="R2873" s="85" t="e">
        <v>#N/A</v>
      </c>
    </row>
    <row r="2874" spans="14:18" x14ac:dyDescent="0.2">
      <c r="N2874" s="88" t="str">
        <f t="shared" si="50"/>
        <v>1w</v>
      </c>
      <c r="O2874" s="82">
        <f>_xll.qlCalendarAdvance(Calendar,O2873,N2874,"f",FALSE)</f>
        <v>59469</v>
      </c>
      <c r="P2874" s="92">
        <f>_xll.qlCalendarAdvance(Calendar,O2874,NDays&amp;"D")</f>
        <v>59471</v>
      </c>
      <c r="Q2874" s="81" t="e">
        <v>#N/A</v>
      </c>
      <c r="R2874" s="85" t="e">
        <v>#N/A</v>
      </c>
    </row>
    <row r="2875" spans="14:18" x14ac:dyDescent="0.2">
      <c r="N2875" s="88" t="str">
        <f t="shared" si="50"/>
        <v>1w</v>
      </c>
      <c r="O2875" s="82">
        <f>_xll.qlCalendarAdvance(Calendar,O2874,N2875,"f",FALSE)</f>
        <v>59476</v>
      </c>
      <c r="P2875" s="92">
        <f>_xll.qlCalendarAdvance(Calendar,O2875,NDays&amp;"D")</f>
        <v>59478</v>
      </c>
      <c r="Q2875" s="81" t="e">
        <v>#N/A</v>
      </c>
      <c r="R2875" s="85" t="e">
        <v>#N/A</v>
      </c>
    </row>
    <row r="2876" spans="14:18" x14ac:dyDescent="0.2">
      <c r="N2876" s="88" t="str">
        <f t="shared" si="50"/>
        <v>1w</v>
      </c>
      <c r="O2876" s="82">
        <f>_xll.qlCalendarAdvance(Calendar,O2875,N2876,"f",FALSE)</f>
        <v>59483</v>
      </c>
      <c r="P2876" s="92">
        <f>_xll.qlCalendarAdvance(Calendar,O2876,NDays&amp;"D")</f>
        <v>59485</v>
      </c>
      <c r="Q2876" s="81" t="e">
        <v>#N/A</v>
      </c>
      <c r="R2876" s="85" t="e">
        <v>#N/A</v>
      </c>
    </row>
    <row r="2877" spans="14:18" x14ac:dyDescent="0.2">
      <c r="N2877" s="88" t="str">
        <f t="shared" si="50"/>
        <v>1w</v>
      </c>
      <c r="O2877" s="82">
        <f>_xll.qlCalendarAdvance(Calendar,O2876,N2877,"f",FALSE)</f>
        <v>59490</v>
      </c>
      <c r="P2877" s="92">
        <f>_xll.qlCalendarAdvance(Calendar,O2877,NDays&amp;"D")</f>
        <v>59492</v>
      </c>
      <c r="Q2877" s="81" t="e">
        <v>#N/A</v>
      </c>
      <c r="R2877" s="85" t="e">
        <v>#N/A</v>
      </c>
    </row>
    <row r="2878" spans="14:18" x14ac:dyDescent="0.2">
      <c r="N2878" s="88" t="str">
        <f t="shared" si="50"/>
        <v>1w</v>
      </c>
      <c r="O2878" s="82">
        <f>_xll.qlCalendarAdvance(Calendar,O2877,N2878,"f",FALSE)</f>
        <v>59497</v>
      </c>
      <c r="P2878" s="92">
        <f>_xll.qlCalendarAdvance(Calendar,O2878,NDays&amp;"D")</f>
        <v>59499</v>
      </c>
      <c r="Q2878" s="81" t="e">
        <v>#N/A</v>
      </c>
      <c r="R2878" s="85" t="e">
        <v>#N/A</v>
      </c>
    </row>
    <row r="2879" spans="14:18" x14ac:dyDescent="0.2">
      <c r="N2879" s="88" t="str">
        <f t="shared" si="50"/>
        <v>1w</v>
      </c>
      <c r="O2879" s="82">
        <f>_xll.qlCalendarAdvance(Calendar,O2878,N2879,"f",FALSE)</f>
        <v>59504</v>
      </c>
      <c r="P2879" s="92">
        <f>_xll.qlCalendarAdvance(Calendar,O2879,NDays&amp;"D")</f>
        <v>59506</v>
      </c>
      <c r="Q2879" s="81" t="e">
        <v>#N/A</v>
      </c>
      <c r="R2879" s="85" t="e">
        <v>#N/A</v>
      </c>
    </row>
    <row r="2880" spans="14:18" x14ac:dyDescent="0.2">
      <c r="N2880" s="88" t="str">
        <f t="shared" si="50"/>
        <v>1w</v>
      </c>
      <c r="O2880" s="82">
        <f>_xll.qlCalendarAdvance(Calendar,O2879,N2880,"f",FALSE)</f>
        <v>59511</v>
      </c>
      <c r="P2880" s="92">
        <f>_xll.qlCalendarAdvance(Calendar,O2880,NDays&amp;"D")</f>
        <v>59513</v>
      </c>
      <c r="Q2880" s="81" t="e">
        <v>#N/A</v>
      </c>
      <c r="R2880" s="85" t="e">
        <v>#N/A</v>
      </c>
    </row>
    <row r="2881" spans="14:18" x14ac:dyDescent="0.2">
      <c r="N2881" s="88" t="str">
        <f t="shared" si="50"/>
        <v>1w</v>
      </c>
      <c r="O2881" s="82">
        <f>_xll.qlCalendarAdvance(Calendar,O2880,N2881,"f",FALSE)</f>
        <v>59518</v>
      </c>
      <c r="P2881" s="92">
        <f>_xll.qlCalendarAdvance(Calendar,O2881,NDays&amp;"D")</f>
        <v>59520</v>
      </c>
      <c r="Q2881" s="81" t="e">
        <v>#N/A</v>
      </c>
      <c r="R2881" s="85" t="e">
        <v>#N/A</v>
      </c>
    </row>
    <row r="2882" spans="14:18" x14ac:dyDescent="0.2">
      <c r="N2882" s="88" t="str">
        <f t="shared" si="50"/>
        <v>1w</v>
      </c>
      <c r="O2882" s="82">
        <f>_xll.qlCalendarAdvance(Calendar,O2881,N2882,"f",FALSE)</f>
        <v>59525</v>
      </c>
      <c r="P2882" s="92">
        <f>_xll.qlCalendarAdvance(Calendar,O2882,NDays&amp;"D")</f>
        <v>59527</v>
      </c>
      <c r="Q2882" s="81" t="e">
        <v>#N/A</v>
      </c>
      <c r="R2882" s="85" t="e">
        <v>#N/A</v>
      </c>
    </row>
    <row r="2883" spans="14:18" x14ac:dyDescent="0.2">
      <c r="N2883" s="88" t="str">
        <f t="shared" si="50"/>
        <v>1w</v>
      </c>
      <c r="O2883" s="82">
        <f>_xll.qlCalendarAdvance(Calendar,O2882,N2883,"f",FALSE)</f>
        <v>59532</v>
      </c>
      <c r="P2883" s="92">
        <f>_xll.qlCalendarAdvance(Calendar,O2883,NDays&amp;"D")</f>
        <v>59534</v>
      </c>
      <c r="Q2883" s="81" t="e">
        <v>#N/A</v>
      </c>
      <c r="R2883" s="85" t="e">
        <v>#N/A</v>
      </c>
    </row>
    <row r="2884" spans="14:18" x14ac:dyDescent="0.2">
      <c r="N2884" s="88" t="str">
        <f t="shared" si="50"/>
        <v>1w</v>
      </c>
      <c r="O2884" s="82">
        <f>_xll.qlCalendarAdvance(Calendar,O2883,N2884,"f",FALSE)</f>
        <v>59539</v>
      </c>
      <c r="P2884" s="92">
        <f>_xll.qlCalendarAdvance(Calendar,O2884,NDays&amp;"D")</f>
        <v>59541</v>
      </c>
      <c r="Q2884" s="81" t="e">
        <v>#N/A</v>
      </c>
      <c r="R2884" s="85" t="e">
        <v>#N/A</v>
      </c>
    </row>
    <row r="2885" spans="14:18" x14ac:dyDescent="0.2">
      <c r="N2885" s="88" t="str">
        <f t="shared" si="50"/>
        <v>1w</v>
      </c>
      <c r="O2885" s="82">
        <f>_xll.qlCalendarAdvance(Calendar,O2884,N2885,"f",FALSE)</f>
        <v>59546</v>
      </c>
      <c r="P2885" s="92">
        <f>_xll.qlCalendarAdvance(Calendar,O2885,NDays&amp;"D")</f>
        <v>59548</v>
      </c>
      <c r="Q2885" s="81" t="e">
        <v>#N/A</v>
      </c>
      <c r="R2885" s="85" t="e">
        <v>#N/A</v>
      </c>
    </row>
    <row r="2886" spans="14:18" x14ac:dyDescent="0.2">
      <c r="N2886" s="88" t="str">
        <f t="shared" si="50"/>
        <v>1w</v>
      </c>
      <c r="O2886" s="82">
        <f>_xll.qlCalendarAdvance(Calendar,O2885,N2886,"f",FALSE)</f>
        <v>59553</v>
      </c>
      <c r="P2886" s="92">
        <f>_xll.qlCalendarAdvance(Calendar,O2886,NDays&amp;"D")</f>
        <v>59555</v>
      </c>
      <c r="Q2886" s="81" t="e">
        <v>#N/A</v>
      </c>
      <c r="R2886" s="85" t="e">
        <v>#N/A</v>
      </c>
    </row>
    <row r="2887" spans="14:18" x14ac:dyDescent="0.2">
      <c r="N2887" s="88" t="str">
        <f t="shared" si="50"/>
        <v>1w</v>
      </c>
      <c r="O2887" s="82">
        <f>_xll.qlCalendarAdvance(Calendar,O2886,N2887,"f",FALSE)</f>
        <v>59560</v>
      </c>
      <c r="P2887" s="92">
        <f>_xll.qlCalendarAdvance(Calendar,O2887,NDays&amp;"D")</f>
        <v>59562</v>
      </c>
      <c r="Q2887" s="81" t="e">
        <v>#N/A</v>
      </c>
      <c r="R2887" s="85" t="e">
        <v>#N/A</v>
      </c>
    </row>
    <row r="2888" spans="14:18" x14ac:dyDescent="0.2">
      <c r="N2888" s="88" t="str">
        <f t="shared" si="50"/>
        <v>1w</v>
      </c>
      <c r="O2888" s="82">
        <f>_xll.qlCalendarAdvance(Calendar,O2887,N2888,"f",FALSE)</f>
        <v>59567</v>
      </c>
      <c r="P2888" s="92">
        <f>_xll.qlCalendarAdvance(Calendar,O2888,NDays&amp;"D")</f>
        <v>59569</v>
      </c>
      <c r="Q2888" s="81" t="e">
        <v>#N/A</v>
      </c>
      <c r="R2888" s="85" t="e">
        <v>#N/A</v>
      </c>
    </row>
    <row r="2889" spans="14:18" x14ac:dyDescent="0.2">
      <c r="N2889" s="88" t="str">
        <f t="shared" si="50"/>
        <v>1w</v>
      </c>
      <c r="O2889" s="82">
        <f>_xll.qlCalendarAdvance(Calendar,O2888,N2889,"f",FALSE)</f>
        <v>59574</v>
      </c>
      <c r="P2889" s="92">
        <f>_xll.qlCalendarAdvance(Calendar,O2889,NDays&amp;"D")</f>
        <v>59576</v>
      </c>
      <c r="Q2889" s="81" t="e">
        <v>#N/A</v>
      </c>
      <c r="R2889" s="85" t="e">
        <v>#N/A</v>
      </c>
    </row>
    <row r="2890" spans="14:18" x14ac:dyDescent="0.2">
      <c r="N2890" s="88" t="str">
        <f t="shared" si="50"/>
        <v>1w</v>
      </c>
      <c r="O2890" s="82">
        <f>_xll.qlCalendarAdvance(Calendar,O2889,N2890,"f",FALSE)</f>
        <v>59581</v>
      </c>
      <c r="P2890" s="92">
        <f>_xll.qlCalendarAdvance(Calendar,O2890,NDays&amp;"D")</f>
        <v>59583</v>
      </c>
      <c r="Q2890" s="81" t="e">
        <v>#N/A</v>
      </c>
      <c r="R2890" s="85" t="e">
        <v>#N/A</v>
      </c>
    </row>
    <row r="2891" spans="14:18" x14ac:dyDescent="0.2">
      <c r="N2891" s="88" t="str">
        <f t="shared" si="50"/>
        <v>1w</v>
      </c>
      <c r="O2891" s="82">
        <f>_xll.qlCalendarAdvance(Calendar,O2890,N2891,"f",FALSE)</f>
        <v>59588</v>
      </c>
      <c r="P2891" s="92">
        <f>_xll.qlCalendarAdvance(Calendar,O2891,NDays&amp;"D")</f>
        <v>59590</v>
      </c>
      <c r="Q2891" s="81" t="e">
        <v>#N/A</v>
      </c>
      <c r="R2891" s="85" t="e">
        <v>#N/A</v>
      </c>
    </row>
    <row r="2892" spans="14:18" x14ac:dyDescent="0.2">
      <c r="N2892" s="88" t="str">
        <f t="shared" si="50"/>
        <v>1w</v>
      </c>
      <c r="O2892" s="82">
        <f>_xll.qlCalendarAdvance(Calendar,O2891,N2892,"f",FALSE)</f>
        <v>59595</v>
      </c>
      <c r="P2892" s="92">
        <f>_xll.qlCalendarAdvance(Calendar,O2892,NDays&amp;"D")</f>
        <v>59597</v>
      </c>
      <c r="Q2892" s="81" t="e">
        <v>#N/A</v>
      </c>
      <c r="R2892" s="85" t="e">
        <v>#N/A</v>
      </c>
    </row>
    <row r="2893" spans="14:18" x14ac:dyDescent="0.2">
      <c r="N2893" s="88" t="str">
        <f t="shared" si="50"/>
        <v>1w</v>
      </c>
      <c r="O2893" s="82">
        <f>_xll.qlCalendarAdvance(Calendar,O2892,N2893,"f",FALSE)</f>
        <v>59602</v>
      </c>
      <c r="P2893" s="92">
        <f>_xll.qlCalendarAdvance(Calendar,O2893,NDays&amp;"D")</f>
        <v>59604</v>
      </c>
      <c r="Q2893" s="81" t="e">
        <v>#N/A</v>
      </c>
      <c r="R2893" s="85" t="e">
        <v>#N/A</v>
      </c>
    </row>
    <row r="2894" spans="14:18" x14ac:dyDescent="0.2">
      <c r="N2894" s="88" t="str">
        <f t="shared" si="50"/>
        <v>1w</v>
      </c>
      <c r="O2894" s="82">
        <f>_xll.qlCalendarAdvance(Calendar,O2893,N2894,"f",FALSE)</f>
        <v>59609</v>
      </c>
      <c r="P2894" s="92">
        <f>_xll.qlCalendarAdvance(Calendar,O2894,NDays&amp;"D")</f>
        <v>59611</v>
      </c>
      <c r="Q2894" s="81" t="e">
        <v>#N/A</v>
      </c>
      <c r="R2894" s="85" t="e">
        <v>#N/A</v>
      </c>
    </row>
    <row r="2895" spans="14:18" x14ac:dyDescent="0.2">
      <c r="N2895" s="88" t="str">
        <f t="shared" si="50"/>
        <v>1w</v>
      </c>
      <c r="O2895" s="82">
        <f>_xll.qlCalendarAdvance(Calendar,O2894,N2895,"f",FALSE)</f>
        <v>59616</v>
      </c>
      <c r="P2895" s="92">
        <f>_xll.qlCalendarAdvance(Calendar,O2895,NDays&amp;"D")</f>
        <v>59618</v>
      </c>
      <c r="Q2895" s="81" t="e">
        <v>#N/A</v>
      </c>
      <c r="R2895" s="85" t="e">
        <v>#N/A</v>
      </c>
    </row>
    <row r="2896" spans="14:18" x14ac:dyDescent="0.2">
      <c r="N2896" s="88" t="str">
        <f t="shared" si="50"/>
        <v>1w</v>
      </c>
      <c r="O2896" s="82">
        <f>_xll.qlCalendarAdvance(Calendar,O2895,N2896,"f",FALSE)</f>
        <v>59623</v>
      </c>
      <c r="P2896" s="92">
        <f>_xll.qlCalendarAdvance(Calendar,O2896,NDays&amp;"D")</f>
        <v>59625</v>
      </c>
      <c r="Q2896" s="81" t="e">
        <v>#N/A</v>
      </c>
      <c r="R2896" s="85" t="e">
        <v>#N/A</v>
      </c>
    </row>
    <row r="2897" spans="14:18" x14ac:dyDescent="0.2">
      <c r="N2897" s="88" t="str">
        <f t="shared" si="50"/>
        <v>1w</v>
      </c>
      <c r="O2897" s="82">
        <f>_xll.qlCalendarAdvance(Calendar,O2896,N2897,"f",FALSE)</f>
        <v>59630</v>
      </c>
      <c r="P2897" s="92">
        <f>_xll.qlCalendarAdvance(Calendar,O2897,NDays&amp;"D")</f>
        <v>59632</v>
      </c>
      <c r="Q2897" s="81" t="e">
        <v>#N/A</v>
      </c>
      <c r="R2897" s="85" t="e">
        <v>#N/A</v>
      </c>
    </row>
    <row r="2898" spans="14:18" x14ac:dyDescent="0.2">
      <c r="N2898" s="88" t="str">
        <f t="shared" si="50"/>
        <v>1w</v>
      </c>
      <c r="O2898" s="82">
        <f>_xll.qlCalendarAdvance(Calendar,O2897,N2898,"f",FALSE)</f>
        <v>59637</v>
      </c>
      <c r="P2898" s="92">
        <f>_xll.qlCalendarAdvance(Calendar,O2898,NDays&amp;"D")</f>
        <v>59643</v>
      </c>
      <c r="Q2898" s="81" t="e">
        <v>#N/A</v>
      </c>
      <c r="R2898" s="85" t="e">
        <v>#N/A</v>
      </c>
    </row>
    <row r="2899" spans="14:18" x14ac:dyDescent="0.2">
      <c r="N2899" s="88" t="str">
        <f t="shared" si="50"/>
        <v>1w</v>
      </c>
      <c r="O2899" s="82">
        <f>_xll.qlCalendarAdvance(Calendar,O2898,N2899,"f",FALSE)</f>
        <v>59644</v>
      </c>
      <c r="P2899" s="92">
        <f>_xll.qlCalendarAdvance(Calendar,O2899,NDays&amp;"D")</f>
        <v>59646</v>
      </c>
      <c r="Q2899" s="81" t="e">
        <v>#N/A</v>
      </c>
      <c r="R2899" s="85" t="e">
        <v>#N/A</v>
      </c>
    </row>
    <row r="2900" spans="14:18" x14ac:dyDescent="0.2">
      <c r="N2900" s="88" t="str">
        <f t="shared" si="50"/>
        <v>1w</v>
      </c>
      <c r="O2900" s="82">
        <f>_xll.qlCalendarAdvance(Calendar,O2899,N2900,"f",FALSE)</f>
        <v>59651</v>
      </c>
      <c r="P2900" s="92">
        <f>_xll.qlCalendarAdvance(Calendar,O2900,NDays&amp;"D")</f>
        <v>59653</v>
      </c>
      <c r="Q2900" s="81" t="e">
        <v>#N/A</v>
      </c>
      <c r="R2900" s="85" t="e">
        <v>#N/A</v>
      </c>
    </row>
    <row r="2901" spans="14:18" x14ac:dyDescent="0.2">
      <c r="N2901" s="88" t="str">
        <f t="shared" ref="N2901:N2964" si="51">N2900</f>
        <v>1w</v>
      </c>
      <c r="O2901" s="82">
        <f>_xll.qlCalendarAdvance(Calendar,O2900,N2901,"f",FALSE)</f>
        <v>59658</v>
      </c>
      <c r="P2901" s="92">
        <f>_xll.qlCalendarAdvance(Calendar,O2901,NDays&amp;"D")</f>
        <v>59660</v>
      </c>
      <c r="Q2901" s="81" t="e">
        <v>#N/A</v>
      </c>
      <c r="R2901" s="85" t="e">
        <v>#N/A</v>
      </c>
    </row>
    <row r="2902" spans="14:18" x14ac:dyDescent="0.2">
      <c r="N2902" s="88" t="str">
        <f t="shared" si="51"/>
        <v>1w</v>
      </c>
      <c r="O2902" s="82">
        <f>_xll.qlCalendarAdvance(Calendar,O2901,N2902,"f",FALSE)</f>
        <v>59665</v>
      </c>
      <c r="P2902" s="92">
        <f>_xll.qlCalendarAdvance(Calendar,O2902,NDays&amp;"D")</f>
        <v>59667</v>
      </c>
      <c r="Q2902" s="81" t="e">
        <v>#N/A</v>
      </c>
      <c r="R2902" s="85" t="e">
        <v>#N/A</v>
      </c>
    </row>
    <row r="2903" spans="14:18" x14ac:dyDescent="0.2">
      <c r="N2903" s="88" t="str">
        <f t="shared" si="51"/>
        <v>1w</v>
      </c>
      <c r="O2903" s="82">
        <f>_xll.qlCalendarAdvance(Calendar,O2902,N2903,"f",FALSE)</f>
        <v>59672</v>
      </c>
      <c r="P2903" s="92">
        <f>_xll.qlCalendarAdvance(Calendar,O2903,NDays&amp;"D")</f>
        <v>59674</v>
      </c>
      <c r="Q2903" s="81" t="e">
        <v>#N/A</v>
      </c>
      <c r="R2903" s="85" t="e">
        <v>#N/A</v>
      </c>
    </row>
    <row r="2904" spans="14:18" x14ac:dyDescent="0.2">
      <c r="N2904" s="88" t="str">
        <f t="shared" si="51"/>
        <v>1w</v>
      </c>
      <c r="O2904" s="82">
        <f>_xll.qlCalendarAdvance(Calendar,O2903,N2904,"f",FALSE)</f>
        <v>59679</v>
      </c>
      <c r="P2904" s="92">
        <f>_xll.qlCalendarAdvance(Calendar,O2904,NDays&amp;"D")</f>
        <v>59684</v>
      </c>
      <c r="Q2904" s="81" t="e">
        <v>#N/A</v>
      </c>
      <c r="R2904" s="85" t="e">
        <v>#N/A</v>
      </c>
    </row>
    <row r="2905" spans="14:18" x14ac:dyDescent="0.2">
      <c r="N2905" s="88" t="str">
        <f t="shared" si="51"/>
        <v>1w</v>
      </c>
      <c r="O2905" s="82">
        <f>_xll.qlCalendarAdvance(Calendar,O2904,N2905,"f",FALSE)</f>
        <v>59686</v>
      </c>
      <c r="P2905" s="92">
        <f>_xll.qlCalendarAdvance(Calendar,O2905,NDays&amp;"D")</f>
        <v>59688</v>
      </c>
      <c r="Q2905" s="81" t="e">
        <v>#N/A</v>
      </c>
      <c r="R2905" s="85" t="e">
        <v>#N/A</v>
      </c>
    </row>
    <row r="2906" spans="14:18" x14ac:dyDescent="0.2">
      <c r="N2906" s="88" t="str">
        <f t="shared" si="51"/>
        <v>1w</v>
      </c>
      <c r="O2906" s="82">
        <f>_xll.qlCalendarAdvance(Calendar,O2905,N2906,"f",FALSE)</f>
        <v>59693</v>
      </c>
      <c r="P2906" s="92">
        <f>_xll.qlCalendarAdvance(Calendar,O2906,NDays&amp;"D")</f>
        <v>59695</v>
      </c>
      <c r="Q2906" s="81" t="e">
        <v>#N/A</v>
      </c>
      <c r="R2906" s="85" t="e">
        <v>#N/A</v>
      </c>
    </row>
    <row r="2907" spans="14:18" x14ac:dyDescent="0.2">
      <c r="N2907" s="88" t="str">
        <f t="shared" si="51"/>
        <v>1w</v>
      </c>
      <c r="O2907" s="82">
        <f>_xll.qlCalendarAdvance(Calendar,O2906,N2907,"f",FALSE)</f>
        <v>59700</v>
      </c>
      <c r="P2907" s="92">
        <f>_xll.qlCalendarAdvance(Calendar,O2907,NDays&amp;"D")</f>
        <v>59702</v>
      </c>
      <c r="Q2907" s="81" t="e">
        <v>#N/A</v>
      </c>
      <c r="R2907" s="85" t="e">
        <v>#N/A</v>
      </c>
    </row>
    <row r="2908" spans="14:18" x14ac:dyDescent="0.2">
      <c r="N2908" s="88" t="str">
        <f t="shared" si="51"/>
        <v>1w</v>
      </c>
      <c r="O2908" s="82">
        <f>_xll.qlCalendarAdvance(Calendar,O2907,N2908,"f",FALSE)</f>
        <v>59707</v>
      </c>
      <c r="P2908" s="92">
        <f>_xll.qlCalendarAdvance(Calendar,O2908,NDays&amp;"D")</f>
        <v>59712</v>
      </c>
      <c r="Q2908" s="81" t="e">
        <v>#N/A</v>
      </c>
      <c r="R2908" s="85" t="e">
        <v>#N/A</v>
      </c>
    </row>
    <row r="2909" spans="14:18" x14ac:dyDescent="0.2">
      <c r="N2909" s="88" t="str">
        <f t="shared" si="51"/>
        <v>1w</v>
      </c>
      <c r="O2909" s="82">
        <f>_xll.qlCalendarAdvance(Calendar,O2908,N2909,"f",FALSE)</f>
        <v>59714</v>
      </c>
      <c r="P2909" s="92">
        <f>_xll.qlCalendarAdvance(Calendar,O2909,NDays&amp;"D")</f>
        <v>59716</v>
      </c>
      <c r="Q2909" s="81" t="e">
        <v>#N/A</v>
      </c>
      <c r="R2909" s="85" t="e">
        <v>#N/A</v>
      </c>
    </row>
    <row r="2910" spans="14:18" x14ac:dyDescent="0.2">
      <c r="N2910" s="88" t="str">
        <f t="shared" si="51"/>
        <v>1w</v>
      </c>
      <c r="O2910" s="82">
        <f>_xll.qlCalendarAdvance(Calendar,O2909,N2910,"f",FALSE)</f>
        <v>59721</v>
      </c>
      <c r="P2910" s="92">
        <f>_xll.qlCalendarAdvance(Calendar,O2910,NDays&amp;"D")</f>
        <v>59723</v>
      </c>
      <c r="Q2910" s="81" t="e">
        <v>#N/A</v>
      </c>
      <c r="R2910" s="85" t="e">
        <v>#N/A</v>
      </c>
    </row>
    <row r="2911" spans="14:18" x14ac:dyDescent="0.2">
      <c r="N2911" s="88" t="str">
        <f t="shared" si="51"/>
        <v>1w</v>
      </c>
      <c r="O2911" s="82">
        <f>_xll.qlCalendarAdvance(Calendar,O2910,N2911,"f",FALSE)</f>
        <v>59728</v>
      </c>
      <c r="P2911" s="92">
        <f>_xll.qlCalendarAdvance(Calendar,O2911,NDays&amp;"D")</f>
        <v>59730</v>
      </c>
      <c r="Q2911" s="81" t="e">
        <v>#N/A</v>
      </c>
      <c r="R2911" s="85" t="e">
        <v>#N/A</v>
      </c>
    </row>
    <row r="2912" spans="14:18" x14ac:dyDescent="0.2">
      <c r="N2912" s="88" t="str">
        <f t="shared" si="51"/>
        <v>1w</v>
      </c>
      <c r="O2912" s="82">
        <f>_xll.qlCalendarAdvance(Calendar,O2911,N2912,"f",FALSE)</f>
        <v>59735</v>
      </c>
      <c r="P2912" s="92">
        <f>_xll.qlCalendarAdvance(Calendar,O2912,NDays&amp;"D")</f>
        <v>59737</v>
      </c>
      <c r="Q2912" s="81" t="e">
        <v>#N/A</v>
      </c>
      <c r="R2912" s="85" t="e">
        <v>#N/A</v>
      </c>
    </row>
    <row r="2913" spans="14:18" x14ac:dyDescent="0.2">
      <c r="N2913" s="88" t="str">
        <f t="shared" si="51"/>
        <v>1w</v>
      </c>
      <c r="O2913" s="82">
        <f>_xll.qlCalendarAdvance(Calendar,O2912,N2913,"f",FALSE)</f>
        <v>59742</v>
      </c>
      <c r="P2913" s="92">
        <f>_xll.qlCalendarAdvance(Calendar,O2913,NDays&amp;"D")</f>
        <v>59744</v>
      </c>
      <c r="Q2913" s="81" t="e">
        <v>#N/A</v>
      </c>
      <c r="R2913" s="85" t="e">
        <v>#N/A</v>
      </c>
    </row>
    <row r="2914" spans="14:18" x14ac:dyDescent="0.2">
      <c r="N2914" s="88" t="str">
        <f t="shared" si="51"/>
        <v>1w</v>
      </c>
      <c r="O2914" s="82">
        <f>_xll.qlCalendarAdvance(Calendar,O2913,N2914,"f",FALSE)</f>
        <v>59749</v>
      </c>
      <c r="P2914" s="92">
        <f>_xll.qlCalendarAdvance(Calendar,O2914,NDays&amp;"D")</f>
        <v>59751</v>
      </c>
      <c r="Q2914" s="81" t="e">
        <v>#N/A</v>
      </c>
      <c r="R2914" s="85" t="e">
        <v>#N/A</v>
      </c>
    </row>
    <row r="2915" spans="14:18" x14ac:dyDescent="0.2">
      <c r="N2915" s="88" t="str">
        <f t="shared" si="51"/>
        <v>1w</v>
      </c>
      <c r="O2915" s="82">
        <f>_xll.qlCalendarAdvance(Calendar,O2914,N2915,"f",FALSE)</f>
        <v>59756</v>
      </c>
      <c r="P2915" s="92">
        <f>_xll.qlCalendarAdvance(Calendar,O2915,NDays&amp;"D")</f>
        <v>59758</v>
      </c>
      <c r="Q2915" s="81" t="e">
        <v>#N/A</v>
      </c>
      <c r="R2915" s="85" t="e">
        <v>#N/A</v>
      </c>
    </row>
    <row r="2916" spans="14:18" x14ac:dyDescent="0.2">
      <c r="N2916" s="88" t="str">
        <f t="shared" si="51"/>
        <v>1w</v>
      </c>
      <c r="O2916" s="82">
        <f>_xll.qlCalendarAdvance(Calendar,O2915,N2916,"f",FALSE)</f>
        <v>59763</v>
      </c>
      <c r="P2916" s="92">
        <f>_xll.qlCalendarAdvance(Calendar,O2916,NDays&amp;"D")</f>
        <v>59765</v>
      </c>
      <c r="Q2916" s="81" t="e">
        <v>#N/A</v>
      </c>
      <c r="R2916" s="85" t="e">
        <v>#N/A</v>
      </c>
    </row>
    <row r="2917" spans="14:18" x14ac:dyDescent="0.2">
      <c r="N2917" s="88" t="str">
        <f t="shared" si="51"/>
        <v>1w</v>
      </c>
      <c r="O2917" s="82">
        <f>_xll.qlCalendarAdvance(Calendar,O2916,N2917,"f",FALSE)</f>
        <v>59770</v>
      </c>
      <c r="P2917" s="92">
        <f>_xll.qlCalendarAdvance(Calendar,O2917,NDays&amp;"D")</f>
        <v>59772</v>
      </c>
      <c r="Q2917" s="81" t="e">
        <v>#N/A</v>
      </c>
      <c r="R2917" s="85" t="e">
        <v>#N/A</v>
      </c>
    </row>
    <row r="2918" spans="14:18" x14ac:dyDescent="0.2">
      <c r="N2918" s="88" t="str">
        <f t="shared" si="51"/>
        <v>1w</v>
      </c>
      <c r="O2918" s="82">
        <f>_xll.qlCalendarAdvance(Calendar,O2917,N2918,"f",FALSE)</f>
        <v>59777</v>
      </c>
      <c r="P2918" s="92">
        <f>_xll.qlCalendarAdvance(Calendar,O2918,NDays&amp;"D")</f>
        <v>59779</v>
      </c>
      <c r="Q2918" s="81" t="e">
        <v>#N/A</v>
      </c>
      <c r="R2918" s="85" t="e">
        <v>#N/A</v>
      </c>
    </row>
    <row r="2919" spans="14:18" x14ac:dyDescent="0.2">
      <c r="N2919" s="88" t="str">
        <f t="shared" si="51"/>
        <v>1w</v>
      </c>
      <c r="O2919" s="82">
        <f>_xll.qlCalendarAdvance(Calendar,O2918,N2919,"f",FALSE)</f>
        <v>59784</v>
      </c>
      <c r="P2919" s="92">
        <f>_xll.qlCalendarAdvance(Calendar,O2919,NDays&amp;"D")</f>
        <v>59786</v>
      </c>
      <c r="Q2919" s="81" t="e">
        <v>#N/A</v>
      </c>
      <c r="R2919" s="85" t="e">
        <v>#N/A</v>
      </c>
    </row>
    <row r="2920" spans="14:18" x14ac:dyDescent="0.2">
      <c r="N2920" s="88" t="str">
        <f t="shared" si="51"/>
        <v>1w</v>
      </c>
      <c r="O2920" s="82">
        <f>_xll.qlCalendarAdvance(Calendar,O2919,N2920,"f",FALSE)</f>
        <v>59791</v>
      </c>
      <c r="P2920" s="92">
        <f>_xll.qlCalendarAdvance(Calendar,O2920,NDays&amp;"D")</f>
        <v>59793</v>
      </c>
      <c r="Q2920" s="81" t="e">
        <v>#N/A</v>
      </c>
      <c r="R2920" s="85" t="e">
        <v>#N/A</v>
      </c>
    </row>
    <row r="2921" spans="14:18" x14ac:dyDescent="0.2">
      <c r="N2921" s="88" t="str">
        <f t="shared" si="51"/>
        <v>1w</v>
      </c>
      <c r="O2921" s="82">
        <f>_xll.qlCalendarAdvance(Calendar,O2920,N2921,"f",FALSE)</f>
        <v>59798</v>
      </c>
      <c r="P2921" s="92">
        <f>_xll.qlCalendarAdvance(Calendar,O2921,NDays&amp;"D")</f>
        <v>59800</v>
      </c>
      <c r="Q2921" s="81" t="e">
        <v>#N/A</v>
      </c>
      <c r="R2921" s="85" t="e">
        <v>#N/A</v>
      </c>
    </row>
    <row r="2922" spans="14:18" x14ac:dyDescent="0.2">
      <c r="N2922" s="88" t="str">
        <f t="shared" si="51"/>
        <v>1w</v>
      </c>
      <c r="O2922" s="82">
        <f>_xll.qlCalendarAdvance(Calendar,O2921,N2922,"f",FALSE)</f>
        <v>59805</v>
      </c>
      <c r="P2922" s="92">
        <f>_xll.qlCalendarAdvance(Calendar,O2922,NDays&amp;"D")</f>
        <v>59807</v>
      </c>
      <c r="Q2922" s="81" t="e">
        <v>#N/A</v>
      </c>
      <c r="R2922" s="85" t="e">
        <v>#N/A</v>
      </c>
    </row>
    <row r="2923" spans="14:18" x14ac:dyDescent="0.2">
      <c r="N2923" s="88" t="str">
        <f t="shared" si="51"/>
        <v>1w</v>
      </c>
      <c r="O2923" s="82">
        <f>_xll.qlCalendarAdvance(Calendar,O2922,N2923,"f",FALSE)</f>
        <v>59812</v>
      </c>
      <c r="P2923" s="92">
        <f>_xll.qlCalendarAdvance(Calendar,O2923,NDays&amp;"D")</f>
        <v>59814</v>
      </c>
      <c r="Q2923" s="81" t="e">
        <v>#N/A</v>
      </c>
      <c r="R2923" s="85" t="e">
        <v>#N/A</v>
      </c>
    </row>
    <row r="2924" spans="14:18" x14ac:dyDescent="0.2">
      <c r="N2924" s="88" t="str">
        <f t="shared" si="51"/>
        <v>1w</v>
      </c>
      <c r="O2924" s="82">
        <f>_xll.qlCalendarAdvance(Calendar,O2923,N2924,"f",FALSE)</f>
        <v>59819</v>
      </c>
      <c r="P2924" s="92">
        <f>_xll.qlCalendarAdvance(Calendar,O2924,NDays&amp;"D")</f>
        <v>59821</v>
      </c>
      <c r="Q2924" s="81" t="e">
        <v>#N/A</v>
      </c>
      <c r="R2924" s="85" t="e">
        <v>#N/A</v>
      </c>
    </row>
    <row r="2925" spans="14:18" x14ac:dyDescent="0.2">
      <c r="N2925" s="88" t="str">
        <f t="shared" si="51"/>
        <v>1w</v>
      </c>
      <c r="O2925" s="82">
        <f>_xll.qlCalendarAdvance(Calendar,O2924,N2925,"f",FALSE)</f>
        <v>59826</v>
      </c>
      <c r="P2925" s="92">
        <f>_xll.qlCalendarAdvance(Calendar,O2925,NDays&amp;"D")</f>
        <v>59828</v>
      </c>
      <c r="Q2925" s="81" t="e">
        <v>#N/A</v>
      </c>
      <c r="R2925" s="85" t="e">
        <v>#N/A</v>
      </c>
    </row>
    <row r="2926" spans="14:18" x14ac:dyDescent="0.2">
      <c r="N2926" s="88" t="str">
        <f t="shared" si="51"/>
        <v>1w</v>
      </c>
      <c r="O2926" s="82">
        <f>_xll.qlCalendarAdvance(Calendar,O2925,N2926,"f",FALSE)</f>
        <v>59833</v>
      </c>
      <c r="P2926" s="92">
        <f>_xll.qlCalendarAdvance(Calendar,O2926,NDays&amp;"D")</f>
        <v>59835</v>
      </c>
      <c r="Q2926" s="81" t="e">
        <v>#N/A</v>
      </c>
      <c r="R2926" s="85" t="e">
        <v>#N/A</v>
      </c>
    </row>
    <row r="2927" spans="14:18" x14ac:dyDescent="0.2">
      <c r="N2927" s="88" t="str">
        <f t="shared" si="51"/>
        <v>1w</v>
      </c>
      <c r="O2927" s="82">
        <f>_xll.qlCalendarAdvance(Calendar,O2926,N2927,"f",FALSE)</f>
        <v>59840</v>
      </c>
      <c r="P2927" s="92">
        <f>_xll.qlCalendarAdvance(Calendar,O2927,NDays&amp;"D")</f>
        <v>59842</v>
      </c>
      <c r="Q2927" s="81" t="e">
        <v>#N/A</v>
      </c>
      <c r="R2927" s="85" t="e">
        <v>#N/A</v>
      </c>
    </row>
    <row r="2928" spans="14:18" x14ac:dyDescent="0.2">
      <c r="N2928" s="88" t="str">
        <f t="shared" si="51"/>
        <v>1w</v>
      </c>
      <c r="O2928" s="82">
        <f>_xll.qlCalendarAdvance(Calendar,O2927,N2928,"f",FALSE)</f>
        <v>59847</v>
      </c>
      <c r="P2928" s="92">
        <f>_xll.qlCalendarAdvance(Calendar,O2928,NDays&amp;"D")</f>
        <v>59849</v>
      </c>
      <c r="Q2928" s="81" t="e">
        <v>#N/A</v>
      </c>
      <c r="R2928" s="85" t="e">
        <v>#N/A</v>
      </c>
    </row>
    <row r="2929" spans="14:18" x14ac:dyDescent="0.2">
      <c r="N2929" s="88" t="str">
        <f t="shared" si="51"/>
        <v>1w</v>
      </c>
      <c r="O2929" s="82">
        <f>_xll.qlCalendarAdvance(Calendar,O2928,N2929,"f",FALSE)</f>
        <v>59854</v>
      </c>
      <c r="P2929" s="92">
        <f>_xll.qlCalendarAdvance(Calendar,O2929,NDays&amp;"D")</f>
        <v>59856</v>
      </c>
      <c r="Q2929" s="81" t="e">
        <v>#N/A</v>
      </c>
      <c r="R2929" s="85" t="e">
        <v>#N/A</v>
      </c>
    </row>
    <row r="2930" spans="14:18" x14ac:dyDescent="0.2">
      <c r="N2930" s="88" t="str">
        <f t="shared" si="51"/>
        <v>1w</v>
      </c>
      <c r="O2930" s="82">
        <f>_xll.qlCalendarAdvance(Calendar,O2929,N2930,"f",FALSE)</f>
        <v>59861</v>
      </c>
      <c r="P2930" s="92">
        <f>_xll.qlCalendarAdvance(Calendar,O2930,NDays&amp;"D")</f>
        <v>59863</v>
      </c>
      <c r="Q2930" s="81" t="e">
        <v>#N/A</v>
      </c>
      <c r="R2930" s="85" t="e">
        <v>#N/A</v>
      </c>
    </row>
    <row r="2931" spans="14:18" x14ac:dyDescent="0.2">
      <c r="N2931" s="88" t="str">
        <f t="shared" si="51"/>
        <v>1w</v>
      </c>
      <c r="O2931" s="82">
        <f>_xll.qlCalendarAdvance(Calendar,O2930,N2931,"f",FALSE)</f>
        <v>59868</v>
      </c>
      <c r="P2931" s="92">
        <f>_xll.qlCalendarAdvance(Calendar,O2931,NDays&amp;"D")</f>
        <v>59870</v>
      </c>
      <c r="Q2931" s="81" t="e">
        <v>#N/A</v>
      </c>
      <c r="R2931" s="85" t="e">
        <v>#N/A</v>
      </c>
    </row>
    <row r="2932" spans="14:18" x14ac:dyDescent="0.2">
      <c r="N2932" s="88" t="str">
        <f t="shared" si="51"/>
        <v>1w</v>
      </c>
      <c r="O2932" s="82">
        <f>_xll.qlCalendarAdvance(Calendar,O2931,N2932,"f",FALSE)</f>
        <v>59875</v>
      </c>
      <c r="P2932" s="92">
        <f>_xll.qlCalendarAdvance(Calendar,O2932,NDays&amp;"D")</f>
        <v>59877</v>
      </c>
      <c r="Q2932" s="81" t="e">
        <v>#N/A</v>
      </c>
      <c r="R2932" s="85" t="e">
        <v>#N/A</v>
      </c>
    </row>
    <row r="2933" spans="14:18" x14ac:dyDescent="0.2">
      <c r="N2933" s="88" t="str">
        <f t="shared" si="51"/>
        <v>1w</v>
      </c>
      <c r="O2933" s="82">
        <f>_xll.qlCalendarAdvance(Calendar,O2932,N2933,"f",FALSE)</f>
        <v>59882</v>
      </c>
      <c r="P2933" s="92">
        <f>_xll.qlCalendarAdvance(Calendar,O2933,NDays&amp;"D")</f>
        <v>59884</v>
      </c>
      <c r="Q2933" s="81" t="e">
        <v>#N/A</v>
      </c>
      <c r="R2933" s="85" t="e">
        <v>#N/A</v>
      </c>
    </row>
    <row r="2934" spans="14:18" x14ac:dyDescent="0.2">
      <c r="N2934" s="88" t="str">
        <f t="shared" si="51"/>
        <v>1w</v>
      </c>
      <c r="O2934" s="82">
        <f>_xll.qlCalendarAdvance(Calendar,O2933,N2934,"f",FALSE)</f>
        <v>59889</v>
      </c>
      <c r="P2934" s="92">
        <f>_xll.qlCalendarAdvance(Calendar,O2934,NDays&amp;"D")</f>
        <v>59891</v>
      </c>
      <c r="Q2934" s="81" t="e">
        <v>#N/A</v>
      </c>
      <c r="R2934" s="85" t="e">
        <v>#N/A</v>
      </c>
    </row>
    <row r="2935" spans="14:18" x14ac:dyDescent="0.2">
      <c r="N2935" s="88" t="str">
        <f t="shared" si="51"/>
        <v>1w</v>
      </c>
      <c r="O2935" s="82">
        <f>_xll.qlCalendarAdvance(Calendar,O2934,N2935,"f",FALSE)</f>
        <v>59897</v>
      </c>
      <c r="P2935" s="92">
        <f>_xll.qlCalendarAdvance(Calendar,O2935,NDays&amp;"D")</f>
        <v>59903</v>
      </c>
      <c r="Q2935" s="81" t="e">
        <v>#N/A</v>
      </c>
      <c r="R2935" s="85" t="e">
        <v>#N/A</v>
      </c>
    </row>
    <row r="2936" spans="14:18" x14ac:dyDescent="0.2">
      <c r="N2936" s="88" t="str">
        <f t="shared" si="51"/>
        <v>1w</v>
      </c>
      <c r="O2936" s="82">
        <f>_xll.qlCalendarAdvance(Calendar,O2935,N2936,"f",FALSE)</f>
        <v>59904</v>
      </c>
      <c r="P2936" s="92">
        <f>_xll.qlCalendarAdvance(Calendar,O2936,NDays&amp;"D")</f>
        <v>59908</v>
      </c>
      <c r="Q2936" s="81" t="e">
        <v>#N/A</v>
      </c>
      <c r="R2936" s="85" t="e">
        <v>#N/A</v>
      </c>
    </row>
    <row r="2937" spans="14:18" x14ac:dyDescent="0.2">
      <c r="N2937" s="88" t="str">
        <f t="shared" si="51"/>
        <v>1w</v>
      </c>
      <c r="O2937" s="82">
        <f>_xll.qlCalendarAdvance(Calendar,O2936,N2937,"f",FALSE)</f>
        <v>59911</v>
      </c>
      <c r="P2937" s="92">
        <f>_xll.qlCalendarAdvance(Calendar,O2937,NDays&amp;"D")</f>
        <v>59915</v>
      </c>
      <c r="Q2937" s="81" t="e">
        <v>#N/A</v>
      </c>
      <c r="R2937" s="85" t="e">
        <v>#N/A</v>
      </c>
    </row>
    <row r="2938" spans="14:18" x14ac:dyDescent="0.2">
      <c r="N2938" s="88" t="str">
        <f t="shared" si="51"/>
        <v>1w</v>
      </c>
      <c r="O2938" s="82">
        <f>_xll.qlCalendarAdvance(Calendar,O2937,N2938,"f",FALSE)</f>
        <v>59918</v>
      </c>
      <c r="P2938" s="92">
        <f>_xll.qlCalendarAdvance(Calendar,O2938,NDays&amp;"D")</f>
        <v>59922</v>
      </c>
      <c r="Q2938" s="81" t="e">
        <v>#N/A</v>
      </c>
      <c r="R2938" s="85" t="e">
        <v>#N/A</v>
      </c>
    </row>
    <row r="2939" spans="14:18" x14ac:dyDescent="0.2">
      <c r="N2939" s="88" t="str">
        <f t="shared" si="51"/>
        <v>1w</v>
      </c>
      <c r="O2939" s="82">
        <f>_xll.qlCalendarAdvance(Calendar,O2938,N2939,"f",FALSE)</f>
        <v>59925</v>
      </c>
      <c r="P2939" s="92">
        <f>_xll.qlCalendarAdvance(Calendar,O2939,NDays&amp;"D")</f>
        <v>59929</v>
      </c>
      <c r="Q2939" s="81" t="e">
        <v>#N/A</v>
      </c>
      <c r="R2939" s="85" t="e">
        <v>#N/A</v>
      </c>
    </row>
    <row r="2940" spans="14:18" x14ac:dyDescent="0.2">
      <c r="N2940" s="88" t="str">
        <f t="shared" si="51"/>
        <v>1w</v>
      </c>
      <c r="O2940" s="82">
        <f>_xll.qlCalendarAdvance(Calendar,O2939,N2940,"f",FALSE)</f>
        <v>59932</v>
      </c>
      <c r="P2940" s="92">
        <f>_xll.qlCalendarAdvance(Calendar,O2940,NDays&amp;"D")</f>
        <v>59936</v>
      </c>
      <c r="Q2940" s="81" t="e">
        <v>#N/A</v>
      </c>
      <c r="R2940" s="85" t="e">
        <v>#N/A</v>
      </c>
    </row>
    <row r="2941" spans="14:18" x14ac:dyDescent="0.2">
      <c r="N2941" s="88" t="str">
        <f t="shared" si="51"/>
        <v>1w</v>
      </c>
      <c r="O2941" s="82">
        <f>_xll.qlCalendarAdvance(Calendar,O2940,N2941,"f",FALSE)</f>
        <v>59939</v>
      </c>
      <c r="P2941" s="92">
        <f>_xll.qlCalendarAdvance(Calendar,O2941,NDays&amp;"D")</f>
        <v>59943</v>
      </c>
      <c r="Q2941" s="81" t="e">
        <v>#N/A</v>
      </c>
      <c r="R2941" s="85" t="e">
        <v>#N/A</v>
      </c>
    </row>
    <row r="2942" spans="14:18" x14ac:dyDescent="0.2">
      <c r="N2942" s="88" t="str">
        <f t="shared" si="51"/>
        <v>1w</v>
      </c>
      <c r="O2942" s="82">
        <f>_xll.qlCalendarAdvance(Calendar,O2941,N2942,"f",FALSE)</f>
        <v>59946</v>
      </c>
      <c r="P2942" s="92">
        <f>_xll.qlCalendarAdvance(Calendar,O2942,NDays&amp;"D")</f>
        <v>59950</v>
      </c>
      <c r="Q2942" s="81" t="e">
        <v>#N/A</v>
      </c>
      <c r="R2942" s="85" t="e">
        <v>#N/A</v>
      </c>
    </row>
    <row r="2943" spans="14:18" x14ac:dyDescent="0.2">
      <c r="N2943" s="88" t="str">
        <f t="shared" si="51"/>
        <v>1w</v>
      </c>
      <c r="O2943" s="82">
        <f>_xll.qlCalendarAdvance(Calendar,O2942,N2943,"f",FALSE)</f>
        <v>59953</v>
      </c>
      <c r="P2943" s="92">
        <f>_xll.qlCalendarAdvance(Calendar,O2943,NDays&amp;"D")</f>
        <v>59957</v>
      </c>
      <c r="Q2943" s="81" t="e">
        <v>#N/A</v>
      </c>
      <c r="R2943" s="85" t="e">
        <v>#N/A</v>
      </c>
    </row>
    <row r="2944" spans="14:18" x14ac:dyDescent="0.2">
      <c r="N2944" s="88" t="str">
        <f t="shared" si="51"/>
        <v>1w</v>
      </c>
      <c r="O2944" s="82">
        <f>_xll.qlCalendarAdvance(Calendar,O2943,N2944,"f",FALSE)</f>
        <v>59960</v>
      </c>
      <c r="P2944" s="92">
        <f>_xll.qlCalendarAdvance(Calendar,O2944,NDays&amp;"D")</f>
        <v>59964</v>
      </c>
      <c r="Q2944" s="81" t="e">
        <v>#N/A</v>
      </c>
      <c r="R2944" s="85" t="e">
        <v>#N/A</v>
      </c>
    </row>
    <row r="2945" spans="14:18" x14ac:dyDescent="0.2">
      <c r="N2945" s="88" t="str">
        <f t="shared" si="51"/>
        <v>1w</v>
      </c>
      <c r="O2945" s="82">
        <f>_xll.qlCalendarAdvance(Calendar,O2944,N2945,"f",FALSE)</f>
        <v>59967</v>
      </c>
      <c r="P2945" s="92">
        <f>_xll.qlCalendarAdvance(Calendar,O2945,NDays&amp;"D")</f>
        <v>59971</v>
      </c>
      <c r="Q2945" s="81" t="e">
        <v>#N/A</v>
      </c>
      <c r="R2945" s="85" t="e">
        <v>#N/A</v>
      </c>
    </row>
    <row r="2946" spans="14:18" x14ac:dyDescent="0.2">
      <c r="N2946" s="88" t="str">
        <f t="shared" si="51"/>
        <v>1w</v>
      </c>
      <c r="O2946" s="82">
        <f>_xll.qlCalendarAdvance(Calendar,O2945,N2946,"f",FALSE)</f>
        <v>59974</v>
      </c>
      <c r="P2946" s="92">
        <f>_xll.qlCalendarAdvance(Calendar,O2946,NDays&amp;"D")</f>
        <v>59978</v>
      </c>
      <c r="Q2946" s="81" t="e">
        <v>#N/A</v>
      </c>
      <c r="R2946" s="85" t="e">
        <v>#N/A</v>
      </c>
    </row>
    <row r="2947" spans="14:18" x14ac:dyDescent="0.2">
      <c r="N2947" s="88" t="str">
        <f t="shared" si="51"/>
        <v>1w</v>
      </c>
      <c r="O2947" s="82">
        <f>_xll.qlCalendarAdvance(Calendar,O2946,N2947,"f",FALSE)</f>
        <v>59981</v>
      </c>
      <c r="P2947" s="92">
        <f>_xll.qlCalendarAdvance(Calendar,O2947,NDays&amp;"D")</f>
        <v>59985</v>
      </c>
      <c r="Q2947" s="81" t="e">
        <v>#N/A</v>
      </c>
      <c r="R2947" s="85" t="e">
        <v>#N/A</v>
      </c>
    </row>
    <row r="2948" spans="14:18" x14ac:dyDescent="0.2">
      <c r="N2948" s="88" t="str">
        <f t="shared" si="51"/>
        <v>1w</v>
      </c>
      <c r="O2948" s="82">
        <f>_xll.qlCalendarAdvance(Calendar,O2947,N2948,"f",FALSE)</f>
        <v>59988</v>
      </c>
      <c r="P2948" s="92">
        <f>_xll.qlCalendarAdvance(Calendar,O2948,NDays&amp;"D")</f>
        <v>59992</v>
      </c>
      <c r="Q2948" s="81" t="e">
        <v>#N/A</v>
      </c>
      <c r="R2948" s="85" t="e">
        <v>#N/A</v>
      </c>
    </row>
    <row r="2949" spans="14:18" x14ac:dyDescent="0.2">
      <c r="N2949" s="88" t="str">
        <f t="shared" si="51"/>
        <v>1w</v>
      </c>
      <c r="O2949" s="82">
        <f>_xll.qlCalendarAdvance(Calendar,O2948,N2949,"f",FALSE)</f>
        <v>59995</v>
      </c>
      <c r="P2949" s="92">
        <f>_xll.qlCalendarAdvance(Calendar,O2949,NDays&amp;"D")</f>
        <v>60001</v>
      </c>
      <c r="Q2949" s="81" t="e">
        <v>#N/A</v>
      </c>
      <c r="R2949" s="85" t="e">
        <v>#N/A</v>
      </c>
    </row>
    <row r="2950" spans="14:18" x14ac:dyDescent="0.2">
      <c r="N2950" s="88" t="str">
        <f t="shared" si="51"/>
        <v>1w</v>
      </c>
      <c r="O2950" s="82">
        <f>_xll.qlCalendarAdvance(Calendar,O2949,N2950,"f",FALSE)</f>
        <v>60002</v>
      </c>
      <c r="P2950" s="92">
        <f>_xll.qlCalendarAdvance(Calendar,O2950,NDays&amp;"D")</f>
        <v>60006</v>
      </c>
      <c r="Q2950" s="81" t="e">
        <v>#N/A</v>
      </c>
      <c r="R2950" s="85" t="e">
        <v>#N/A</v>
      </c>
    </row>
    <row r="2951" spans="14:18" x14ac:dyDescent="0.2">
      <c r="N2951" s="88" t="str">
        <f t="shared" si="51"/>
        <v>1w</v>
      </c>
      <c r="O2951" s="82">
        <f>_xll.qlCalendarAdvance(Calendar,O2950,N2951,"f",FALSE)</f>
        <v>60009</v>
      </c>
      <c r="P2951" s="92">
        <f>_xll.qlCalendarAdvance(Calendar,O2951,NDays&amp;"D")</f>
        <v>60013</v>
      </c>
      <c r="Q2951" s="81" t="e">
        <v>#N/A</v>
      </c>
      <c r="R2951" s="85" t="e">
        <v>#N/A</v>
      </c>
    </row>
    <row r="2952" spans="14:18" x14ac:dyDescent="0.2">
      <c r="N2952" s="88" t="str">
        <f t="shared" si="51"/>
        <v>1w</v>
      </c>
      <c r="O2952" s="82">
        <f>_xll.qlCalendarAdvance(Calendar,O2951,N2952,"f",FALSE)</f>
        <v>60016</v>
      </c>
      <c r="P2952" s="92">
        <f>_xll.qlCalendarAdvance(Calendar,O2952,NDays&amp;"D")</f>
        <v>60020</v>
      </c>
      <c r="Q2952" s="81" t="e">
        <v>#N/A</v>
      </c>
      <c r="R2952" s="85" t="e">
        <v>#N/A</v>
      </c>
    </row>
    <row r="2953" spans="14:18" x14ac:dyDescent="0.2">
      <c r="N2953" s="88" t="str">
        <f t="shared" si="51"/>
        <v>1w</v>
      </c>
      <c r="O2953" s="82">
        <f>_xll.qlCalendarAdvance(Calendar,O2952,N2953,"f",FALSE)</f>
        <v>60024</v>
      </c>
      <c r="P2953" s="92">
        <f>_xll.qlCalendarAdvance(Calendar,O2953,NDays&amp;"D")</f>
        <v>60028</v>
      </c>
      <c r="Q2953" s="81" t="e">
        <v>#N/A</v>
      </c>
      <c r="R2953" s="85" t="e">
        <v>#N/A</v>
      </c>
    </row>
    <row r="2954" spans="14:18" x14ac:dyDescent="0.2">
      <c r="N2954" s="88" t="str">
        <f t="shared" si="51"/>
        <v>1w</v>
      </c>
      <c r="O2954" s="82">
        <f>_xll.qlCalendarAdvance(Calendar,O2953,N2954,"f",FALSE)</f>
        <v>60031</v>
      </c>
      <c r="P2954" s="92">
        <f>_xll.qlCalendarAdvance(Calendar,O2954,NDays&amp;"D")</f>
        <v>60035</v>
      </c>
      <c r="Q2954" s="81" t="e">
        <v>#N/A</v>
      </c>
      <c r="R2954" s="85" t="e">
        <v>#N/A</v>
      </c>
    </row>
    <row r="2955" spans="14:18" x14ac:dyDescent="0.2">
      <c r="N2955" s="88" t="str">
        <f t="shared" si="51"/>
        <v>1w</v>
      </c>
      <c r="O2955" s="82">
        <f>_xll.qlCalendarAdvance(Calendar,O2954,N2955,"f",FALSE)</f>
        <v>60038</v>
      </c>
      <c r="P2955" s="92">
        <f>_xll.qlCalendarAdvance(Calendar,O2955,NDays&amp;"D")</f>
        <v>60042</v>
      </c>
      <c r="Q2955" s="81" t="e">
        <v>#N/A</v>
      </c>
      <c r="R2955" s="85" t="e">
        <v>#N/A</v>
      </c>
    </row>
    <row r="2956" spans="14:18" x14ac:dyDescent="0.2">
      <c r="N2956" s="88" t="str">
        <f t="shared" si="51"/>
        <v>1w</v>
      </c>
      <c r="O2956" s="82">
        <f>_xll.qlCalendarAdvance(Calendar,O2955,N2956,"f",FALSE)</f>
        <v>60045</v>
      </c>
      <c r="P2956" s="92">
        <f>_xll.qlCalendarAdvance(Calendar,O2956,NDays&amp;"D")</f>
        <v>60050</v>
      </c>
      <c r="Q2956" s="81" t="e">
        <v>#N/A</v>
      </c>
      <c r="R2956" s="85" t="e">
        <v>#N/A</v>
      </c>
    </row>
    <row r="2957" spans="14:18" x14ac:dyDescent="0.2">
      <c r="N2957" s="88" t="str">
        <f t="shared" si="51"/>
        <v>1w</v>
      </c>
      <c r="O2957" s="82">
        <f>_xll.qlCalendarAdvance(Calendar,O2956,N2957,"f",FALSE)</f>
        <v>60052</v>
      </c>
      <c r="P2957" s="92">
        <f>_xll.qlCalendarAdvance(Calendar,O2957,NDays&amp;"D")</f>
        <v>60056</v>
      </c>
      <c r="Q2957" s="81" t="e">
        <v>#N/A</v>
      </c>
      <c r="R2957" s="85" t="e">
        <v>#N/A</v>
      </c>
    </row>
    <row r="2958" spans="14:18" x14ac:dyDescent="0.2">
      <c r="N2958" s="88" t="str">
        <f t="shared" si="51"/>
        <v>1w</v>
      </c>
      <c r="O2958" s="82">
        <f>_xll.qlCalendarAdvance(Calendar,O2957,N2958,"f",FALSE)</f>
        <v>60059</v>
      </c>
      <c r="P2958" s="92">
        <f>_xll.qlCalendarAdvance(Calendar,O2958,NDays&amp;"D")</f>
        <v>60063</v>
      </c>
      <c r="Q2958" s="81" t="e">
        <v>#N/A</v>
      </c>
      <c r="R2958" s="85" t="e">
        <v>#N/A</v>
      </c>
    </row>
    <row r="2959" spans="14:18" x14ac:dyDescent="0.2">
      <c r="N2959" s="88" t="str">
        <f t="shared" si="51"/>
        <v>1w</v>
      </c>
      <c r="O2959" s="82">
        <f>_xll.qlCalendarAdvance(Calendar,O2958,N2959,"f",FALSE)</f>
        <v>60066</v>
      </c>
      <c r="P2959" s="92">
        <f>_xll.qlCalendarAdvance(Calendar,O2959,NDays&amp;"D")</f>
        <v>60070</v>
      </c>
      <c r="Q2959" s="81" t="e">
        <v>#N/A</v>
      </c>
      <c r="R2959" s="85" t="e">
        <v>#N/A</v>
      </c>
    </row>
    <row r="2960" spans="14:18" x14ac:dyDescent="0.2">
      <c r="N2960" s="88" t="str">
        <f t="shared" si="51"/>
        <v>1w</v>
      </c>
      <c r="O2960" s="82">
        <f>_xll.qlCalendarAdvance(Calendar,O2959,N2960,"f",FALSE)</f>
        <v>60076</v>
      </c>
      <c r="P2960" s="92">
        <f>_xll.qlCalendarAdvance(Calendar,O2960,NDays&amp;"D")</f>
        <v>60078</v>
      </c>
      <c r="Q2960" s="81" t="e">
        <v>#N/A</v>
      </c>
      <c r="R2960" s="85" t="e">
        <v>#N/A</v>
      </c>
    </row>
    <row r="2961" spans="14:18" x14ac:dyDescent="0.2">
      <c r="N2961" s="88" t="str">
        <f t="shared" si="51"/>
        <v>1w</v>
      </c>
      <c r="O2961" s="82">
        <f>_xll.qlCalendarAdvance(Calendar,O2960,N2961,"f",FALSE)</f>
        <v>60083</v>
      </c>
      <c r="P2961" s="92">
        <f>_xll.qlCalendarAdvance(Calendar,O2961,NDays&amp;"D")</f>
        <v>60085</v>
      </c>
      <c r="Q2961" s="81" t="e">
        <v>#N/A</v>
      </c>
      <c r="R2961" s="85" t="e">
        <v>#N/A</v>
      </c>
    </row>
    <row r="2962" spans="14:18" x14ac:dyDescent="0.2">
      <c r="N2962" s="88" t="str">
        <f t="shared" si="51"/>
        <v>1w</v>
      </c>
      <c r="O2962" s="82">
        <f>_xll.qlCalendarAdvance(Calendar,O2961,N2962,"f",FALSE)</f>
        <v>60090</v>
      </c>
      <c r="P2962" s="92">
        <f>_xll.qlCalendarAdvance(Calendar,O2962,NDays&amp;"D")</f>
        <v>60092</v>
      </c>
      <c r="Q2962" s="81" t="e">
        <v>#N/A</v>
      </c>
      <c r="R2962" s="85" t="e">
        <v>#N/A</v>
      </c>
    </row>
    <row r="2963" spans="14:18" x14ac:dyDescent="0.2">
      <c r="N2963" s="88" t="str">
        <f t="shared" si="51"/>
        <v>1w</v>
      </c>
      <c r="O2963" s="82">
        <f>_xll.qlCalendarAdvance(Calendar,O2962,N2963,"f",FALSE)</f>
        <v>60097</v>
      </c>
      <c r="P2963" s="92">
        <f>_xll.qlCalendarAdvance(Calendar,O2963,NDays&amp;"D")</f>
        <v>60099</v>
      </c>
      <c r="Q2963" s="81" t="e">
        <v>#N/A</v>
      </c>
      <c r="R2963" s="85" t="e">
        <v>#N/A</v>
      </c>
    </row>
    <row r="2964" spans="14:18" x14ac:dyDescent="0.2">
      <c r="N2964" s="88" t="str">
        <f t="shared" si="51"/>
        <v>1w</v>
      </c>
      <c r="O2964" s="82">
        <f>_xll.qlCalendarAdvance(Calendar,O2963,N2964,"f",FALSE)</f>
        <v>60104</v>
      </c>
      <c r="P2964" s="92">
        <f>_xll.qlCalendarAdvance(Calendar,O2964,NDays&amp;"D")</f>
        <v>60106</v>
      </c>
      <c r="Q2964" s="81" t="e">
        <v>#N/A</v>
      </c>
      <c r="R2964" s="85" t="e">
        <v>#N/A</v>
      </c>
    </row>
    <row r="2965" spans="14:18" x14ac:dyDescent="0.2">
      <c r="N2965" s="88" t="str">
        <f t="shared" ref="N2965:N3028" si="52">N2964</f>
        <v>1w</v>
      </c>
      <c r="O2965" s="82">
        <f>_xll.qlCalendarAdvance(Calendar,O2964,N2965,"f",FALSE)</f>
        <v>60111</v>
      </c>
      <c r="P2965" s="92">
        <f>_xll.qlCalendarAdvance(Calendar,O2965,NDays&amp;"D")</f>
        <v>60113</v>
      </c>
      <c r="Q2965" s="81" t="e">
        <v>#N/A</v>
      </c>
      <c r="R2965" s="85" t="e">
        <v>#N/A</v>
      </c>
    </row>
    <row r="2966" spans="14:18" x14ac:dyDescent="0.2">
      <c r="N2966" s="88" t="str">
        <f t="shared" si="52"/>
        <v>1w</v>
      </c>
      <c r="O2966" s="82">
        <f>_xll.qlCalendarAdvance(Calendar,O2965,N2966,"f",FALSE)</f>
        <v>60118</v>
      </c>
      <c r="P2966" s="92">
        <f>_xll.qlCalendarAdvance(Calendar,O2966,NDays&amp;"D")</f>
        <v>60120</v>
      </c>
      <c r="Q2966" s="81" t="e">
        <v>#N/A</v>
      </c>
      <c r="R2966" s="85" t="e">
        <v>#N/A</v>
      </c>
    </row>
    <row r="2967" spans="14:18" x14ac:dyDescent="0.2">
      <c r="N2967" s="88" t="str">
        <f t="shared" si="52"/>
        <v>1w</v>
      </c>
      <c r="O2967" s="82">
        <f>_xll.qlCalendarAdvance(Calendar,O2966,N2967,"f",FALSE)</f>
        <v>60125</v>
      </c>
      <c r="P2967" s="92">
        <f>_xll.qlCalendarAdvance(Calendar,O2967,NDays&amp;"D")</f>
        <v>60127</v>
      </c>
      <c r="Q2967" s="81" t="e">
        <v>#N/A</v>
      </c>
      <c r="R2967" s="85" t="e">
        <v>#N/A</v>
      </c>
    </row>
    <row r="2968" spans="14:18" x14ac:dyDescent="0.2">
      <c r="N2968" s="88" t="str">
        <f t="shared" si="52"/>
        <v>1w</v>
      </c>
      <c r="O2968" s="82">
        <f>_xll.qlCalendarAdvance(Calendar,O2967,N2968,"f",FALSE)</f>
        <v>60132</v>
      </c>
      <c r="P2968" s="92">
        <f>_xll.qlCalendarAdvance(Calendar,O2968,NDays&amp;"D")</f>
        <v>60134</v>
      </c>
      <c r="Q2968" s="81" t="e">
        <v>#N/A</v>
      </c>
      <c r="R2968" s="85" t="e">
        <v>#N/A</v>
      </c>
    </row>
    <row r="2969" spans="14:18" x14ac:dyDescent="0.2">
      <c r="N2969" s="88" t="str">
        <f t="shared" si="52"/>
        <v>1w</v>
      </c>
      <c r="O2969" s="82">
        <f>_xll.qlCalendarAdvance(Calendar,O2968,N2969,"f",FALSE)</f>
        <v>60139</v>
      </c>
      <c r="P2969" s="92">
        <f>_xll.qlCalendarAdvance(Calendar,O2969,NDays&amp;"D")</f>
        <v>60141</v>
      </c>
      <c r="Q2969" s="81" t="e">
        <v>#N/A</v>
      </c>
      <c r="R2969" s="85" t="e">
        <v>#N/A</v>
      </c>
    </row>
    <row r="2970" spans="14:18" x14ac:dyDescent="0.2">
      <c r="N2970" s="88" t="str">
        <f t="shared" si="52"/>
        <v>1w</v>
      </c>
      <c r="O2970" s="82">
        <f>_xll.qlCalendarAdvance(Calendar,O2969,N2970,"f",FALSE)</f>
        <v>60146</v>
      </c>
      <c r="P2970" s="92">
        <f>_xll.qlCalendarAdvance(Calendar,O2970,NDays&amp;"D")</f>
        <v>60148</v>
      </c>
      <c r="Q2970" s="81" t="e">
        <v>#N/A</v>
      </c>
      <c r="R2970" s="85" t="e">
        <v>#N/A</v>
      </c>
    </row>
    <row r="2971" spans="14:18" x14ac:dyDescent="0.2">
      <c r="N2971" s="88" t="str">
        <f t="shared" si="52"/>
        <v>1w</v>
      </c>
      <c r="O2971" s="82">
        <f>_xll.qlCalendarAdvance(Calendar,O2970,N2971,"f",FALSE)</f>
        <v>60153</v>
      </c>
      <c r="P2971" s="92">
        <f>_xll.qlCalendarAdvance(Calendar,O2971,NDays&amp;"D")</f>
        <v>60155</v>
      </c>
      <c r="Q2971" s="81" t="e">
        <v>#N/A</v>
      </c>
      <c r="R2971" s="85" t="e">
        <v>#N/A</v>
      </c>
    </row>
    <row r="2972" spans="14:18" x14ac:dyDescent="0.2">
      <c r="N2972" s="88" t="str">
        <f t="shared" si="52"/>
        <v>1w</v>
      </c>
      <c r="O2972" s="82">
        <f>_xll.qlCalendarAdvance(Calendar,O2971,N2972,"f",FALSE)</f>
        <v>60160</v>
      </c>
      <c r="P2972" s="92">
        <f>_xll.qlCalendarAdvance(Calendar,O2972,NDays&amp;"D")</f>
        <v>60162</v>
      </c>
      <c r="Q2972" s="81" t="e">
        <v>#N/A</v>
      </c>
      <c r="R2972" s="85" t="e">
        <v>#N/A</v>
      </c>
    </row>
    <row r="2973" spans="14:18" x14ac:dyDescent="0.2">
      <c r="N2973" s="88" t="str">
        <f t="shared" si="52"/>
        <v>1w</v>
      </c>
      <c r="O2973" s="82">
        <f>_xll.qlCalendarAdvance(Calendar,O2972,N2973,"f",FALSE)</f>
        <v>60167</v>
      </c>
      <c r="P2973" s="92">
        <f>_xll.qlCalendarAdvance(Calendar,O2973,NDays&amp;"D")</f>
        <v>60169</v>
      </c>
      <c r="Q2973" s="81" t="e">
        <v>#N/A</v>
      </c>
      <c r="R2973" s="85" t="e">
        <v>#N/A</v>
      </c>
    </row>
    <row r="2974" spans="14:18" x14ac:dyDescent="0.2">
      <c r="N2974" s="88" t="str">
        <f t="shared" si="52"/>
        <v>1w</v>
      </c>
      <c r="O2974" s="82">
        <f>_xll.qlCalendarAdvance(Calendar,O2973,N2974,"f",FALSE)</f>
        <v>60174</v>
      </c>
      <c r="P2974" s="92">
        <f>_xll.qlCalendarAdvance(Calendar,O2974,NDays&amp;"D")</f>
        <v>60176</v>
      </c>
      <c r="Q2974" s="81" t="e">
        <v>#N/A</v>
      </c>
      <c r="R2974" s="85" t="e">
        <v>#N/A</v>
      </c>
    </row>
    <row r="2975" spans="14:18" x14ac:dyDescent="0.2">
      <c r="N2975" s="88" t="str">
        <f t="shared" si="52"/>
        <v>1w</v>
      </c>
      <c r="O2975" s="82">
        <f>_xll.qlCalendarAdvance(Calendar,O2974,N2975,"f",FALSE)</f>
        <v>60181</v>
      </c>
      <c r="P2975" s="92">
        <f>_xll.qlCalendarAdvance(Calendar,O2975,NDays&amp;"D")</f>
        <v>60183</v>
      </c>
      <c r="Q2975" s="81" t="e">
        <v>#N/A</v>
      </c>
      <c r="R2975" s="85" t="e">
        <v>#N/A</v>
      </c>
    </row>
    <row r="2976" spans="14:18" x14ac:dyDescent="0.2">
      <c r="N2976" s="88" t="str">
        <f t="shared" si="52"/>
        <v>1w</v>
      </c>
      <c r="O2976" s="82">
        <f>_xll.qlCalendarAdvance(Calendar,O2975,N2976,"f",FALSE)</f>
        <v>60188</v>
      </c>
      <c r="P2976" s="92">
        <f>_xll.qlCalendarAdvance(Calendar,O2976,NDays&amp;"D")</f>
        <v>60190</v>
      </c>
      <c r="Q2976" s="81" t="e">
        <v>#N/A</v>
      </c>
      <c r="R2976" s="85" t="e">
        <v>#N/A</v>
      </c>
    </row>
    <row r="2977" spans="14:18" x14ac:dyDescent="0.2">
      <c r="N2977" s="88" t="str">
        <f t="shared" si="52"/>
        <v>1w</v>
      </c>
      <c r="O2977" s="82">
        <f>_xll.qlCalendarAdvance(Calendar,O2976,N2977,"f",FALSE)</f>
        <v>60195</v>
      </c>
      <c r="P2977" s="92">
        <f>_xll.qlCalendarAdvance(Calendar,O2977,NDays&amp;"D")</f>
        <v>60197</v>
      </c>
      <c r="Q2977" s="81" t="e">
        <v>#N/A</v>
      </c>
      <c r="R2977" s="85" t="e">
        <v>#N/A</v>
      </c>
    </row>
    <row r="2978" spans="14:18" x14ac:dyDescent="0.2">
      <c r="N2978" s="88" t="str">
        <f t="shared" si="52"/>
        <v>1w</v>
      </c>
      <c r="O2978" s="82">
        <f>_xll.qlCalendarAdvance(Calendar,O2977,N2978,"f",FALSE)</f>
        <v>60202</v>
      </c>
      <c r="P2978" s="92">
        <f>_xll.qlCalendarAdvance(Calendar,O2978,NDays&amp;"D")</f>
        <v>60204</v>
      </c>
      <c r="Q2978" s="81" t="e">
        <v>#N/A</v>
      </c>
      <c r="R2978" s="85" t="e">
        <v>#N/A</v>
      </c>
    </row>
    <row r="2979" spans="14:18" x14ac:dyDescent="0.2">
      <c r="N2979" s="88" t="str">
        <f t="shared" si="52"/>
        <v>1w</v>
      </c>
      <c r="O2979" s="82">
        <f>_xll.qlCalendarAdvance(Calendar,O2978,N2979,"f",FALSE)</f>
        <v>60209</v>
      </c>
      <c r="P2979" s="92">
        <f>_xll.qlCalendarAdvance(Calendar,O2979,NDays&amp;"D")</f>
        <v>60211</v>
      </c>
      <c r="Q2979" s="81" t="e">
        <v>#N/A</v>
      </c>
      <c r="R2979" s="85" t="e">
        <v>#N/A</v>
      </c>
    </row>
    <row r="2980" spans="14:18" x14ac:dyDescent="0.2">
      <c r="N2980" s="88" t="str">
        <f t="shared" si="52"/>
        <v>1w</v>
      </c>
      <c r="O2980" s="82">
        <f>_xll.qlCalendarAdvance(Calendar,O2979,N2980,"f",FALSE)</f>
        <v>60216</v>
      </c>
      <c r="P2980" s="92">
        <f>_xll.qlCalendarAdvance(Calendar,O2980,NDays&amp;"D")</f>
        <v>60218</v>
      </c>
      <c r="Q2980" s="81" t="e">
        <v>#N/A</v>
      </c>
      <c r="R2980" s="85" t="e">
        <v>#N/A</v>
      </c>
    </row>
    <row r="2981" spans="14:18" x14ac:dyDescent="0.2">
      <c r="N2981" s="88" t="str">
        <f t="shared" si="52"/>
        <v>1w</v>
      </c>
      <c r="O2981" s="82">
        <f>_xll.qlCalendarAdvance(Calendar,O2980,N2981,"f",FALSE)</f>
        <v>60223</v>
      </c>
      <c r="P2981" s="92">
        <f>_xll.qlCalendarAdvance(Calendar,O2981,NDays&amp;"D")</f>
        <v>60225</v>
      </c>
      <c r="Q2981" s="81" t="e">
        <v>#N/A</v>
      </c>
      <c r="R2981" s="85" t="e">
        <v>#N/A</v>
      </c>
    </row>
    <row r="2982" spans="14:18" x14ac:dyDescent="0.2">
      <c r="N2982" s="88" t="str">
        <f t="shared" si="52"/>
        <v>1w</v>
      </c>
      <c r="O2982" s="82">
        <f>_xll.qlCalendarAdvance(Calendar,O2981,N2982,"f",FALSE)</f>
        <v>60230</v>
      </c>
      <c r="P2982" s="92">
        <f>_xll.qlCalendarAdvance(Calendar,O2982,NDays&amp;"D")</f>
        <v>60232</v>
      </c>
      <c r="Q2982" s="81" t="e">
        <v>#N/A</v>
      </c>
      <c r="R2982" s="85" t="e">
        <v>#N/A</v>
      </c>
    </row>
    <row r="2983" spans="14:18" x14ac:dyDescent="0.2">
      <c r="N2983" s="88" t="str">
        <f t="shared" si="52"/>
        <v>1w</v>
      </c>
      <c r="O2983" s="82">
        <f>_xll.qlCalendarAdvance(Calendar,O2982,N2983,"f",FALSE)</f>
        <v>60237</v>
      </c>
      <c r="P2983" s="92">
        <f>_xll.qlCalendarAdvance(Calendar,O2983,NDays&amp;"D")</f>
        <v>60239</v>
      </c>
      <c r="Q2983" s="81" t="e">
        <v>#N/A</v>
      </c>
      <c r="R2983" s="85" t="e">
        <v>#N/A</v>
      </c>
    </row>
    <row r="2984" spans="14:18" x14ac:dyDescent="0.2">
      <c r="N2984" s="88" t="str">
        <f t="shared" si="52"/>
        <v>1w</v>
      </c>
      <c r="O2984" s="82">
        <f>_xll.qlCalendarAdvance(Calendar,O2983,N2984,"f",FALSE)</f>
        <v>60244</v>
      </c>
      <c r="P2984" s="92">
        <f>_xll.qlCalendarAdvance(Calendar,O2984,NDays&amp;"D")</f>
        <v>60246</v>
      </c>
      <c r="Q2984" s="81" t="e">
        <v>#N/A</v>
      </c>
      <c r="R2984" s="85" t="e">
        <v>#N/A</v>
      </c>
    </row>
    <row r="2985" spans="14:18" x14ac:dyDescent="0.2">
      <c r="N2985" s="88" t="str">
        <f t="shared" si="52"/>
        <v>1w</v>
      </c>
      <c r="O2985" s="82">
        <f>_xll.qlCalendarAdvance(Calendar,O2984,N2985,"f",FALSE)</f>
        <v>60251</v>
      </c>
      <c r="P2985" s="92">
        <f>_xll.qlCalendarAdvance(Calendar,O2985,NDays&amp;"D")</f>
        <v>60253</v>
      </c>
      <c r="Q2985" s="81" t="e">
        <v>#N/A</v>
      </c>
      <c r="R2985" s="85" t="e">
        <v>#N/A</v>
      </c>
    </row>
    <row r="2986" spans="14:18" x14ac:dyDescent="0.2">
      <c r="N2986" s="88" t="str">
        <f t="shared" si="52"/>
        <v>1w</v>
      </c>
      <c r="O2986" s="82">
        <f>_xll.qlCalendarAdvance(Calendar,O2985,N2986,"f",FALSE)</f>
        <v>60258</v>
      </c>
      <c r="P2986" s="92">
        <f>_xll.qlCalendarAdvance(Calendar,O2986,NDays&amp;"D")</f>
        <v>60265</v>
      </c>
      <c r="Q2986" s="81" t="e">
        <v>#N/A</v>
      </c>
      <c r="R2986" s="85" t="e">
        <v>#N/A</v>
      </c>
    </row>
    <row r="2987" spans="14:18" x14ac:dyDescent="0.2">
      <c r="N2987" s="88" t="str">
        <f t="shared" si="52"/>
        <v>1w</v>
      </c>
      <c r="O2987" s="82">
        <f>_xll.qlCalendarAdvance(Calendar,O2986,N2987,"f",FALSE)</f>
        <v>60265</v>
      </c>
      <c r="P2987" s="92">
        <f>_xll.qlCalendarAdvance(Calendar,O2987,NDays&amp;"D")</f>
        <v>60269</v>
      </c>
      <c r="Q2987" s="81" t="e">
        <v>#N/A</v>
      </c>
      <c r="R2987" s="85" t="e">
        <v>#N/A</v>
      </c>
    </row>
    <row r="2988" spans="14:18" x14ac:dyDescent="0.2">
      <c r="N2988" s="88" t="str">
        <f t="shared" si="52"/>
        <v>1w</v>
      </c>
      <c r="O2988" s="82">
        <f>_xll.qlCalendarAdvance(Calendar,O2987,N2988,"f",FALSE)</f>
        <v>60272</v>
      </c>
      <c r="P2988" s="92">
        <f>_xll.qlCalendarAdvance(Calendar,O2988,NDays&amp;"D")</f>
        <v>60275</v>
      </c>
      <c r="Q2988" s="81" t="e">
        <v>#N/A</v>
      </c>
      <c r="R2988" s="85" t="e">
        <v>#N/A</v>
      </c>
    </row>
    <row r="2989" spans="14:18" x14ac:dyDescent="0.2">
      <c r="N2989" s="88" t="str">
        <f t="shared" si="52"/>
        <v>1w</v>
      </c>
      <c r="O2989" s="82">
        <f>_xll.qlCalendarAdvance(Calendar,O2988,N2989,"f",FALSE)</f>
        <v>60279</v>
      </c>
      <c r="P2989" s="92">
        <f>_xll.qlCalendarAdvance(Calendar,O2989,NDays&amp;"D")</f>
        <v>60281</v>
      </c>
      <c r="Q2989" s="81" t="e">
        <v>#N/A</v>
      </c>
      <c r="R2989" s="85" t="e">
        <v>#N/A</v>
      </c>
    </row>
    <row r="2990" spans="14:18" x14ac:dyDescent="0.2">
      <c r="N2990" s="88" t="str">
        <f t="shared" si="52"/>
        <v>1w</v>
      </c>
      <c r="O2990" s="82">
        <f>_xll.qlCalendarAdvance(Calendar,O2989,N2990,"f",FALSE)</f>
        <v>60286</v>
      </c>
      <c r="P2990" s="92">
        <f>_xll.qlCalendarAdvance(Calendar,O2990,NDays&amp;"D")</f>
        <v>60288</v>
      </c>
      <c r="Q2990" s="81" t="e">
        <v>#N/A</v>
      </c>
      <c r="R2990" s="85" t="e">
        <v>#N/A</v>
      </c>
    </row>
    <row r="2991" spans="14:18" x14ac:dyDescent="0.2">
      <c r="N2991" s="88" t="str">
        <f t="shared" si="52"/>
        <v>1w</v>
      </c>
      <c r="O2991" s="82">
        <f>_xll.qlCalendarAdvance(Calendar,O2990,N2991,"f",FALSE)</f>
        <v>60293</v>
      </c>
      <c r="P2991" s="92">
        <f>_xll.qlCalendarAdvance(Calendar,O2991,NDays&amp;"D")</f>
        <v>60295</v>
      </c>
      <c r="Q2991" s="81" t="e">
        <v>#N/A</v>
      </c>
      <c r="R2991" s="85" t="e">
        <v>#N/A</v>
      </c>
    </row>
    <row r="2992" spans="14:18" x14ac:dyDescent="0.2">
      <c r="N2992" s="88" t="str">
        <f t="shared" si="52"/>
        <v>1w</v>
      </c>
      <c r="O2992" s="82">
        <f>_xll.qlCalendarAdvance(Calendar,O2991,N2992,"f",FALSE)</f>
        <v>60300</v>
      </c>
      <c r="P2992" s="92">
        <f>_xll.qlCalendarAdvance(Calendar,O2992,NDays&amp;"D")</f>
        <v>60302</v>
      </c>
      <c r="Q2992" s="81" t="e">
        <v>#N/A</v>
      </c>
      <c r="R2992" s="85" t="e">
        <v>#N/A</v>
      </c>
    </row>
    <row r="2993" spans="14:18" x14ac:dyDescent="0.2">
      <c r="N2993" s="88" t="str">
        <f t="shared" si="52"/>
        <v>1w</v>
      </c>
      <c r="O2993" s="82">
        <f>_xll.qlCalendarAdvance(Calendar,O2992,N2993,"f",FALSE)</f>
        <v>60307</v>
      </c>
      <c r="P2993" s="92">
        <f>_xll.qlCalendarAdvance(Calendar,O2993,NDays&amp;"D")</f>
        <v>60309</v>
      </c>
      <c r="Q2993" s="81" t="e">
        <v>#N/A</v>
      </c>
      <c r="R2993" s="85" t="e">
        <v>#N/A</v>
      </c>
    </row>
    <row r="2994" spans="14:18" x14ac:dyDescent="0.2">
      <c r="N2994" s="88" t="str">
        <f t="shared" si="52"/>
        <v>1w</v>
      </c>
      <c r="O2994" s="82">
        <f>_xll.qlCalendarAdvance(Calendar,O2993,N2994,"f",FALSE)</f>
        <v>60314</v>
      </c>
      <c r="P2994" s="92">
        <f>_xll.qlCalendarAdvance(Calendar,O2994,NDays&amp;"D")</f>
        <v>60316</v>
      </c>
      <c r="Q2994" s="81" t="e">
        <v>#N/A</v>
      </c>
      <c r="R2994" s="85" t="e">
        <v>#N/A</v>
      </c>
    </row>
    <row r="2995" spans="14:18" x14ac:dyDescent="0.2">
      <c r="N2995" s="88" t="str">
        <f t="shared" si="52"/>
        <v>1w</v>
      </c>
      <c r="O2995" s="82">
        <f>_xll.qlCalendarAdvance(Calendar,O2994,N2995,"f",FALSE)</f>
        <v>60321</v>
      </c>
      <c r="P2995" s="92">
        <f>_xll.qlCalendarAdvance(Calendar,O2995,NDays&amp;"D")</f>
        <v>60323</v>
      </c>
      <c r="Q2995" s="81" t="e">
        <v>#N/A</v>
      </c>
      <c r="R2995" s="85" t="e">
        <v>#N/A</v>
      </c>
    </row>
    <row r="2996" spans="14:18" x14ac:dyDescent="0.2">
      <c r="N2996" s="88" t="str">
        <f t="shared" si="52"/>
        <v>1w</v>
      </c>
      <c r="O2996" s="82">
        <f>_xll.qlCalendarAdvance(Calendar,O2995,N2996,"f",FALSE)</f>
        <v>60328</v>
      </c>
      <c r="P2996" s="92">
        <f>_xll.qlCalendarAdvance(Calendar,O2996,NDays&amp;"D")</f>
        <v>60330</v>
      </c>
      <c r="Q2996" s="81" t="e">
        <v>#N/A</v>
      </c>
      <c r="R2996" s="85" t="e">
        <v>#N/A</v>
      </c>
    </row>
    <row r="2997" spans="14:18" x14ac:dyDescent="0.2">
      <c r="N2997" s="88" t="str">
        <f t="shared" si="52"/>
        <v>1w</v>
      </c>
      <c r="O2997" s="82">
        <f>_xll.qlCalendarAdvance(Calendar,O2996,N2997,"f",FALSE)</f>
        <v>60335</v>
      </c>
      <c r="P2997" s="92">
        <f>_xll.qlCalendarAdvance(Calendar,O2997,NDays&amp;"D")</f>
        <v>60337</v>
      </c>
      <c r="Q2997" s="81" t="e">
        <v>#N/A</v>
      </c>
      <c r="R2997" s="85" t="e">
        <v>#N/A</v>
      </c>
    </row>
    <row r="2998" spans="14:18" x14ac:dyDescent="0.2">
      <c r="N2998" s="88" t="str">
        <f t="shared" si="52"/>
        <v>1w</v>
      </c>
      <c r="O2998" s="82">
        <f>_xll.qlCalendarAdvance(Calendar,O2997,N2998,"f",FALSE)</f>
        <v>60342</v>
      </c>
      <c r="P2998" s="92">
        <f>_xll.qlCalendarAdvance(Calendar,O2998,NDays&amp;"D")</f>
        <v>60344</v>
      </c>
      <c r="Q2998" s="81" t="e">
        <v>#N/A</v>
      </c>
      <c r="R2998" s="85" t="e">
        <v>#N/A</v>
      </c>
    </row>
    <row r="2999" spans="14:18" x14ac:dyDescent="0.2">
      <c r="N2999" s="88" t="str">
        <f t="shared" si="52"/>
        <v>1w</v>
      </c>
      <c r="O2999" s="82">
        <f>_xll.qlCalendarAdvance(Calendar,O2998,N2999,"f",FALSE)</f>
        <v>60349</v>
      </c>
      <c r="P2999" s="92">
        <f>_xll.qlCalendarAdvance(Calendar,O2999,NDays&amp;"D")</f>
        <v>60351</v>
      </c>
      <c r="Q2999" s="81" t="e">
        <v>#N/A</v>
      </c>
      <c r="R2999" s="85" t="e">
        <v>#N/A</v>
      </c>
    </row>
    <row r="3000" spans="14:18" x14ac:dyDescent="0.2">
      <c r="N3000" s="88" t="str">
        <f t="shared" si="52"/>
        <v>1w</v>
      </c>
      <c r="O3000" s="82">
        <f>_xll.qlCalendarAdvance(Calendar,O2999,N3000,"f",FALSE)</f>
        <v>60357</v>
      </c>
      <c r="P3000" s="92">
        <f>_xll.qlCalendarAdvance(Calendar,O3000,NDays&amp;"D")</f>
        <v>60359</v>
      </c>
      <c r="Q3000" s="81" t="e">
        <v>#N/A</v>
      </c>
      <c r="R3000" s="85" t="e">
        <v>#N/A</v>
      </c>
    </row>
    <row r="3001" spans="14:18" x14ac:dyDescent="0.2">
      <c r="N3001" s="88" t="str">
        <f t="shared" si="52"/>
        <v>1w</v>
      </c>
      <c r="O3001" s="82">
        <f>_xll.qlCalendarAdvance(Calendar,O3000,N3001,"f",FALSE)</f>
        <v>60364</v>
      </c>
      <c r="P3001" s="92">
        <f>_xll.qlCalendarAdvance(Calendar,O3001,NDays&amp;"D")</f>
        <v>60366</v>
      </c>
      <c r="Q3001" s="81" t="e">
        <v>#N/A</v>
      </c>
      <c r="R3001" s="85" t="e">
        <v>#N/A</v>
      </c>
    </row>
    <row r="3002" spans="14:18" x14ac:dyDescent="0.2">
      <c r="N3002" s="88" t="str">
        <f t="shared" si="52"/>
        <v>1w</v>
      </c>
      <c r="O3002" s="82">
        <f>_xll.qlCalendarAdvance(Calendar,O3001,N3002,"f",FALSE)</f>
        <v>60371</v>
      </c>
      <c r="P3002" s="92">
        <f>_xll.qlCalendarAdvance(Calendar,O3002,NDays&amp;"D")</f>
        <v>60373</v>
      </c>
      <c r="Q3002" s="81" t="e">
        <v>#N/A</v>
      </c>
      <c r="R3002" s="85" t="e">
        <v>#N/A</v>
      </c>
    </row>
    <row r="3003" spans="14:18" x14ac:dyDescent="0.2">
      <c r="N3003" s="88" t="str">
        <f t="shared" si="52"/>
        <v>1w</v>
      </c>
      <c r="O3003" s="82">
        <f>_xll.qlCalendarAdvance(Calendar,O3002,N3003,"f",FALSE)</f>
        <v>60378</v>
      </c>
      <c r="P3003" s="92">
        <f>_xll.qlCalendarAdvance(Calendar,O3003,NDays&amp;"D")</f>
        <v>60380</v>
      </c>
      <c r="Q3003" s="81" t="e">
        <v>#N/A</v>
      </c>
      <c r="R3003" s="85" t="e">
        <v>#N/A</v>
      </c>
    </row>
    <row r="3004" spans="14:18" x14ac:dyDescent="0.2">
      <c r="N3004" s="88" t="str">
        <f t="shared" si="52"/>
        <v>1w</v>
      </c>
      <c r="O3004" s="82">
        <f>_xll.qlCalendarAdvance(Calendar,O3003,N3004,"f",FALSE)</f>
        <v>60385</v>
      </c>
      <c r="P3004" s="92">
        <f>_xll.qlCalendarAdvance(Calendar,O3004,NDays&amp;"D")</f>
        <v>60387</v>
      </c>
      <c r="Q3004" s="81" t="e">
        <v>#N/A</v>
      </c>
      <c r="R3004" s="85" t="e">
        <v>#N/A</v>
      </c>
    </row>
    <row r="3005" spans="14:18" x14ac:dyDescent="0.2">
      <c r="N3005" s="88" t="str">
        <f t="shared" si="52"/>
        <v>1w</v>
      </c>
      <c r="O3005" s="82">
        <f>_xll.qlCalendarAdvance(Calendar,O3004,N3005,"f",FALSE)</f>
        <v>60392</v>
      </c>
      <c r="P3005" s="92">
        <f>_xll.qlCalendarAdvance(Calendar,O3005,NDays&amp;"D")</f>
        <v>60395</v>
      </c>
      <c r="Q3005" s="81" t="e">
        <v>#N/A</v>
      </c>
      <c r="R3005" s="85" t="e">
        <v>#N/A</v>
      </c>
    </row>
    <row r="3006" spans="14:18" x14ac:dyDescent="0.2">
      <c r="N3006" s="88" t="str">
        <f t="shared" si="52"/>
        <v>1w</v>
      </c>
      <c r="O3006" s="82">
        <f>_xll.qlCalendarAdvance(Calendar,O3005,N3006,"f",FALSE)</f>
        <v>60399</v>
      </c>
      <c r="P3006" s="92">
        <f>_xll.qlCalendarAdvance(Calendar,O3006,NDays&amp;"D")</f>
        <v>60401</v>
      </c>
      <c r="Q3006" s="81" t="e">
        <v>#N/A</v>
      </c>
      <c r="R3006" s="85" t="e">
        <v>#N/A</v>
      </c>
    </row>
    <row r="3007" spans="14:18" x14ac:dyDescent="0.2">
      <c r="N3007" s="88" t="str">
        <f t="shared" si="52"/>
        <v>1w</v>
      </c>
      <c r="O3007" s="82">
        <f>_xll.qlCalendarAdvance(Calendar,O3006,N3007,"f",FALSE)</f>
        <v>60406</v>
      </c>
      <c r="P3007" s="92">
        <f>_xll.qlCalendarAdvance(Calendar,O3007,NDays&amp;"D")</f>
        <v>60408</v>
      </c>
      <c r="Q3007" s="81" t="e">
        <v>#N/A</v>
      </c>
      <c r="R3007" s="85" t="e">
        <v>#N/A</v>
      </c>
    </row>
    <row r="3008" spans="14:18" x14ac:dyDescent="0.2">
      <c r="N3008" s="88" t="str">
        <f t="shared" si="52"/>
        <v>1w</v>
      </c>
      <c r="O3008" s="82">
        <f>_xll.qlCalendarAdvance(Calendar,O3007,N3008,"f",FALSE)</f>
        <v>60413</v>
      </c>
      <c r="P3008" s="92">
        <f>_xll.qlCalendarAdvance(Calendar,O3008,NDays&amp;"D")</f>
        <v>60415</v>
      </c>
      <c r="Q3008" s="81" t="e">
        <v>#N/A</v>
      </c>
      <c r="R3008" s="85" t="e">
        <v>#N/A</v>
      </c>
    </row>
    <row r="3009" spans="14:18" x14ac:dyDescent="0.2">
      <c r="N3009" s="88" t="str">
        <f t="shared" si="52"/>
        <v>1w</v>
      </c>
      <c r="O3009" s="82">
        <f>_xll.qlCalendarAdvance(Calendar,O3008,N3009,"f",FALSE)</f>
        <v>60420</v>
      </c>
      <c r="P3009" s="92">
        <f>_xll.qlCalendarAdvance(Calendar,O3009,NDays&amp;"D")</f>
        <v>60422</v>
      </c>
      <c r="Q3009" s="81" t="e">
        <v>#N/A</v>
      </c>
      <c r="R3009" s="85" t="e">
        <v>#N/A</v>
      </c>
    </row>
    <row r="3010" spans="14:18" x14ac:dyDescent="0.2">
      <c r="N3010" s="88" t="str">
        <f t="shared" si="52"/>
        <v>1w</v>
      </c>
      <c r="O3010" s="82">
        <f>_xll.qlCalendarAdvance(Calendar,O3009,N3010,"f",FALSE)</f>
        <v>60427</v>
      </c>
      <c r="P3010" s="92">
        <f>_xll.qlCalendarAdvance(Calendar,O3010,NDays&amp;"D")</f>
        <v>60429</v>
      </c>
      <c r="Q3010" s="81" t="e">
        <v>#N/A</v>
      </c>
      <c r="R3010" s="85" t="e">
        <v>#N/A</v>
      </c>
    </row>
    <row r="3011" spans="14:18" x14ac:dyDescent="0.2">
      <c r="N3011" s="88" t="str">
        <f t="shared" si="52"/>
        <v>1w</v>
      </c>
      <c r="O3011" s="82">
        <f>_xll.qlCalendarAdvance(Calendar,O3010,N3011,"f",FALSE)</f>
        <v>60434</v>
      </c>
      <c r="P3011" s="92">
        <f>_xll.qlCalendarAdvance(Calendar,O3011,NDays&amp;"D")</f>
        <v>60436</v>
      </c>
      <c r="Q3011" s="81" t="e">
        <v>#N/A</v>
      </c>
      <c r="R3011" s="85" t="e">
        <v>#N/A</v>
      </c>
    </row>
    <row r="3012" spans="14:18" x14ac:dyDescent="0.2">
      <c r="N3012" s="88" t="str">
        <f t="shared" si="52"/>
        <v>1w</v>
      </c>
      <c r="O3012" s="82">
        <f>_xll.qlCalendarAdvance(Calendar,O3011,N3012,"f",FALSE)</f>
        <v>60441</v>
      </c>
      <c r="P3012" s="92">
        <f>_xll.qlCalendarAdvance(Calendar,O3012,NDays&amp;"D")</f>
        <v>60443</v>
      </c>
      <c r="Q3012" s="81" t="e">
        <v>#N/A</v>
      </c>
      <c r="R3012" s="85" t="e">
        <v>#N/A</v>
      </c>
    </row>
    <row r="3013" spans="14:18" x14ac:dyDescent="0.2">
      <c r="N3013" s="88" t="str">
        <f t="shared" si="52"/>
        <v>1w</v>
      </c>
      <c r="O3013" s="82">
        <f>_xll.qlCalendarAdvance(Calendar,O3012,N3013,"f",FALSE)</f>
        <v>60448</v>
      </c>
      <c r="P3013" s="92">
        <f>_xll.qlCalendarAdvance(Calendar,O3013,NDays&amp;"D")</f>
        <v>60450</v>
      </c>
      <c r="Q3013" s="81" t="e">
        <v>#N/A</v>
      </c>
      <c r="R3013" s="85" t="e">
        <v>#N/A</v>
      </c>
    </row>
    <row r="3014" spans="14:18" x14ac:dyDescent="0.2">
      <c r="N3014" s="88" t="str">
        <f t="shared" si="52"/>
        <v>1w</v>
      </c>
      <c r="O3014" s="82">
        <f>_xll.qlCalendarAdvance(Calendar,O3013,N3014,"f",FALSE)</f>
        <v>60455</v>
      </c>
      <c r="P3014" s="92">
        <f>_xll.qlCalendarAdvance(Calendar,O3014,NDays&amp;"D")</f>
        <v>60457</v>
      </c>
      <c r="Q3014" s="81" t="e">
        <v>#N/A</v>
      </c>
      <c r="R3014" s="85" t="e">
        <v>#N/A</v>
      </c>
    </row>
    <row r="3015" spans="14:18" x14ac:dyDescent="0.2">
      <c r="N3015" s="88" t="str">
        <f t="shared" si="52"/>
        <v>1w</v>
      </c>
      <c r="O3015" s="82">
        <f>_xll.qlCalendarAdvance(Calendar,O3014,N3015,"f",FALSE)</f>
        <v>60462</v>
      </c>
      <c r="P3015" s="92">
        <f>_xll.qlCalendarAdvance(Calendar,O3015,NDays&amp;"D")</f>
        <v>60464</v>
      </c>
      <c r="Q3015" s="81" t="e">
        <v>#N/A</v>
      </c>
      <c r="R3015" s="85" t="e">
        <v>#N/A</v>
      </c>
    </row>
    <row r="3016" spans="14:18" x14ac:dyDescent="0.2">
      <c r="N3016" s="88" t="str">
        <f t="shared" si="52"/>
        <v>1w</v>
      </c>
      <c r="O3016" s="82">
        <f>_xll.qlCalendarAdvance(Calendar,O3015,N3016,"f",FALSE)</f>
        <v>60469</v>
      </c>
      <c r="P3016" s="92">
        <f>_xll.qlCalendarAdvance(Calendar,O3016,NDays&amp;"D")</f>
        <v>60471</v>
      </c>
      <c r="Q3016" s="81" t="e">
        <v>#N/A</v>
      </c>
      <c r="R3016" s="85" t="e">
        <v>#N/A</v>
      </c>
    </row>
    <row r="3017" spans="14:18" x14ac:dyDescent="0.2">
      <c r="N3017" s="88" t="str">
        <f t="shared" si="52"/>
        <v>1w</v>
      </c>
      <c r="O3017" s="82">
        <f>_xll.qlCalendarAdvance(Calendar,O3016,N3017,"f",FALSE)</f>
        <v>60476</v>
      </c>
      <c r="P3017" s="92">
        <f>_xll.qlCalendarAdvance(Calendar,O3017,NDays&amp;"D")</f>
        <v>60478</v>
      </c>
      <c r="Q3017" s="81" t="e">
        <v>#N/A</v>
      </c>
      <c r="R3017" s="85" t="e">
        <v>#N/A</v>
      </c>
    </row>
    <row r="3018" spans="14:18" x14ac:dyDescent="0.2">
      <c r="N3018" s="88" t="str">
        <f t="shared" si="52"/>
        <v>1w</v>
      </c>
      <c r="O3018" s="82">
        <f>_xll.qlCalendarAdvance(Calendar,O3017,N3018,"f",FALSE)</f>
        <v>60483</v>
      </c>
      <c r="P3018" s="92">
        <f>_xll.qlCalendarAdvance(Calendar,O3018,NDays&amp;"D")</f>
        <v>60485</v>
      </c>
      <c r="Q3018" s="81" t="e">
        <v>#N/A</v>
      </c>
      <c r="R3018" s="85" t="e">
        <v>#N/A</v>
      </c>
    </row>
    <row r="3019" spans="14:18" x14ac:dyDescent="0.2">
      <c r="N3019" s="88" t="str">
        <f t="shared" si="52"/>
        <v>1w</v>
      </c>
      <c r="O3019" s="82">
        <f>_xll.qlCalendarAdvance(Calendar,O3018,N3019,"f",FALSE)</f>
        <v>60490</v>
      </c>
      <c r="P3019" s="92">
        <f>_xll.qlCalendarAdvance(Calendar,O3019,NDays&amp;"D")</f>
        <v>60492</v>
      </c>
      <c r="Q3019" s="81" t="e">
        <v>#N/A</v>
      </c>
      <c r="R3019" s="85" t="e">
        <v>#N/A</v>
      </c>
    </row>
    <row r="3020" spans="14:18" x14ac:dyDescent="0.2">
      <c r="N3020" s="88" t="str">
        <f t="shared" si="52"/>
        <v>1w</v>
      </c>
      <c r="O3020" s="82">
        <f>_xll.qlCalendarAdvance(Calendar,O3019,N3020,"f",FALSE)</f>
        <v>60497</v>
      </c>
      <c r="P3020" s="92">
        <f>_xll.qlCalendarAdvance(Calendar,O3020,NDays&amp;"D")</f>
        <v>60499</v>
      </c>
      <c r="Q3020" s="81" t="e">
        <v>#N/A</v>
      </c>
      <c r="R3020" s="85" t="e">
        <v>#N/A</v>
      </c>
    </row>
    <row r="3021" spans="14:18" x14ac:dyDescent="0.2">
      <c r="N3021" s="88" t="str">
        <f t="shared" si="52"/>
        <v>1w</v>
      </c>
      <c r="O3021" s="82">
        <f>_xll.qlCalendarAdvance(Calendar,O3020,N3021,"f",FALSE)</f>
        <v>60504</v>
      </c>
      <c r="P3021" s="92">
        <f>_xll.qlCalendarAdvance(Calendar,O3021,NDays&amp;"D")</f>
        <v>60506</v>
      </c>
      <c r="Q3021" s="81" t="e">
        <v>#N/A</v>
      </c>
      <c r="R3021" s="85" t="e">
        <v>#N/A</v>
      </c>
    </row>
    <row r="3022" spans="14:18" x14ac:dyDescent="0.2">
      <c r="N3022" s="88" t="str">
        <f t="shared" si="52"/>
        <v>1w</v>
      </c>
      <c r="O3022" s="82">
        <f>_xll.qlCalendarAdvance(Calendar,O3021,N3022,"f",FALSE)</f>
        <v>60511</v>
      </c>
      <c r="P3022" s="92">
        <f>_xll.qlCalendarAdvance(Calendar,O3022,NDays&amp;"D")</f>
        <v>60513</v>
      </c>
      <c r="Q3022" s="81" t="e">
        <v>#N/A</v>
      </c>
      <c r="R3022" s="85" t="e">
        <v>#N/A</v>
      </c>
    </row>
    <row r="3023" spans="14:18" x14ac:dyDescent="0.2">
      <c r="N3023" s="88" t="str">
        <f t="shared" si="52"/>
        <v>1w</v>
      </c>
      <c r="O3023" s="82">
        <f>_xll.qlCalendarAdvance(Calendar,O3022,N3023,"f",FALSE)</f>
        <v>60518</v>
      </c>
      <c r="P3023" s="92">
        <f>_xll.qlCalendarAdvance(Calendar,O3023,NDays&amp;"D")</f>
        <v>60520</v>
      </c>
      <c r="Q3023" s="81" t="e">
        <v>#N/A</v>
      </c>
      <c r="R3023" s="85" t="e">
        <v>#N/A</v>
      </c>
    </row>
    <row r="3024" spans="14:18" x14ac:dyDescent="0.2">
      <c r="N3024" s="88" t="str">
        <f t="shared" si="52"/>
        <v>1w</v>
      </c>
      <c r="O3024" s="82">
        <f>_xll.qlCalendarAdvance(Calendar,O3023,N3024,"f",FALSE)</f>
        <v>60525</v>
      </c>
      <c r="P3024" s="92">
        <f>_xll.qlCalendarAdvance(Calendar,O3024,NDays&amp;"D")</f>
        <v>60527</v>
      </c>
      <c r="Q3024" s="81" t="e">
        <v>#N/A</v>
      </c>
      <c r="R3024" s="85" t="e">
        <v>#N/A</v>
      </c>
    </row>
    <row r="3025" spans="14:18" x14ac:dyDescent="0.2">
      <c r="N3025" s="88" t="str">
        <f t="shared" si="52"/>
        <v>1w</v>
      </c>
      <c r="O3025" s="82">
        <f>_xll.qlCalendarAdvance(Calendar,O3024,N3025,"f",FALSE)</f>
        <v>60532</v>
      </c>
      <c r="P3025" s="92">
        <f>_xll.qlCalendarAdvance(Calendar,O3025,NDays&amp;"D")</f>
        <v>60534</v>
      </c>
      <c r="Q3025" s="81" t="e">
        <v>#N/A</v>
      </c>
      <c r="R3025" s="85" t="e">
        <v>#N/A</v>
      </c>
    </row>
    <row r="3026" spans="14:18" x14ac:dyDescent="0.2">
      <c r="N3026" s="88" t="str">
        <f t="shared" si="52"/>
        <v>1w</v>
      </c>
      <c r="O3026" s="82">
        <f>_xll.qlCalendarAdvance(Calendar,O3025,N3026,"f",FALSE)</f>
        <v>60539</v>
      </c>
      <c r="P3026" s="92">
        <f>_xll.qlCalendarAdvance(Calendar,O3026,NDays&amp;"D")</f>
        <v>60541</v>
      </c>
      <c r="Q3026" s="81" t="e">
        <v>#N/A</v>
      </c>
      <c r="R3026" s="85" t="e">
        <v>#N/A</v>
      </c>
    </row>
    <row r="3027" spans="14:18" x14ac:dyDescent="0.2">
      <c r="N3027" s="88" t="str">
        <f t="shared" si="52"/>
        <v>1w</v>
      </c>
      <c r="O3027" s="82">
        <f>_xll.qlCalendarAdvance(Calendar,O3026,N3027,"f",FALSE)</f>
        <v>60546</v>
      </c>
      <c r="P3027" s="92">
        <f>_xll.qlCalendarAdvance(Calendar,O3027,NDays&amp;"D")</f>
        <v>60548</v>
      </c>
      <c r="Q3027" s="81" t="e">
        <v>#N/A</v>
      </c>
      <c r="R3027" s="85" t="e">
        <v>#N/A</v>
      </c>
    </row>
    <row r="3028" spans="14:18" x14ac:dyDescent="0.2">
      <c r="N3028" s="88" t="str">
        <f t="shared" si="52"/>
        <v>1w</v>
      </c>
      <c r="O3028" s="82">
        <f>_xll.qlCalendarAdvance(Calendar,O3027,N3028,"f",FALSE)</f>
        <v>60553</v>
      </c>
      <c r="P3028" s="92">
        <f>_xll.qlCalendarAdvance(Calendar,O3028,NDays&amp;"D")</f>
        <v>60555</v>
      </c>
      <c r="Q3028" s="81" t="e">
        <v>#N/A</v>
      </c>
      <c r="R3028" s="85" t="e">
        <v>#N/A</v>
      </c>
    </row>
    <row r="3029" spans="14:18" x14ac:dyDescent="0.2">
      <c r="N3029" s="88" t="str">
        <f t="shared" ref="N3029:N3092" si="53">N3028</f>
        <v>1w</v>
      </c>
      <c r="O3029" s="82">
        <f>_xll.qlCalendarAdvance(Calendar,O3028,N3029,"f",FALSE)</f>
        <v>60560</v>
      </c>
      <c r="P3029" s="92">
        <f>_xll.qlCalendarAdvance(Calendar,O3029,NDays&amp;"D")</f>
        <v>60562</v>
      </c>
      <c r="Q3029" s="81" t="e">
        <v>#N/A</v>
      </c>
      <c r="R3029" s="85" t="e">
        <v>#N/A</v>
      </c>
    </row>
    <row r="3030" spans="14:18" x14ac:dyDescent="0.2">
      <c r="N3030" s="88" t="str">
        <f t="shared" si="53"/>
        <v>1w</v>
      </c>
      <c r="O3030" s="82">
        <f>_xll.qlCalendarAdvance(Calendar,O3029,N3030,"f",FALSE)</f>
        <v>60567</v>
      </c>
      <c r="P3030" s="92">
        <f>_xll.qlCalendarAdvance(Calendar,O3030,NDays&amp;"D")</f>
        <v>60569</v>
      </c>
      <c r="Q3030" s="81" t="e">
        <v>#N/A</v>
      </c>
      <c r="R3030" s="85" t="e">
        <v>#N/A</v>
      </c>
    </row>
    <row r="3031" spans="14:18" x14ac:dyDescent="0.2">
      <c r="N3031" s="88" t="str">
        <f t="shared" si="53"/>
        <v>1w</v>
      </c>
      <c r="O3031" s="82">
        <f>_xll.qlCalendarAdvance(Calendar,O3030,N3031,"f",FALSE)</f>
        <v>60574</v>
      </c>
      <c r="P3031" s="92">
        <f>_xll.qlCalendarAdvance(Calendar,O3031,NDays&amp;"D")</f>
        <v>60576</v>
      </c>
      <c r="Q3031" s="81" t="e">
        <v>#N/A</v>
      </c>
      <c r="R3031" s="85" t="e">
        <v>#N/A</v>
      </c>
    </row>
    <row r="3032" spans="14:18" x14ac:dyDescent="0.2">
      <c r="N3032" s="88" t="str">
        <f t="shared" si="53"/>
        <v>1w</v>
      </c>
      <c r="O3032" s="82">
        <f>_xll.qlCalendarAdvance(Calendar,O3031,N3032,"f",FALSE)</f>
        <v>60581</v>
      </c>
      <c r="P3032" s="92">
        <f>_xll.qlCalendarAdvance(Calendar,O3032,NDays&amp;"D")</f>
        <v>60583</v>
      </c>
      <c r="Q3032" s="81" t="e">
        <v>#N/A</v>
      </c>
      <c r="R3032" s="85" t="e">
        <v>#N/A</v>
      </c>
    </row>
    <row r="3033" spans="14:18" x14ac:dyDescent="0.2">
      <c r="N3033" s="88" t="str">
        <f t="shared" si="53"/>
        <v>1w</v>
      </c>
      <c r="O3033" s="82">
        <f>_xll.qlCalendarAdvance(Calendar,O3032,N3033,"f",FALSE)</f>
        <v>60588</v>
      </c>
      <c r="P3033" s="92">
        <f>_xll.qlCalendarAdvance(Calendar,O3033,NDays&amp;"D")</f>
        <v>60590</v>
      </c>
      <c r="Q3033" s="81" t="e">
        <v>#N/A</v>
      </c>
      <c r="R3033" s="85" t="e">
        <v>#N/A</v>
      </c>
    </row>
    <row r="3034" spans="14:18" x14ac:dyDescent="0.2">
      <c r="N3034" s="88" t="str">
        <f t="shared" si="53"/>
        <v>1w</v>
      </c>
      <c r="O3034" s="82">
        <f>_xll.qlCalendarAdvance(Calendar,O3033,N3034,"f",FALSE)</f>
        <v>60595</v>
      </c>
      <c r="P3034" s="92">
        <f>_xll.qlCalendarAdvance(Calendar,O3034,NDays&amp;"D")</f>
        <v>60597</v>
      </c>
      <c r="Q3034" s="81" t="e">
        <v>#N/A</v>
      </c>
      <c r="R3034" s="85" t="e">
        <v>#N/A</v>
      </c>
    </row>
    <row r="3035" spans="14:18" x14ac:dyDescent="0.2">
      <c r="N3035" s="88" t="str">
        <f t="shared" si="53"/>
        <v>1w</v>
      </c>
      <c r="O3035" s="82">
        <f>_xll.qlCalendarAdvance(Calendar,O3034,N3035,"f",FALSE)</f>
        <v>60602</v>
      </c>
      <c r="P3035" s="92">
        <f>_xll.qlCalendarAdvance(Calendar,O3035,NDays&amp;"D")</f>
        <v>60604</v>
      </c>
      <c r="Q3035" s="81" t="e">
        <v>#N/A</v>
      </c>
      <c r="R3035" s="85" t="e">
        <v>#N/A</v>
      </c>
    </row>
    <row r="3036" spans="14:18" x14ac:dyDescent="0.2">
      <c r="N3036" s="88" t="str">
        <f t="shared" si="53"/>
        <v>1w</v>
      </c>
      <c r="O3036" s="82">
        <f>_xll.qlCalendarAdvance(Calendar,O3035,N3036,"f",FALSE)</f>
        <v>60609</v>
      </c>
      <c r="P3036" s="92">
        <f>_xll.qlCalendarAdvance(Calendar,O3036,NDays&amp;"D")</f>
        <v>60611</v>
      </c>
      <c r="Q3036" s="81" t="e">
        <v>#N/A</v>
      </c>
      <c r="R3036" s="85" t="e">
        <v>#N/A</v>
      </c>
    </row>
    <row r="3037" spans="14:18" x14ac:dyDescent="0.2">
      <c r="N3037" s="88" t="str">
        <f t="shared" si="53"/>
        <v>1w</v>
      </c>
      <c r="O3037" s="82">
        <f>_xll.qlCalendarAdvance(Calendar,O3036,N3037,"f",FALSE)</f>
        <v>60616</v>
      </c>
      <c r="P3037" s="92">
        <f>_xll.qlCalendarAdvance(Calendar,O3037,NDays&amp;"D")</f>
        <v>60618</v>
      </c>
      <c r="Q3037" s="81" t="e">
        <v>#N/A</v>
      </c>
      <c r="R3037" s="85" t="e">
        <v>#N/A</v>
      </c>
    </row>
    <row r="3038" spans="14:18" x14ac:dyDescent="0.2">
      <c r="N3038" s="88" t="str">
        <f t="shared" si="53"/>
        <v>1w</v>
      </c>
      <c r="O3038" s="82">
        <f>_xll.qlCalendarAdvance(Calendar,O3037,N3038,"f",FALSE)</f>
        <v>60623</v>
      </c>
      <c r="P3038" s="92">
        <f>_xll.qlCalendarAdvance(Calendar,O3038,NDays&amp;"D")</f>
        <v>60629</v>
      </c>
      <c r="Q3038" s="81" t="e">
        <v>#N/A</v>
      </c>
      <c r="R3038" s="85" t="e">
        <v>#N/A</v>
      </c>
    </row>
    <row r="3039" spans="14:18" x14ac:dyDescent="0.2">
      <c r="N3039" s="88" t="str">
        <f t="shared" si="53"/>
        <v>1w</v>
      </c>
      <c r="O3039" s="82">
        <f>_xll.qlCalendarAdvance(Calendar,O3038,N3039,"f",FALSE)</f>
        <v>60630</v>
      </c>
      <c r="P3039" s="92">
        <f>_xll.qlCalendarAdvance(Calendar,O3039,NDays&amp;"D")</f>
        <v>60636</v>
      </c>
      <c r="Q3039" s="81" t="e">
        <v>#N/A</v>
      </c>
      <c r="R3039" s="85" t="e">
        <v>#N/A</v>
      </c>
    </row>
    <row r="3040" spans="14:18" x14ac:dyDescent="0.2">
      <c r="N3040" s="88" t="str">
        <f t="shared" si="53"/>
        <v>1w</v>
      </c>
      <c r="O3040" s="82">
        <f>_xll.qlCalendarAdvance(Calendar,O3039,N3040,"f",FALSE)</f>
        <v>60637</v>
      </c>
      <c r="P3040" s="92">
        <f>_xll.qlCalendarAdvance(Calendar,O3040,NDays&amp;"D")</f>
        <v>60640</v>
      </c>
      <c r="Q3040" s="81" t="e">
        <v>#N/A</v>
      </c>
      <c r="R3040" s="85" t="e">
        <v>#N/A</v>
      </c>
    </row>
    <row r="3041" spans="14:18" x14ac:dyDescent="0.2">
      <c r="N3041" s="88" t="str">
        <f t="shared" si="53"/>
        <v>1w</v>
      </c>
      <c r="O3041" s="82">
        <f>_xll.qlCalendarAdvance(Calendar,O3040,N3041,"f",FALSE)</f>
        <v>60644</v>
      </c>
      <c r="P3041" s="92">
        <f>_xll.qlCalendarAdvance(Calendar,O3041,NDays&amp;"D")</f>
        <v>60646</v>
      </c>
      <c r="Q3041" s="81" t="e">
        <v>#N/A</v>
      </c>
      <c r="R3041" s="85" t="e">
        <v>#N/A</v>
      </c>
    </row>
    <row r="3042" spans="14:18" x14ac:dyDescent="0.2">
      <c r="N3042" s="88" t="str">
        <f t="shared" si="53"/>
        <v>1w</v>
      </c>
      <c r="O3042" s="82">
        <f>_xll.qlCalendarAdvance(Calendar,O3041,N3042,"f",FALSE)</f>
        <v>60651</v>
      </c>
      <c r="P3042" s="92">
        <f>_xll.qlCalendarAdvance(Calendar,O3042,NDays&amp;"D")</f>
        <v>60653</v>
      </c>
      <c r="Q3042" s="81" t="e">
        <v>#N/A</v>
      </c>
      <c r="R3042" s="85" t="e">
        <v>#N/A</v>
      </c>
    </row>
    <row r="3043" spans="14:18" x14ac:dyDescent="0.2">
      <c r="N3043" s="88" t="str">
        <f t="shared" si="53"/>
        <v>1w</v>
      </c>
      <c r="O3043" s="82">
        <f>_xll.qlCalendarAdvance(Calendar,O3042,N3043,"f",FALSE)</f>
        <v>60658</v>
      </c>
      <c r="P3043" s="92">
        <f>_xll.qlCalendarAdvance(Calendar,O3043,NDays&amp;"D")</f>
        <v>60660</v>
      </c>
      <c r="Q3043" s="81" t="e">
        <v>#N/A</v>
      </c>
      <c r="R3043" s="85" t="e">
        <v>#N/A</v>
      </c>
    </row>
    <row r="3044" spans="14:18" x14ac:dyDescent="0.2">
      <c r="N3044" s="88" t="str">
        <f t="shared" si="53"/>
        <v>1w</v>
      </c>
      <c r="O3044" s="82">
        <f>_xll.qlCalendarAdvance(Calendar,O3043,N3044,"f",FALSE)</f>
        <v>60665</v>
      </c>
      <c r="P3044" s="92">
        <f>_xll.qlCalendarAdvance(Calendar,O3044,NDays&amp;"D")</f>
        <v>60667</v>
      </c>
      <c r="Q3044" s="81" t="e">
        <v>#N/A</v>
      </c>
      <c r="R3044" s="85" t="e">
        <v>#N/A</v>
      </c>
    </row>
    <row r="3045" spans="14:18" x14ac:dyDescent="0.2">
      <c r="N3045" s="88" t="str">
        <f t="shared" si="53"/>
        <v>1w</v>
      </c>
      <c r="O3045" s="82">
        <f>_xll.qlCalendarAdvance(Calendar,O3044,N3045,"f",FALSE)</f>
        <v>60672</v>
      </c>
      <c r="P3045" s="92">
        <f>_xll.qlCalendarAdvance(Calendar,O3045,NDays&amp;"D")</f>
        <v>60674</v>
      </c>
      <c r="Q3045" s="81" t="e">
        <v>#N/A</v>
      </c>
      <c r="R3045" s="85" t="e">
        <v>#N/A</v>
      </c>
    </row>
    <row r="3046" spans="14:18" x14ac:dyDescent="0.2">
      <c r="N3046" s="88" t="str">
        <f t="shared" si="53"/>
        <v>1w</v>
      </c>
      <c r="O3046" s="82">
        <f>_xll.qlCalendarAdvance(Calendar,O3045,N3046,"f",FALSE)</f>
        <v>60679</v>
      </c>
      <c r="P3046" s="92">
        <f>_xll.qlCalendarAdvance(Calendar,O3046,NDays&amp;"D")</f>
        <v>60681</v>
      </c>
      <c r="Q3046" s="81" t="e">
        <v>#N/A</v>
      </c>
      <c r="R3046" s="85" t="e">
        <v>#N/A</v>
      </c>
    </row>
    <row r="3047" spans="14:18" x14ac:dyDescent="0.2">
      <c r="N3047" s="88" t="str">
        <f t="shared" si="53"/>
        <v>1w</v>
      </c>
      <c r="O3047" s="82">
        <f>_xll.qlCalendarAdvance(Calendar,O3046,N3047,"f",FALSE)</f>
        <v>60686</v>
      </c>
      <c r="P3047" s="92">
        <f>_xll.qlCalendarAdvance(Calendar,O3047,NDays&amp;"D")</f>
        <v>60688</v>
      </c>
      <c r="Q3047" s="81" t="e">
        <v>#N/A</v>
      </c>
      <c r="R3047" s="85" t="e">
        <v>#N/A</v>
      </c>
    </row>
    <row r="3048" spans="14:18" x14ac:dyDescent="0.2">
      <c r="N3048" s="88" t="str">
        <f t="shared" si="53"/>
        <v>1w</v>
      </c>
      <c r="O3048" s="82">
        <f>_xll.qlCalendarAdvance(Calendar,O3047,N3048,"f",FALSE)</f>
        <v>60693</v>
      </c>
      <c r="P3048" s="92">
        <f>_xll.qlCalendarAdvance(Calendar,O3048,NDays&amp;"D")</f>
        <v>60695</v>
      </c>
      <c r="Q3048" s="81" t="e">
        <v>#N/A</v>
      </c>
      <c r="R3048" s="85" t="e">
        <v>#N/A</v>
      </c>
    </row>
    <row r="3049" spans="14:18" x14ac:dyDescent="0.2">
      <c r="N3049" s="88" t="str">
        <f t="shared" si="53"/>
        <v>1w</v>
      </c>
      <c r="O3049" s="82">
        <f>_xll.qlCalendarAdvance(Calendar,O3048,N3049,"f",FALSE)</f>
        <v>60700</v>
      </c>
      <c r="P3049" s="92">
        <f>_xll.qlCalendarAdvance(Calendar,O3049,NDays&amp;"D")</f>
        <v>60702</v>
      </c>
      <c r="Q3049" s="81" t="e">
        <v>#N/A</v>
      </c>
      <c r="R3049" s="85" t="e">
        <v>#N/A</v>
      </c>
    </row>
    <row r="3050" spans="14:18" x14ac:dyDescent="0.2">
      <c r="N3050" s="88" t="str">
        <f t="shared" si="53"/>
        <v>1w</v>
      </c>
      <c r="O3050" s="82">
        <f>_xll.qlCalendarAdvance(Calendar,O3049,N3050,"f",FALSE)</f>
        <v>60707</v>
      </c>
      <c r="P3050" s="92">
        <f>_xll.qlCalendarAdvance(Calendar,O3050,NDays&amp;"D")</f>
        <v>60709</v>
      </c>
      <c r="Q3050" s="81" t="e">
        <v>#N/A</v>
      </c>
      <c r="R3050" s="85" t="e">
        <v>#N/A</v>
      </c>
    </row>
    <row r="3051" spans="14:18" x14ac:dyDescent="0.2">
      <c r="N3051" s="88" t="str">
        <f t="shared" si="53"/>
        <v>1w</v>
      </c>
      <c r="O3051" s="82">
        <f>_xll.qlCalendarAdvance(Calendar,O3050,N3051,"f",FALSE)</f>
        <v>60714</v>
      </c>
      <c r="P3051" s="92">
        <f>_xll.qlCalendarAdvance(Calendar,O3051,NDays&amp;"D")</f>
        <v>60716</v>
      </c>
      <c r="Q3051" s="81" t="e">
        <v>#N/A</v>
      </c>
      <c r="R3051" s="85" t="e">
        <v>#N/A</v>
      </c>
    </row>
    <row r="3052" spans="14:18" x14ac:dyDescent="0.2">
      <c r="N3052" s="88" t="str">
        <f t="shared" si="53"/>
        <v>1w</v>
      </c>
      <c r="O3052" s="82">
        <f>_xll.qlCalendarAdvance(Calendar,O3051,N3052,"f",FALSE)</f>
        <v>60721</v>
      </c>
      <c r="P3052" s="92">
        <f>_xll.qlCalendarAdvance(Calendar,O3052,NDays&amp;"D")</f>
        <v>60723</v>
      </c>
      <c r="Q3052" s="81" t="e">
        <v>#N/A</v>
      </c>
      <c r="R3052" s="85" t="e">
        <v>#N/A</v>
      </c>
    </row>
    <row r="3053" spans="14:18" x14ac:dyDescent="0.2">
      <c r="N3053" s="88" t="str">
        <f t="shared" si="53"/>
        <v>1w</v>
      </c>
      <c r="O3053" s="82">
        <f>_xll.qlCalendarAdvance(Calendar,O3052,N3053,"f",FALSE)</f>
        <v>60728</v>
      </c>
      <c r="P3053" s="92">
        <f>_xll.qlCalendarAdvance(Calendar,O3053,NDays&amp;"D")</f>
        <v>60730</v>
      </c>
      <c r="Q3053" s="81" t="e">
        <v>#N/A</v>
      </c>
      <c r="R3053" s="85" t="e">
        <v>#N/A</v>
      </c>
    </row>
    <row r="3054" spans="14:18" x14ac:dyDescent="0.2">
      <c r="N3054" s="88" t="str">
        <f t="shared" si="53"/>
        <v>1w</v>
      </c>
      <c r="O3054" s="82">
        <f>_xll.qlCalendarAdvance(Calendar,O3053,N3054,"f",FALSE)</f>
        <v>60735</v>
      </c>
      <c r="P3054" s="92">
        <f>_xll.qlCalendarAdvance(Calendar,O3054,NDays&amp;"D")</f>
        <v>60737</v>
      </c>
      <c r="Q3054" s="81" t="e">
        <v>#N/A</v>
      </c>
      <c r="R3054" s="85" t="e">
        <v>#N/A</v>
      </c>
    </row>
    <row r="3055" spans="14:18" x14ac:dyDescent="0.2">
      <c r="N3055" s="88" t="str">
        <f t="shared" si="53"/>
        <v>1w</v>
      </c>
      <c r="O3055" s="82">
        <f>_xll.qlCalendarAdvance(Calendar,O3054,N3055,"f",FALSE)</f>
        <v>60742</v>
      </c>
      <c r="P3055" s="92">
        <f>_xll.qlCalendarAdvance(Calendar,O3055,NDays&amp;"D")</f>
        <v>60744</v>
      </c>
      <c r="Q3055" s="81" t="e">
        <v>#N/A</v>
      </c>
      <c r="R3055" s="85" t="e">
        <v>#N/A</v>
      </c>
    </row>
    <row r="3056" spans="14:18" x14ac:dyDescent="0.2">
      <c r="N3056" s="88" t="str">
        <f t="shared" si="53"/>
        <v>1w</v>
      </c>
      <c r="O3056" s="82">
        <f>_xll.qlCalendarAdvance(Calendar,O3055,N3056,"f",FALSE)</f>
        <v>60749</v>
      </c>
      <c r="P3056" s="92">
        <f>_xll.qlCalendarAdvance(Calendar,O3056,NDays&amp;"D")</f>
        <v>60751</v>
      </c>
      <c r="Q3056" s="81" t="e">
        <v>#N/A</v>
      </c>
      <c r="R3056" s="85" t="e">
        <v>#N/A</v>
      </c>
    </row>
    <row r="3057" spans="14:18" x14ac:dyDescent="0.2">
      <c r="N3057" s="88" t="str">
        <f t="shared" si="53"/>
        <v>1w</v>
      </c>
      <c r="O3057" s="82">
        <f>_xll.qlCalendarAdvance(Calendar,O3056,N3057,"f",FALSE)</f>
        <v>60756</v>
      </c>
      <c r="P3057" s="92">
        <f>_xll.qlCalendarAdvance(Calendar,O3057,NDays&amp;"D")</f>
        <v>60758</v>
      </c>
      <c r="Q3057" s="81" t="e">
        <v>#N/A</v>
      </c>
      <c r="R3057" s="85" t="e">
        <v>#N/A</v>
      </c>
    </row>
    <row r="3058" spans="14:18" x14ac:dyDescent="0.2">
      <c r="N3058" s="88" t="str">
        <f t="shared" si="53"/>
        <v>1w</v>
      </c>
      <c r="O3058" s="82">
        <f>_xll.qlCalendarAdvance(Calendar,O3057,N3058,"f",FALSE)</f>
        <v>60763</v>
      </c>
      <c r="P3058" s="92">
        <f>_xll.qlCalendarAdvance(Calendar,O3058,NDays&amp;"D")</f>
        <v>60765</v>
      </c>
      <c r="Q3058" s="81" t="e">
        <v>#N/A</v>
      </c>
      <c r="R3058" s="85" t="e">
        <v>#N/A</v>
      </c>
    </row>
    <row r="3059" spans="14:18" x14ac:dyDescent="0.2">
      <c r="N3059" s="88" t="str">
        <f t="shared" si="53"/>
        <v>1w</v>
      </c>
      <c r="O3059" s="82">
        <f>_xll.qlCalendarAdvance(Calendar,O3058,N3059,"f",FALSE)</f>
        <v>60770</v>
      </c>
      <c r="P3059" s="92">
        <f>_xll.qlCalendarAdvance(Calendar,O3059,NDays&amp;"D")</f>
        <v>60773</v>
      </c>
      <c r="Q3059" s="81" t="e">
        <v>#N/A</v>
      </c>
      <c r="R3059" s="85" t="e">
        <v>#N/A</v>
      </c>
    </row>
    <row r="3060" spans="14:18" x14ac:dyDescent="0.2">
      <c r="N3060" s="88" t="str">
        <f t="shared" si="53"/>
        <v>1w</v>
      </c>
      <c r="O3060" s="82">
        <f>_xll.qlCalendarAdvance(Calendar,O3059,N3060,"f",FALSE)</f>
        <v>60777</v>
      </c>
      <c r="P3060" s="92">
        <f>_xll.qlCalendarAdvance(Calendar,O3060,NDays&amp;"D")</f>
        <v>60779</v>
      </c>
      <c r="Q3060" s="81" t="e">
        <v>#N/A</v>
      </c>
      <c r="R3060" s="85" t="e">
        <v>#N/A</v>
      </c>
    </row>
    <row r="3061" spans="14:18" x14ac:dyDescent="0.2">
      <c r="N3061" s="88" t="str">
        <f t="shared" si="53"/>
        <v>1w</v>
      </c>
      <c r="O3061" s="82">
        <f>_xll.qlCalendarAdvance(Calendar,O3060,N3061,"f",FALSE)</f>
        <v>60784</v>
      </c>
      <c r="P3061" s="92">
        <f>_xll.qlCalendarAdvance(Calendar,O3061,NDays&amp;"D")</f>
        <v>60786</v>
      </c>
      <c r="Q3061" s="81" t="e">
        <v>#N/A</v>
      </c>
      <c r="R3061" s="85" t="e">
        <v>#N/A</v>
      </c>
    </row>
    <row r="3062" spans="14:18" x14ac:dyDescent="0.2">
      <c r="N3062" s="88" t="str">
        <f t="shared" si="53"/>
        <v>1w</v>
      </c>
      <c r="O3062" s="82">
        <f>_xll.qlCalendarAdvance(Calendar,O3061,N3062,"f",FALSE)</f>
        <v>60791</v>
      </c>
      <c r="P3062" s="92">
        <f>_xll.qlCalendarAdvance(Calendar,O3062,NDays&amp;"D")</f>
        <v>60793</v>
      </c>
      <c r="Q3062" s="81" t="e">
        <v>#N/A</v>
      </c>
      <c r="R3062" s="85" t="e">
        <v>#N/A</v>
      </c>
    </row>
    <row r="3063" spans="14:18" x14ac:dyDescent="0.2">
      <c r="N3063" s="88" t="str">
        <f t="shared" si="53"/>
        <v>1w</v>
      </c>
      <c r="O3063" s="82">
        <f>_xll.qlCalendarAdvance(Calendar,O3062,N3063,"f",FALSE)</f>
        <v>60798</v>
      </c>
      <c r="P3063" s="92">
        <f>_xll.qlCalendarAdvance(Calendar,O3063,NDays&amp;"D")</f>
        <v>60800</v>
      </c>
      <c r="Q3063" s="81" t="e">
        <v>#N/A</v>
      </c>
      <c r="R3063" s="85" t="e">
        <v>#N/A</v>
      </c>
    </row>
    <row r="3064" spans="14:18" x14ac:dyDescent="0.2">
      <c r="N3064" s="88" t="str">
        <f t="shared" si="53"/>
        <v>1w</v>
      </c>
      <c r="O3064" s="82">
        <f>_xll.qlCalendarAdvance(Calendar,O3063,N3064,"f",FALSE)</f>
        <v>60805</v>
      </c>
      <c r="P3064" s="92">
        <f>_xll.qlCalendarAdvance(Calendar,O3064,NDays&amp;"D")</f>
        <v>60807</v>
      </c>
      <c r="Q3064" s="81" t="e">
        <v>#N/A</v>
      </c>
      <c r="R3064" s="85" t="e">
        <v>#N/A</v>
      </c>
    </row>
    <row r="3065" spans="14:18" x14ac:dyDescent="0.2">
      <c r="N3065" s="88" t="str">
        <f t="shared" si="53"/>
        <v>1w</v>
      </c>
      <c r="O3065" s="82">
        <f>_xll.qlCalendarAdvance(Calendar,O3064,N3065,"f",FALSE)</f>
        <v>60812</v>
      </c>
      <c r="P3065" s="92">
        <f>_xll.qlCalendarAdvance(Calendar,O3065,NDays&amp;"D")</f>
        <v>60814</v>
      </c>
      <c r="Q3065" s="81" t="e">
        <v>#N/A</v>
      </c>
      <c r="R3065" s="85" t="e">
        <v>#N/A</v>
      </c>
    </row>
    <row r="3066" spans="14:18" x14ac:dyDescent="0.2">
      <c r="N3066" s="88" t="str">
        <f t="shared" si="53"/>
        <v>1w</v>
      </c>
      <c r="O3066" s="82">
        <f>_xll.qlCalendarAdvance(Calendar,O3065,N3066,"f",FALSE)</f>
        <v>60819</v>
      </c>
      <c r="P3066" s="92">
        <f>_xll.qlCalendarAdvance(Calendar,O3066,NDays&amp;"D")</f>
        <v>60821</v>
      </c>
      <c r="Q3066" s="81" t="e">
        <v>#N/A</v>
      </c>
      <c r="R3066" s="85" t="e">
        <v>#N/A</v>
      </c>
    </row>
    <row r="3067" spans="14:18" x14ac:dyDescent="0.2">
      <c r="N3067" s="88" t="str">
        <f t="shared" si="53"/>
        <v>1w</v>
      </c>
      <c r="O3067" s="82">
        <f>_xll.qlCalendarAdvance(Calendar,O3066,N3067,"f",FALSE)</f>
        <v>60826</v>
      </c>
      <c r="P3067" s="92">
        <f>_xll.qlCalendarAdvance(Calendar,O3067,NDays&amp;"D")</f>
        <v>60828</v>
      </c>
      <c r="Q3067" s="81" t="e">
        <v>#N/A</v>
      </c>
      <c r="R3067" s="85" t="e">
        <v>#N/A</v>
      </c>
    </row>
    <row r="3068" spans="14:18" x14ac:dyDescent="0.2">
      <c r="N3068" s="88" t="str">
        <f t="shared" si="53"/>
        <v>1w</v>
      </c>
      <c r="O3068" s="82">
        <f>_xll.qlCalendarAdvance(Calendar,O3067,N3068,"f",FALSE)</f>
        <v>60833</v>
      </c>
      <c r="P3068" s="92">
        <f>_xll.qlCalendarAdvance(Calendar,O3068,NDays&amp;"D")</f>
        <v>60835</v>
      </c>
      <c r="Q3068" s="81" t="e">
        <v>#N/A</v>
      </c>
      <c r="R3068" s="85" t="e">
        <v>#N/A</v>
      </c>
    </row>
    <row r="3069" spans="14:18" x14ac:dyDescent="0.2">
      <c r="N3069" s="88" t="str">
        <f t="shared" si="53"/>
        <v>1w</v>
      </c>
      <c r="O3069" s="82">
        <f>_xll.qlCalendarAdvance(Calendar,O3068,N3069,"f",FALSE)</f>
        <v>60840</v>
      </c>
      <c r="P3069" s="92">
        <f>_xll.qlCalendarAdvance(Calendar,O3069,NDays&amp;"D")</f>
        <v>60842</v>
      </c>
      <c r="Q3069" s="81" t="e">
        <v>#N/A</v>
      </c>
      <c r="R3069" s="85" t="e">
        <v>#N/A</v>
      </c>
    </row>
    <row r="3070" spans="14:18" x14ac:dyDescent="0.2">
      <c r="N3070" s="88" t="str">
        <f t="shared" si="53"/>
        <v>1w</v>
      </c>
      <c r="O3070" s="82">
        <f>_xll.qlCalendarAdvance(Calendar,O3069,N3070,"f",FALSE)</f>
        <v>60847</v>
      </c>
      <c r="P3070" s="92">
        <f>_xll.qlCalendarAdvance(Calendar,O3070,NDays&amp;"D")</f>
        <v>60849</v>
      </c>
      <c r="Q3070" s="81" t="e">
        <v>#N/A</v>
      </c>
      <c r="R3070" s="85" t="e">
        <v>#N/A</v>
      </c>
    </row>
    <row r="3071" spans="14:18" x14ac:dyDescent="0.2">
      <c r="N3071" s="88" t="str">
        <f t="shared" si="53"/>
        <v>1w</v>
      </c>
      <c r="O3071" s="82">
        <f>_xll.qlCalendarAdvance(Calendar,O3070,N3071,"f",FALSE)</f>
        <v>60854</v>
      </c>
      <c r="P3071" s="92">
        <f>_xll.qlCalendarAdvance(Calendar,O3071,NDays&amp;"D")</f>
        <v>60856</v>
      </c>
      <c r="Q3071" s="81" t="e">
        <v>#N/A</v>
      </c>
      <c r="R3071" s="85" t="e">
        <v>#N/A</v>
      </c>
    </row>
    <row r="3072" spans="14:18" x14ac:dyDescent="0.2">
      <c r="N3072" s="88" t="str">
        <f t="shared" si="53"/>
        <v>1w</v>
      </c>
      <c r="O3072" s="82">
        <f>_xll.qlCalendarAdvance(Calendar,O3071,N3072,"f",FALSE)</f>
        <v>60861</v>
      </c>
      <c r="P3072" s="92">
        <f>_xll.qlCalendarAdvance(Calendar,O3072,NDays&amp;"D")</f>
        <v>60863</v>
      </c>
      <c r="Q3072" s="81" t="e">
        <v>#N/A</v>
      </c>
      <c r="R3072" s="85" t="e">
        <v>#N/A</v>
      </c>
    </row>
    <row r="3073" spans="14:18" x14ac:dyDescent="0.2">
      <c r="N3073" s="88" t="str">
        <f t="shared" si="53"/>
        <v>1w</v>
      </c>
      <c r="O3073" s="82">
        <f>_xll.qlCalendarAdvance(Calendar,O3072,N3073,"f",FALSE)</f>
        <v>60868</v>
      </c>
      <c r="P3073" s="92">
        <f>_xll.qlCalendarAdvance(Calendar,O3073,NDays&amp;"D")</f>
        <v>60870</v>
      </c>
      <c r="Q3073" s="81" t="e">
        <v>#N/A</v>
      </c>
      <c r="R3073" s="85" t="e">
        <v>#N/A</v>
      </c>
    </row>
    <row r="3074" spans="14:18" x14ac:dyDescent="0.2">
      <c r="N3074" s="88" t="str">
        <f t="shared" si="53"/>
        <v>1w</v>
      </c>
      <c r="O3074" s="82">
        <f>_xll.qlCalendarAdvance(Calendar,O3073,N3074,"f",FALSE)</f>
        <v>60875</v>
      </c>
      <c r="P3074" s="92">
        <f>_xll.qlCalendarAdvance(Calendar,O3074,NDays&amp;"D")</f>
        <v>60877</v>
      </c>
      <c r="Q3074" s="81" t="e">
        <v>#N/A</v>
      </c>
      <c r="R3074" s="85" t="e">
        <v>#N/A</v>
      </c>
    </row>
    <row r="3075" spans="14:18" x14ac:dyDescent="0.2">
      <c r="N3075" s="88" t="str">
        <f t="shared" si="53"/>
        <v>1w</v>
      </c>
      <c r="O3075" s="82">
        <f>_xll.qlCalendarAdvance(Calendar,O3074,N3075,"f",FALSE)</f>
        <v>60882</v>
      </c>
      <c r="P3075" s="92">
        <f>_xll.qlCalendarAdvance(Calendar,O3075,NDays&amp;"D")</f>
        <v>60884</v>
      </c>
      <c r="Q3075" s="81" t="e">
        <v>#N/A</v>
      </c>
      <c r="R3075" s="85" t="e">
        <v>#N/A</v>
      </c>
    </row>
    <row r="3076" spans="14:18" x14ac:dyDescent="0.2">
      <c r="N3076" s="88" t="str">
        <f t="shared" si="53"/>
        <v>1w</v>
      </c>
      <c r="O3076" s="82">
        <f>_xll.qlCalendarAdvance(Calendar,O3075,N3076,"f",FALSE)</f>
        <v>60889</v>
      </c>
      <c r="P3076" s="92">
        <f>_xll.qlCalendarAdvance(Calendar,O3076,NDays&amp;"D")</f>
        <v>60891</v>
      </c>
      <c r="Q3076" s="81" t="e">
        <v>#N/A</v>
      </c>
      <c r="R3076" s="85" t="e">
        <v>#N/A</v>
      </c>
    </row>
    <row r="3077" spans="14:18" x14ac:dyDescent="0.2">
      <c r="N3077" s="88" t="str">
        <f t="shared" si="53"/>
        <v>1w</v>
      </c>
      <c r="O3077" s="82">
        <f>_xll.qlCalendarAdvance(Calendar,O3076,N3077,"f",FALSE)</f>
        <v>60896</v>
      </c>
      <c r="P3077" s="92">
        <f>_xll.qlCalendarAdvance(Calendar,O3077,NDays&amp;"D")</f>
        <v>60898</v>
      </c>
      <c r="Q3077" s="81" t="e">
        <v>#N/A</v>
      </c>
      <c r="R3077" s="85" t="e">
        <v>#N/A</v>
      </c>
    </row>
    <row r="3078" spans="14:18" x14ac:dyDescent="0.2">
      <c r="N3078" s="88" t="str">
        <f t="shared" si="53"/>
        <v>1w</v>
      </c>
      <c r="O3078" s="82">
        <f>_xll.qlCalendarAdvance(Calendar,O3077,N3078,"f",FALSE)</f>
        <v>60903</v>
      </c>
      <c r="P3078" s="92">
        <f>_xll.qlCalendarAdvance(Calendar,O3078,NDays&amp;"D")</f>
        <v>60905</v>
      </c>
      <c r="Q3078" s="81" t="e">
        <v>#N/A</v>
      </c>
      <c r="R3078" s="85" t="e">
        <v>#N/A</v>
      </c>
    </row>
    <row r="3079" spans="14:18" x14ac:dyDescent="0.2">
      <c r="N3079" s="88" t="str">
        <f t="shared" si="53"/>
        <v>1w</v>
      </c>
      <c r="O3079" s="82">
        <f>_xll.qlCalendarAdvance(Calendar,O3078,N3079,"f",FALSE)</f>
        <v>60910</v>
      </c>
      <c r="P3079" s="92">
        <f>_xll.qlCalendarAdvance(Calendar,O3079,NDays&amp;"D")</f>
        <v>60912</v>
      </c>
      <c r="Q3079" s="81" t="e">
        <v>#N/A</v>
      </c>
      <c r="R3079" s="85" t="e">
        <v>#N/A</v>
      </c>
    </row>
    <row r="3080" spans="14:18" x14ac:dyDescent="0.2">
      <c r="N3080" s="88" t="str">
        <f t="shared" si="53"/>
        <v>1w</v>
      </c>
      <c r="O3080" s="82">
        <f>_xll.qlCalendarAdvance(Calendar,O3079,N3080,"f",FALSE)</f>
        <v>60917</v>
      </c>
      <c r="P3080" s="92">
        <f>_xll.qlCalendarAdvance(Calendar,O3080,NDays&amp;"D")</f>
        <v>60919</v>
      </c>
      <c r="Q3080" s="81" t="e">
        <v>#N/A</v>
      </c>
      <c r="R3080" s="85" t="e">
        <v>#N/A</v>
      </c>
    </row>
    <row r="3081" spans="14:18" x14ac:dyDescent="0.2">
      <c r="N3081" s="88" t="str">
        <f t="shared" si="53"/>
        <v>1w</v>
      </c>
      <c r="O3081" s="82">
        <f>_xll.qlCalendarAdvance(Calendar,O3080,N3081,"f",FALSE)</f>
        <v>60924</v>
      </c>
      <c r="P3081" s="92">
        <f>_xll.qlCalendarAdvance(Calendar,O3081,NDays&amp;"D")</f>
        <v>60926</v>
      </c>
      <c r="Q3081" s="81" t="e">
        <v>#N/A</v>
      </c>
      <c r="R3081" s="85" t="e">
        <v>#N/A</v>
      </c>
    </row>
    <row r="3082" spans="14:18" x14ac:dyDescent="0.2">
      <c r="N3082" s="88" t="str">
        <f t="shared" si="53"/>
        <v>1w</v>
      </c>
      <c r="O3082" s="82">
        <f>_xll.qlCalendarAdvance(Calendar,O3081,N3082,"f",FALSE)</f>
        <v>60931</v>
      </c>
      <c r="P3082" s="92">
        <f>_xll.qlCalendarAdvance(Calendar,O3082,NDays&amp;"D")</f>
        <v>60933</v>
      </c>
      <c r="Q3082" s="81" t="e">
        <v>#N/A</v>
      </c>
      <c r="R3082" s="85" t="e">
        <v>#N/A</v>
      </c>
    </row>
    <row r="3083" spans="14:18" x14ac:dyDescent="0.2">
      <c r="N3083" s="88" t="str">
        <f t="shared" si="53"/>
        <v>1w</v>
      </c>
      <c r="O3083" s="82">
        <f>_xll.qlCalendarAdvance(Calendar,O3082,N3083,"f",FALSE)</f>
        <v>60938</v>
      </c>
      <c r="P3083" s="92">
        <f>_xll.qlCalendarAdvance(Calendar,O3083,NDays&amp;"D")</f>
        <v>60940</v>
      </c>
      <c r="Q3083" s="81" t="e">
        <v>#N/A</v>
      </c>
      <c r="R3083" s="85" t="e">
        <v>#N/A</v>
      </c>
    </row>
    <row r="3084" spans="14:18" x14ac:dyDescent="0.2">
      <c r="N3084" s="88" t="str">
        <f t="shared" si="53"/>
        <v>1w</v>
      </c>
      <c r="O3084" s="82">
        <f>_xll.qlCalendarAdvance(Calendar,O3083,N3084,"f",FALSE)</f>
        <v>60945</v>
      </c>
      <c r="P3084" s="92">
        <f>_xll.qlCalendarAdvance(Calendar,O3084,NDays&amp;"D")</f>
        <v>60947</v>
      </c>
      <c r="Q3084" s="81" t="e">
        <v>#N/A</v>
      </c>
      <c r="R3084" s="85" t="e">
        <v>#N/A</v>
      </c>
    </row>
    <row r="3085" spans="14:18" x14ac:dyDescent="0.2">
      <c r="N3085" s="88" t="str">
        <f t="shared" si="53"/>
        <v>1w</v>
      </c>
      <c r="O3085" s="82">
        <f>_xll.qlCalendarAdvance(Calendar,O3084,N3085,"f",FALSE)</f>
        <v>60952</v>
      </c>
      <c r="P3085" s="92">
        <f>_xll.qlCalendarAdvance(Calendar,O3085,NDays&amp;"D")</f>
        <v>60954</v>
      </c>
      <c r="Q3085" s="81" t="e">
        <v>#N/A</v>
      </c>
      <c r="R3085" s="85" t="e">
        <v>#N/A</v>
      </c>
    </row>
    <row r="3086" spans="14:18" x14ac:dyDescent="0.2">
      <c r="N3086" s="88" t="str">
        <f t="shared" si="53"/>
        <v>1w</v>
      </c>
      <c r="O3086" s="82">
        <f>_xll.qlCalendarAdvance(Calendar,O3085,N3086,"f",FALSE)</f>
        <v>60959</v>
      </c>
      <c r="P3086" s="92">
        <f>_xll.qlCalendarAdvance(Calendar,O3086,NDays&amp;"D")</f>
        <v>60961</v>
      </c>
      <c r="Q3086" s="81" t="e">
        <v>#N/A</v>
      </c>
      <c r="R3086" s="85" t="e">
        <v>#N/A</v>
      </c>
    </row>
    <row r="3087" spans="14:18" x14ac:dyDescent="0.2">
      <c r="N3087" s="88" t="str">
        <f t="shared" si="53"/>
        <v>1w</v>
      </c>
      <c r="O3087" s="82">
        <f>_xll.qlCalendarAdvance(Calendar,O3086,N3087,"f",FALSE)</f>
        <v>60966</v>
      </c>
      <c r="P3087" s="92">
        <f>_xll.qlCalendarAdvance(Calendar,O3087,NDays&amp;"D")</f>
        <v>60968</v>
      </c>
      <c r="Q3087" s="81" t="e">
        <v>#N/A</v>
      </c>
      <c r="R3087" s="85" t="e">
        <v>#N/A</v>
      </c>
    </row>
    <row r="3088" spans="14:18" x14ac:dyDescent="0.2">
      <c r="N3088" s="88" t="str">
        <f t="shared" si="53"/>
        <v>1w</v>
      </c>
      <c r="O3088" s="82">
        <f>_xll.qlCalendarAdvance(Calendar,O3087,N3088,"f",FALSE)</f>
        <v>60973</v>
      </c>
      <c r="P3088" s="92">
        <f>_xll.qlCalendarAdvance(Calendar,O3088,NDays&amp;"D")</f>
        <v>60975</v>
      </c>
      <c r="Q3088" s="81" t="e">
        <v>#N/A</v>
      </c>
      <c r="R3088" s="85" t="e">
        <v>#N/A</v>
      </c>
    </row>
    <row r="3089" spans="14:18" x14ac:dyDescent="0.2">
      <c r="N3089" s="88" t="str">
        <f t="shared" si="53"/>
        <v>1w</v>
      </c>
      <c r="O3089" s="82">
        <f>_xll.qlCalendarAdvance(Calendar,O3088,N3089,"f",FALSE)</f>
        <v>60980</v>
      </c>
      <c r="P3089" s="92">
        <f>_xll.qlCalendarAdvance(Calendar,O3089,NDays&amp;"D")</f>
        <v>60982</v>
      </c>
      <c r="Q3089" s="81" t="e">
        <v>#N/A</v>
      </c>
      <c r="R3089" s="85" t="e">
        <v>#N/A</v>
      </c>
    </row>
    <row r="3090" spans="14:18" x14ac:dyDescent="0.2">
      <c r="N3090" s="88" t="str">
        <f t="shared" si="53"/>
        <v>1w</v>
      </c>
      <c r="O3090" s="82">
        <f>_xll.qlCalendarAdvance(Calendar,O3089,N3090,"f",FALSE)</f>
        <v>60987</v>
      </c>
      <c r="P3090" s="92">
        <f>_xll.qlCalendarAdvance(Calendar,O3090,NDays&amp;"D")</f>
        <v>60989</v>
      </c>
      <c r="Q3090" s="81" t="e">
        <v>#N/A</v>
      </c>
      <c r="R3090" s="85" t="e">
        <v>#N/A</v>
      </c>
    </row>
    <row r="3091" spans="14:18" x14ac:dyDescent="0.2">
      <c r="N3091" s="88" t="str">
        <f t="shared" si="53"/>
        <v>1w</v>
      </c>
      <c r="O3091" s="82">
        <f>_xll.qlCalendarAdvance(Calendar,O3090,N3091,"f",FALSE)</f>
        <v>60994</v>
      </c>
      <c r="P3091" s="92">
        <f>_xll.qlCalendarAdvance(Calendar,O3091,NDays&amp;"D")</f>
        <v>60996</v>
      </c>
      <c r="Q3091" s="81" t="e">
        <v>#N/A</v>
      </c>
      <c r="R3091" s="85" t="e">
        <v>#N/A</v>
      </c>
    </row>
    <row r="3092" spans="14:18" x14ac:dyDescent="0.2">
      <c r="N3092" s="88" t="str">
        <f t="shared" si="53"/>
        <v>1w</v>
      </c>
      <c r="O3092" s="82">
        <f>_xll.qlCalendarAdvance(Calendar,O3091,N3092,"f",FALSE)</f>
        <v>61001</v>
      </c>
      <c r="P3092" s="92">
        <f>_xll.qlCalendarAdvance(Calendar,O3092,NDays&amp;"D")</f>
        <v>61004</v>
      </c>
      <c r="Q3092" s="81" t="e">
        <v>#N/A</v>
      </c>
      <c r="R3092" s="85" t="e">
        <v>#N/A</v>
      </c>
    </row>
    <row r="3093" spans="14:18" x14ac:dyDescent="0.2">
      <c r="N3093" s="88" t="str">
        <f t="shared" ref="N3093:N3156" si="54">N3092</f>
        <v>1w</v>
      </c>
      <c r="O3093" s="82">
        <f>_xll.qlCalendarAdvance(Calendar,O3092,N3093,"f",FALSE)</f>
        <v>61008</v>
      </c>
      <c r="P3093" s="92">
        <f>_xll.qlCalendarAdvance(Calendar,O3093,NDays&amp;"D")</f>
        <v>61010</v>
      </c>
      <c r="Q3093" s="81" t="e">
        <v>#N/A</v>
      </c>
      <c r="R3093" s="85" t="e">
        <v>#N/A</v>
      </c>
    </row>
    <row r="3094" spans="14:18" x14ac:dyDescent="0.2">
      <c r="N3094" s="88" t="str">
        <f t="shared" si="54"/>
        <v>1w</v>
      </c>
      <c r="O3094" s="82">
        <f>_xll.qlCalendarAdvance(Calendar,O3093,N3094,"f",FALSE)</f>
        <v>61015</v>
      </c>
      <c r="P3094" s="92">
        <f>_xll.qlCalendarAdvance(Calendar,O3094,NDays&amp;"D")</f>
        <v>61017</v>
      </c>
      <c r="Q3094" s="81" t="e">
        <v>#N/A</v>
      </c>
      <c r="R3094" s="85" t="e">
        <v>#N/A</v>
      </c>
    </row>
    <row r="3095" spans="14:18" x14ac:dyDescent="0.2">
      <c r="N3095" s="88" t="str">
        <f t="shared" si="54"/>
        <v>1w</v>
      </c>
      <c r="O3095" s="82">
        <f>_xll.qlCalendarAdvance(Calendar,O3094,N3095,"f",FALSE)</f>
        <v>61022</v>
      </c>
      <c r="P3095" s="92">
        <f>_xll.qlCalendarAdvance(Calendar,O3095,NDays&amp;"D")</f>
        <v>61024</v>
      </c>
      <c r="Q3095" s="81" t="e">
        <v>#N/A</v>
      </c>
      <c r="R3095" s="85" t="e">
        <v>#N/A</v>
      </c>
    </row>
    <row r="3096" spans="14:18" x14ac:dyDescent="0.2">
      <c r="N3096" s="88" t="str">
        <f t="shared" si="54"/>
        <v>1w</v>
      </c>
      <c r="O3096" s="82">
        <f>_xll.qlCalendarAdvance(Calendar,O3095,N3096,"f",FALSE)</f>
        <v>61029</v>
      </c>
      <c r="P3096" s="92">
        <f>_xll.qlCalendarAdvance(Calendar,O3096,NDays&amp;"D")</f>
        <v>61031</v>
      </c>
      <c r="Q3096" s="81" t="e">
        <v>#N/A</v>
      </c>
      <c r="R3096" s="85" t="e">
        <v>#N/A</v>
      </c>
    </row>
    <row r="3097" spans="14:18" x14ac:dyDescent="0.2">
      <c r="N3097" s="88" t="str">
        <f t="shared" si="54"/>
        <v>1w</v>
      </c>
      <c r="O3097" s="82">
        <f>_xll.qlCalendarAdvance(Calendar,O3096,N3097,"f",FALSE)</f>
        <v>61036</v>
      </c>
      <c r="P3097" s="92">
        <f>_xll.qlCalendarAdvance(Calendar,O3097,NDays&amp;"D")</f>
        <v>61038</v>
      </c>
      <c r="Q3097" s="81" t="e">
        <v>#N/A</v>
      </c>
      <c r="R3097" s="85" t="e">
        <v>#N/A</v>
      </c>
    </row>
    <row r="3098" spans="14:18" x14ac:dyDescent="0.2">
      <c r="N3098" s="88" t="str">
        <f t="shared" si="54"/>
        <v>1w</v>
      </c>
      <c r="O3098" s="82">
        <f>_xll.qlCalendarAdvance(Calendar,O3097,N3098,"f",FALSE)</f>
        <v>61043</v>
      </c>
      <c r="P3098" s="92">
        <f>_xll.qlCalendarAdvance(Calendar,O3098,NDays&amp;"D")</f>
        <v>61045</v>
      </c>
      <c r="Q3098" s="81" t="e">
        <v>#N/A</v>
      </c>
      <c r="R3098" s="85" t="e">
        <v>#N/A</v>
      </c>
    </row>
    <row r="3099" spans="14:18" x14ac:dyDescent="0.2">
      <c r="N3099" s="88" t="str">
        <f t="shared" si="54"/>
        <v>1w</v>
      </c>
      <c r="O3099" s="82">
        <f>_xll.qlCalendarAdvance(Calendar,O3098,N3099,"f",FALSE)</f>
        <v>61050</v>
      </c>
      <c r="P3099" s="92">
        <f>_xll.qlCalendarAdvance(Calendar,O3099,NDays&amp;"D")</f>
        <v>61052</v>
      </c>
      <c r="Q3099" s="81" t="e">
        <v>#N/A</v>
      </c>
      <c r="R3099" s="85" t="e">
        <v>#N/A</v>
      </c>
    </row>
    <row r="3100" spans="14:18" x14ac:dyDescent="0.2">
      <c r="N3100" s="88" t="str">
        <f t="shared" si="54"/>
        <v>1w</v>
      </c>
      <c r="O3100" s="82">
        <f>_xll.qlCalendarAdvance(Calendar,O3099,N3100,"f",FALSE)</f>
        <v>61057</v>
      </c>
      <c r="P3100" s="92">
        <f>_xll.qlCalendarAdvance(Calendar,O3100,NDays&amp;"D")</f>
        <v>61059</v>
      </c>
      <c r="Q3100" s="81" t="e">
        <v>#N/A</v>
      </c>
      <c r="R3100" s="85" t="e">
        <v>#N/A</v>
      </c>
    </row>
    <row r="3101" spans="14:18" x14ac:dyDescent="0.2">
      <c r="N3101" s="88" t="str">
        <f t="shared" si="54"/>
        <v>1w</v>
      </c>
      <c r="O3101" s="82">
        <f>_xll.qlCalendarAdvance(Calendar,O3100,N3101,"f",FALSE)</f>
        <v>61064</v>
      </c>
      <c r="P3101" s="92">
        <f>_xll.qlCalendarAdvance(Calendar,O3101,NDays&amp;"D")</f>
        <v>61066</v>
      </c>
      <c r="Q3101" s="81" t="e">
        <v>#N/A</v>
      </c>
      <c r="R3101" s="85" t="e">
        <v>#N/A</v>
      </c>
    </row>
    <row r="3102" spans="14:18" x14ac:dyDescent="0.2">
      <c r="N3102" s="88" t="str">
        <f t="shared" si="54"/>
        <v>1w</v>
      </c>
      <c r="O3102" s="82">
        <f>_xll.qlCalendarAdvance(Calendar,O3101,N3102,"f",FALSE)</f>
        <v>61071</v>
      </c>
      <c r="P3102" s="92">
        <f>_xll.qlCalendarAdvance(Calendar,O3102,NDays&amp;"D")</f>
        <v>61073</v>
      </c>
      <c r="Q3102" s="81" t="e">
        <v>#N/A</v>
      </c>
      <c r="R3102" s="85" t="e">
        <v>#N/A</v>
      </c>
    </row>
    <row r="3103" spans="14:18" x14ac:dyDescent="0.2">
      <c r="N3103" s="88" t="str">
        <f t="shared" si="54"/>
        <v>1w</v>
      </c>
      <c r="O3103" s="82">
        <f>_xll.qlCalendarAdvance(Calendar,O3102,N3103,"f",FALSE)</f>
        <v>61078</v>
      </c>
      <c r="P3103" s="92">
        <f>_xll.qlCalendarAdvance(Calendar,O3103,NDays&amp;"D")</f>
        <v>61080</v>
      </c>
      <c r="Q3103" s="81" t="e">
        <v>#N/A</v>
      </c>
      <c r="R3103" s="85" t="e">
        <v>#N/A</v>
      </c>
    </row>
    <row r="3104" spans="14:18" x14ac:dyDescent="0.2">
      <c r="N3104" s="88" t="str">
        <f t="shared" si="54"/>
        <v>1w</v>
      </c>
      <c r="O3104" s="82">
        <f>_xll.qlCalendarAdvance(Calendar,O3103,N3104,"f",FALSE)</f>
        <v>61085</v>
      </c>
      <c r="P3104" s="92">
        <f>_xll.qlCalendarAdvance(Calendar,O3104,NDays&amp;"D")</f>
        <v>61087</v>
      </c>
      <c r="Q3104" s="81" t="e">
        <v>#N/A</v>
      </c>
      <c r="R3104" s="85" t="e">
        <v>#N/A</v>
      </c>
    </row>
    <row r="3105" spans="14:18" x14ac:dyDescent="0.2">
      <c r="N3105" s="88" t="str">
        <f t="shared" si="54"/>
        <v>1w</v>
      </c>
      <c r="O3105" s="82">
        <f>_xll.qlCalendarAdvance(Calendar,O3104,N3105,"f",FALSE)</f>
        <v>61092</v>
      </c>
      <c r="P3105" s="92">
        <f>_xll.qlCalendarAdvance(Calendar,O3105,NDays&amp;"D")</f>
        <v>61094</v>
      </c>
      <c r="Q3105" s="81" t="e">
        <v>#N/A</v>
      </c>
      <c r="R3105" s="85" t="e">
        <v>#N/A</v>
      </c>
    </row>
    <row r="3106" spans="14:18" x14ac:dyDescent="0.2">
      <c r="N3106" s="88" t="str">
        <f t="shared" si="54"/>
        <v>1w</v>
      </c>
      <c r="O3106" s="82">
        <f>_xll.qlCalendarAdvance(Calendar,O3105,N3106,"f",FALSE)</f>
        <v>61099</v>
      </c>
      <c r="P3106" s="92">
        <f>_xll.qlCalendarAdvance(Calendar,O3106,NDays&amp;"D")</f>
        <v>61101</v>
      </c>
      <c r="Q3106" s="81" t="e">
        <v>#N/A</v>
      </c>
      <c r="R3106" s="85" t="e">
        <v>#N/A</v>
      </c>
    </row>
    <row r="3107" spans="14:18" x14ac:dyDescent="0.2">
      <c r="N3107" s="88" t="str">
        <f t="shared" si="54"/>
        <v>1w</v>
      </c>
      <c r="O3107" s="82">
        <f>_xll.qlCalendarAdvance(Calendar,O3106,N3107,"f",FALSE)</f>
        <v>61106</v>
      </c>
      <c r="P3107" s="92">
        <f>_xll.qlCalendarAdvance(Calendar,O3107,NDays&amp;"D")</f>
        <v>61108</v>
      </c>
      <c r="Q3107" s="81" t="e">
        <v>#N/A</v>
      </c>
      <c r="R3107" s="85" t="e">
        <v>#N/A</v>
      </c>
    </row>
    <row r="3108" spans="14:18" x14ac:dyDescent="0.2">
      <c r="N3108" s="88" t="str">
        <f t="shared" si="54"/>
        <v>1w</v>
      </c>
      <c r="O3108" s="82">
        <f>_xll.qlCalendarAdvance(Calendar,O3107,N3108,"f",FALSE)</f>
        <v>61113</v>
      </c>
      <c r="P3108" s="92">
        <f>_xll.qlCalendarAdvance(Calendar,O3108,NDays&amp;"D")</f>
        <v>61115</v>
      </c>
      <c r="Q3108" s="81" t="e">
        <v>#N/A</v>
      </c>
      <c r="R3108" s="85" t="e">
        <v>#N/A</v>
      </c>
    </row>
    <row r="3109" spans="14:18" x14ac:dyDescent="0.2">
      <c r="N3109" s="88" t="str">
        <f t="shared" si="54"/>
        <v>1w</v>
      </c>
      <c r="O3109" s="82">
        <f>_xll.qlCalendarAdvance(Calendar,O3108,N3109,"f",FALSE)</f>
        <v>61120</v>
      </c>
      <c r="P3109" s="92">
        <f>_xll.qlCalendarAdvance(Calendar,O3109,NDays&amp;"D")</f>
        <v>61122</v>
      </c>
      <c r="Q3109" s="81" t="e">
        <v>#N/A</v>
      </c>
      <c r="R3109" s="85" t="e">
        <v>#N/A</v>
      </c>
    </row>
    <row r="3110" spans="14:18" x14ac:dyDescent="0.2">
      <c r="N3110" s="88" t="str">
        <f t="shared" si="54"/>
        <v>1w</v>
      </c>
      <c r="O3110" s="82">
        <f>_xll.qlCalendarAdvance(Calendar,O3109,N3110,"f",FALSE)</f>
        <v>61127</v>
      </c>
      <c r="P3110" s="92">
        <f>_xll.qlCalendarAdvance(Calendar,O3110,NDays&amp;"D")</f>
        <v>61130</v>
      </c>
      <c r="Q3110" s="81" t="e">
        <v>#N/A</v>
      </c>
      <c r="R3110" s="85" t="e">
        <v>#N/A</v>
      </c>
    </row>
    <row r="3111" spans="14:18" x14ac:dyDescent="0.2">
      <c r="N3111" s="88" t="str">
        <f t="shared" si="54"/>
        <v>1w</v>
      </c>
      <c r="O3111" s="82">
        <f>_xll.qlCalendarAdvance(Calendar,O3110,N3111,"f",FALSE)</f>
        <v>61134</v>
      </c>
      <c r="P3111" s="92">
        <f>_xll.qlCalendarAdvance(Calendar,O3111,NDays&amp;"D")</f>
        <v>61136</v>
      </c>
      <c r="Q3111" s="81" t="e">
        <v>#N/A</v>
      </c>
      <c r="R3111" s="85" t="e">
        <v>#N/A</v>
      </c>
    </row>
    <row r="3112" spans="14:18" x14ac:dyDescent="0.2">
      <c r="N3112" s="88" t="str">
        <f t="shared" si="54"/>
        <v>1w</v>
      </c>
      <c r="O3112" s="82">
        <f>_xll.qlCalendarAdvance(Calendar,O3111,N3112,"f",FALSE)</f>
        <v>61141</v>
      </c>
      <c r="P3112" s="92">
        <f>_xll.qlCalendarAdvance(Calendar,O3112,NDays&amp;"D")</f>
        <v>61143</v>
      </c>
      <c r="Q3112" s="81" t="e">
        <v>#N/A</v>
      </c>
      <c r="R3112" s="85" t="e">
        <v>#N/A</v>
      </c>
    </row>
    <row r="3113" spans="14:18" x14ac:dyDescent="0.2">
      <c r="N3113" s="88" t="str">
        <f t="shared" si="54"/>
        <v>1w</v>
      </c>
      <c r="O3113" s="82">
        <f>_xll.qlCalendarAdvance(Calendar,O3112,N3113,"f",FALSE)</f>
        <v>61148</v>
      </c>
      <c r="P3113" s="92">
        <f>_xll.qlCalendarAdvance(Calendar,O3113,NDays&amp;"D")</f>
        <v>61150</v>
      </c>
      <c r="Q3113" s="81" t="e">
        <v>#N/A</v>
      </c>
      <c r="R3113" s="85" t="e">
        <v>#N/A</v>
      </c>
    </row>
    <row r="3114" spans="14:18" x14ac:dyDescent="0.2">
      <c r="N3114" s="88" t="str">
        <f t="shared" si="54"/>
        <v>1w</v>
      </c>
      <c r="O3114" s="82">
        <f>_xll.qlCalendarAdvance(Calendar,O3113,N3114,"f",FALSE)</f>
        <v>61155</v>
      </c>
      <c r="P3114" s="92">
        <f>_xll.qlCalendarAdvance(Calendar,O3114,NDays&amp;"D")</f>
        <v>61157</v>
      </c>
      <c r="Q3114" s="81" t="e">
        <v>#N/A</v>
      </c>
      <c r="R3114" s="85" t="e">
        <v>#N/A</v>
      </c>
    </row>
    <row r="3115" spans="14:18" x14ac:dyDescent="0.2">
      <c r="N3115" s="88" t="str">
        <f t="shared" si="54"/>
        <v>1w</v>
      </c>
      <c r="O3115" s="82">
        <f>_xll.qlCalendarAdvance(Calendar,O3114,N3115,"f",FALSE)</f>
        <v>61162</v>
      </c>
      <c r="P3115" s="92">
        <f>_xll.qlCalendarAdvance(Calendar,O3115,NDays&amp;"D")</f>
        <v>61164</v>
      </c>
      <c r="Q3115" s="81" t="e">
        <v>#N/A</v>
      </c>
      <c r="R3115" s="85" t="e">
        <v>#N/A</v>
      </c>
    </row>
    <row r="3116" spans="14:18" x14ac:dyDescent="0.2">
      <c r="N3116" s="88" t="str">
        <f t="shared" si="54"/>
        <v>1w</v>
      </c>
      <c r="O3116" s="82">
        <f>_xll.qlCalendarAdvance(Calendar,O3115,N3116,"f",FALSE)</f>
        <v>61169</v>
      </c>
      <c r="P3116" s="92">
        <f>_xll.qlCalendarAdvance(Calendar,O3116,NDays&amp;"D")</f>
        <v>61171</v>
      </c>
      <c r="Q3116" s="81" t="e">
        <v>#N/A</v>
      </c>
      <c r="R3116" s="85" t="e">
        <v>#N/A</v>
      </c>
    </row>
    <row r="3117" spans="14:18" x14ac:dyDescent="0.2">
      <c r="N3117" s="88" t="str">
        <f t="shared" si="54"/>
        <v>1w</v>
      </c>
      <c r="O3117" s="82">
        <f>_xll.qlCalendarAdvance(Calendar,O3116,N3117,"f",FALSE)</f>
        <v>61176</v>
      </c>
      <c r="P3117" s="92">
        <f>_xll.qlCalendarAdvance(Calendar,O3117,NDays&amp;"D")</f>
        <v>61178</v>
      </c>
      <c r="Q3117" s="81" t="e">
        <v>#N/A</v>
      </c>
      <c r="R3117" s="85" t="e">
        <v>#N/A</v>
      </c>
    </row>
    <row r="3118" spans="14:18" x14ac:dyDescent="0.2">
      <c r="N3118" s="88" t="str">
        <f t="shared" si="54"/>
        <v>1w</v>
      </c>
      <c r="O3118" s="82">
        <f>_xll.qlCalendarAdvance(Calendar,O3117,N3118,"f",FALSE)</f>
        <v>61183</v>
      </c>
      <c r="P3118" s="92">
        <f>_xll.qlCalendarAdvance(Calendar,O3118,NDays&amp;"D")</f>
        <v>61185</v>
      </c>
      <c r="Q3118" s="81" t="e">
        <v>#N/A</v>
      </c>
      <c r="R3118" s="85" t="e">
        <v>#N/A</v>
      </c>
    </row>
    <row r="3119" spans="14:18" x14ac:dyDescent="0.2">
      <c r="N3119" s="88" t="str">
        <f t="shared" si="54"/>
        <v>1w</v>
      </c>
      <c r="O3119" s="82">
        <f>_xll.qlCalendarAdvance(Calendar,O3118,N3119,"f",FALSE)</f>
        <v>61190</v>
      </c>
      <c r="P3119" s="92">
        <f>_xll.qlCalendarAdvance(Calendar,O3119,NDays&amp;"D")</f>
        <v>61192</v>
      </c>
      <c r="Q3119" s="81" t="e">
        <v>#N/A</v>
      </c>
      <c r="R3119" s="85" t="e">
        <v>#N/A</v>
      </c>
    </row>
    <row r="3120" spans="14:18" x14ac:dyDescent="0.2">
      <c r="N3120" s="88" t="str">
        <f t="shared" si="54"/>
        <v>1w</v>
      </c>
      <c r="O3120" s="82">
        <f>_xll.qlCalendarAdvance(Calendar,O3119,N3120,"f",FALSE)</f>
        <v>61197</v>
      </c>
      <c r="P3120" s="92">
        <f>_xll.qlCalendarAdvance(Calendar,O3120,NDays&amp;"D")</f>
        <v>61199</v>
      </c>
      <c r="Q3120" s="81" t="e">
        <v>#N/A</v>
      </c>
      <c r="R3120" s="85" t="e">
        <v>#N/A</v>
      </c>
    </row>
    <row r="3121" spans="14:18" x14ac:dyDescent="0.2">
      <c r="N3121" s="88" t="str">
        <f t="shared" si="54"/>
        <v>1w</v>
      </c>
      <c r="O3121" s="82">
        <f>_xll.qlCalendarAdvance(Calendar,O3120,N3121,"f",FALSE)</f>
        <v>61204</v>
      </c>
      <c r="P3121" s="92">
        <f>_xll.qlCalendarAdvance(Calendar,O3121,NDays&amp;"D")</f>
        <v>61206</v>
      </c>
      <c r="Q3121" s="81" t="e">
        <v>#N/A</v>
      </c>
      <c r="R3121" s="85" t="e">
        <v>#N/A</v>
      </c>
    </row>
    <row r="3122" spans="14:18" x14ac:dyDescent="0.2">
      <c r="N3122" s="88" t="str">
        <f t="shared" si="54"/>
        <v>1w</v>
      </c>
      <c r="O3122" s="82">
        <f>_xll.qlCalendarAdvance(Calendar,O3121,N3122,"f",FALSE)</f>
        <v>61211</v>
      </c>
      <c r="P3122" s="92">
        <f>_xll.qlCalendarAdvance(Calendar,O3122,NDays&amp;"D")</f>
        <v>61213</v>
      </c>
      <c r="Q3122" s="81" t="e">
        <v>#N/A</v>
      </c>
      <c r="R3122" s="85" t="e">
        <v>#N/A</v>
      </c>
    </row>
    <row r="3123" spans="14:18" x14ac:dyDescent="0.2">
      <c r="N3123" s="88" t="str">
        <f t="shared" si="54"/>
        <v>1w</v>
      </c>
      <c r="O3123" s="82">
        <f>_xll.qlCalendarAdvance(Calendar,O3122,N3123,"f",FALSE)</f>
        <v>61218</v>
      </c>
      <c r="P3123" s="92">
        <f>_xll.qlCalendarAdvance(Calendar,O3123,NDays&amp;"D")</f>
        <v>61220</v>
      </c>
      <c r="Q3123" s="81" t="e">
        <v>#N/A</v>
      </c>
      <c r="R3123" s="85" t="e">
        <v>#N/A</v>
      </c>
    </row>
    <row r="3124" spans="14:18" x14ac:dyDescent="0.2">
      <c r="N3124" s="88" t="str">
        <f t="shared" si="54"/>
        <v>1w</v>
      </c>
      <c r="O3124" s="82">
        <f>_xll.qlCalendarAdvance(Calendar,O3123,N3124,"f",FALSE)</f>
        <v>61225</v>
      </c>
      <c r="P3124" s="92">
        <f>_xll.qlCalendarAdvance(Calendar,O3124,NDays&amp;"D")</f>
        <v>61227</v>
      </c>
      <c r="Q3124" s="81" t="e">
        <v>#N/A</v>
      </c>
      <c r="R3124" s="85" t="e">
        <v>#N/A</v>
      </c>
    </row>
    <row r="3125" spans="14:18" x14ac:dyDescent="0.2">
      <c r="N3125" s="88" t="str">
        <f t="shared" si="54"/>
        <v>1w</v>
      </c>
      <c r="O3125" s="82">
        <f>_xll.qlCalendarAdvance(Calendar,O3124,N3125,"f",FALSE)</f>
        <v>61232</v>
      </c>
      <c r="P3125" s="92">
        <f>_xll.qlCalendarAdvance(Calendar,O3125,NDays&amp;"D")</f>
        <v>61234</v>
      </c>
      <c r="Q3125" s="81" t="e">
        <v>#N/A</v>
      </c>
      <c r="R3125" s="85" t="e">
        <v>#N/A</v>
      </c>
    </row>
    <row r="3126" spans="14:18" x14ac:dyDescent="0.2">
      <c r="N3126" s="88" t="str">
        <f t="shared" si="54"/>
        <v>1w</v>
      </c>
      <c r="O3126" s="82">
        <f>_xll.qlCalendarAdvance(Calendar,O3125,N3126,"f",FALSE)</f>
        <v>61239</v>
      </c>
      <c r="P3126" s="92">
        <f>_xll.qlCalendarAdvance(Calendar,O3126,NDays&amp;"D")</f>
        <v>61241</v>
      </c>
      <c r="Q3126" s="81" t="e">
        <v>#N/A</v>
      </c>
      <c r="R3126" s="85" t="e">
        <v>#N/A</v>
      </c>
    </row>
    <row r="3127" spans="14:18" x14ac:dyDescent="0.2">
      <c r="N3127" s="88" t="str">
        <f t="shared" si="54"/>
        <v>1w</v>
      </c>
      <c r="O3127" s="82">
        <f>_xll.qlCalendarAdvance(Calendar,O3126,N3127,"f",FALSE)</f>
        <v>61246</v>
      </c>
      <c r="P3127" s="92">
        <f>_xll.qlCalendarAdvance(Calendar,O3127,NDays&amp;"D")</f>
        <v>61248</v>
      </c>
      <c r="Q3127" s="81" t="e">
        <v>#N/A</v>
      </c>
      <c r="R3127" s="85" t="e">
        <v>#N/A</v>
      </c>
    </row>
    <row r="3128" spans="14:18" x14ac:dyDescent="0.2">
      <c r="N3128" s="88" t="str">
        <f t="shared" si="54"/>
        <v>1w</v>
      </c>
      <c r="O3128" s="82">
        <f>_xll.qlCalendarAdvance(Calendar,O3127,N3128,"f",FALSE)</f>
        <v>61253</v>
      </c>
      <c r="P3128" s="92">
        <f>_xll.qlCalendarAdvance(Calendar,O3128,NDays&amp;"D")</f>
        <v>61255</v>
      </c>
      <c r="Q3128" s="81" t="e">
        <v>#N/A</v>
      </c>
      <c r="R3128" s="85" t="e">
        <v>#N/A</v>
      </c>
    </row>
    <row r="3129" spans="14:18" x14ac:dyDescent="0.2">
      <c r="N3129" s="88" t="str">
        <f t="shared" si="54"/>
        <v>1w</v>
      </c>
      <c r="O3129" s="82">
        <f>_xll.qlCalendarAdvance(Calendar,O3128,N3129,"f",FALSE)</f>
        <v>61260</v>
      </c>
      <c r="P3129" s="92">
        <f>_xll.qlCalendarAdvance(Calendar,O3129,NDays&amp;"D")</f>
        <v>61262</v>
      </c>
      <c r="Q3129" s="81" t="e">
        <v>#N/A</v>
      </c>
      <c r="R3129" s="85" t="e">
        <v>#N/A</v>
      </c>
    </row>
    <row r="3130" spans="14:18" x14ac:dyDescent="0.2">
      <c r="N3130" s="88" t="str">
        <f t="shared" si="54"/>
        <v>1w</v>
      </c>
      <c r="O3130" s="82">
        <f>_xll.qlCalendarAdvance(Calendar,O3129,N3130,"f",FALSE)</f>
        <v>61267</v>
      </c>
      <c r="P3130" s="92">
        <f>_xll.qlCalendarAdvance(Calendar,O3130,NDays&amp;"D")</f>
        <v>61269</v>
      </c>
      <c r="Q3130" s="81" t="e">
        <v>#N/A</v>
      </c>
      <c r="R3130" s="85" t="e">
        <v>#N/A</v>
      </c>
    </row>
    <row r="3131" spans="14:18" x14ac:dyDescent="0.2">
      <c r="N3131" s="88" t="str">
        <f t="shared" si="54"/>
        <v>1w</v>
      </c>
      <c r="O3131" s="82">
        <f>_xll.qlCalendarAdvance(Calendar,O3130,N3131,"f",FALSE)</f>
        <v>61274</v>
      </c>
      <c r="P3131" s="92">
        <f>_xll.qlCalendarAdvance(Calendar,O3131,NDays&amp;"D")</f>
        <v>61276</v>
      </c>
      <c r="Q3131" s="81" t="e">
        <v>#N/A</v>
      </c>
      <c r="R3131" s="85" t="e">
        <v>#N/A</v>
      </c>
    </row>
    <row r="3132" spans="14:18" x14ac:dyDescent="0.2">
      <c r="N3132" s="88" t="str">
        <f t="shared" si="54"/>
        <v>1w</v>
      </c>
      <c r="O3132" s="82">
        <f>_xll.qlCalendarAdvance(Calendar,O3131,N3132,"f",FALSE)</f>
        <v>61281</v>
      </c>
      <c r="P3132" s="92">
        <f>_xll.qlCalendarAdvance(Calendar,O3132,NDays&amp;"D")</f>
        <v>61283</v>
      </c>
      <c r="Q3132" s="81" t="e">
        <v>#N/A</v>
      </c>
      <c r="R3132" s="85" t="e">
        <v>#N/A</v>
      </c>
    </row>
    <row r="3133" spans="14:18" x14ac:dyDescent="0.2">
      <c r="N3133" s="88" t="str">
        <f t="shared" si="54"/>
        <v>1w</v>
      </c>
      <c r="O3133" s="82">
        <f>_xll.qlCalendarAdvance(Calendar,O3132,N3133,"f",FALSE)</f>
        <v>61288</v>
      </c>
      <c r="P3133" s="92">
        <f>_xll.qlCalendarAdvance(Calendar,O3133,NDays&amp;"D")</f>
        <v>61290</v>
      </c>
      <c r="Q3133" s="81" t="e">
        <v>#N/A</v>
      </c>
      <c r="R3133" s="85" t="e">
        <v>#N/A</v>
      </c>
    </row>
    <row r="3134" spans="14:18" x14ac:dyDescent="0.2">
      <c r="N3134" s="88" t="str">
        <f t="shared" si="54"/>
        <v>1w</v>
      </c>
      <c r="O3134" s="82">
        <f>_xll.qlCalendarAdvance(Calendar,O3133,N3134,"f",FALSE)</f>
        <v>61295</v>
      </c>
      <c r="P3134" s="92">
        <f>_xll.qlCalendarAdvance(Calendar,O3134,NDays&amp;"D")</f>
        <v>61297</v>
      </c>
      <c r="Q3134" s="81" t="e">
        <v>#N/A</v>
      </c>
      <c r="R3134" s="85" t="e">
        <v>#N/A</v>
      </c>
    </row>
    <row r="3135" spans="14:18" x14ac:dyDescent="0.2">
      <c r="N3135" s="88" t="str">
        <f t="shared" si="54"/>
        <v>1w</v>
      </c>
      <c r="O3135" s="82">
        <f>_xll.qlCalendarAdvance(Calendar,O3134,N3135,"f",FALSE)</f>
        <v>61302</v>
      </c>
      <c r="P3135" s="92">
        <f>_xll.qlCalendarAdvance(Calendar,O3135,NDays&amp;"D")</f>
        <v>61304</v>
      </c>
      <c r="Q3135" s="81" t="e">
        <v>#N/A</v>
      </c>
      <c r="R3135" s="85" t="e">
        <v>#N/A</v>
      </c>
    </row>
    <row r="3136" spans="14:18" x14ac:dyDescent="0.2">
      <c r="N3136" s="88" t="str">
        <f t="shared" si="54"/>
        <v>1w</v>
      </c>
      <c r="O3136" s="82">
        <f>_xll.qlCalendarAdvance(Calendar,O3135,N3136,"f",FALSE)</f>
        <v>61309</v>
      </c>
      <c r="P3136" s="92">
        <f>_xll.qlCalendarAdvance(Calendar,O3136,NDays&amp;"D")</f>
        <v>61311</v>
      </c>
      <c r="Q3136" s="81" t="e">
        <v>#N/A</v>
      </c>
      <c r="R3136" s="85" t="e">
        <v>#N/A</v>
      </c>
    </row>
    <row r="3137" spans="14:18" x14ac:dyDescent="0.2">
      <c r="N3137" s="88" t="str">
        <f t="shared" si="54"/>
        <v>1w</v>
      </c>
      <c r="O3137" s="82">
        <f>_xll.qlCalendarAdvance(Calendar,O3136,N3137,"f",FALSE)</f>
        <v>61316</v>
      </c>
      <c r="P3137" s="92">
        <f>_xll.qlCalendarAdvance(Calendar,O3137,NDays&amp;"D")</f>
        <v>61318</v>
      </c>
      <c r="Q3137" s="81" t="e">
        <v>#N/A</v>
      </c>
      <c r="R3137" s="85" t="e">
        <v>#N/A</v>
      </c>
    </row>
    <row r="3138" spans="14:18" x14ac:dyDescent="0.2">
      <c r="N3138" s="88" t="str">
        <f t="shared" si="54"/>
        <v>1w</v>
      </c>
      <c r="O3138" s="82">
        <f>_xll.qlCalendarAdvance(Calendar,O3137,N3138,"f",FALSE)</f>
        <v>61323</v>
      </c>
      <c r="P3138" s="92">
        <f>_xll.qlCalendarAdvance(Calendar,O3138,NDays&amp;"D")</f>
        <v>61325</v>
      </c>
      <c r="Q3138" s="81" t="e">
        <v>#N/A</v>
      </c>
      <c r="R3138" s="85" t="e">
        <v>#N/A</v>
      </c>
    </row>
    <row r="3139" spans="14:18" x14ac:dyDescent="0.2">
      <c r="N3139" s="88" t="str">
        <f t="shared" si="54"/>
        <v>1w</v>
      </c>
      <c r="O3139" s="82">
        <f>_xll.qlCalendarAdvance(Calendar,O3138,N3139,"f",FALSE)</f>
        <v>61330</v>
      </c>
      <c r="P3139" s="92">
        <f>_xll.qlCalendarAdvance(Calendar,O3139,NDays&amp;"D")</f>
        <v>61332</v>
      </c>
      <c r="Q3139" s="81" t="e">
        <v>#N/A</v>
      </c>
      <c r="R3139" s="85" t="e">
        <v>#N/A</v>
      </c>
    </row>
    <row r="3140" spans="14:18" x14ac:dyDescent="0.2">
      <c r="N3140" s="88" t="str">
        <f t="shared" si="54"/>
        <v>1w</v>
      </c>
      <c r="O3140" s="82">
        <f>_xll.qlCalendarAdvance(Calendar,O3139,N3140,"f",FALSE)</f>
        <v>61337</v>
      </c>
      <c r="P3140" s="92">
        <f>_xll.qlCalendarAdvance(Calendar,O3140,NDays&amp;"D")</f>
        <v>61339</v>
      </c>
      <c r="Q3140" s="81" t="e">
        <v>#N/A</v>
      </c>
      <c r="R3140" s="85" t="e">
        <v>#N/A</v>
      </c>
    </row>
    <row r="3141" spans="14:18" x14ac:dyDescent="0.2">
      <c r="N3141" s="88" t="str">
        <f t="shared" si="54"/>
        <v>1w</v>
      </c>
      <c r="O3141" s="82">
        <f>_xll.qlCalendarAdvance(Calendar,O3140,N3141,"f",FALSE)</f>
        <v>61344</v>
      </c>
      <c r="P3141" s="92">
        <f>_xll.qlCalendarAdvance(Calendar,O3141,NDays&amp;"D")</f>
        <v>61346</v>
      </c>
      <c r="Q3141" s="81" t="e">
        <v>#N/A</v>
      </c>
      <c r="R3141" s="85" t="e">
        <v>#N/A</v>
      </c>
    </row>
    <row r="3142" spans="14:18" x14ac:dyDescent="0.2">
      <c r="N3142" s="88" t="str">
        <f t="shared" si="54"/>
        <v>1w</v>
      </c>
      <c r="O3142" s="82">
        <f>_xll.qlCalendarAdvance(Calendar,O3141,N3142,"f",FALSE)</f>
        <v>61351</v>
      </c>
      <c r="P3142" s="92">
        <f>_xll.qlCalendarAdvance(Calendar,O3142,NDays&amp;"D")</f>
        <v>61353</v>
      </c>
      <c r="Q3142" s="81" t="e">
        <v>#N/A</v>
      </c>
      <c r="R3142" s="85" t="e">
        <v>#N/A</v>
      </c>
    </row>
    <row r="3143" spans="14:18" x14ac:dyDescent="0.2">
      <c r="N3143" s="88" t="str">
        <f t="shared" si="54"/>
        <v>1w</v>
      </c>
      <c r="O3143" s="82">
        <f>_xll.qlCalendarAdvance(Calendar,O3142,N3143,"f",FALSE)</f>
        <v>61358</v>
      </c>
      <c r="P3143" s="92">
        <f>_xll.qlCalendarAdvance(Calendar,O3143,NDays&amp;"D")</f>
        <v>61360</v>
      </c>
      <c r="Q3143" s="81" t="e">
        <v>#N/A</v>
      </c>
      <c r="R3143" s="85" t="e">
        <v>#N/A</v>
      </c>
    </row>
    <row r="3144" spans="14:18" x14ac:dyDescent="0.2">
      <c r="N3144" s="88" t="str">
        <f t="shared" si="54"/>
        <v>1w</v>
      </c>
      <c r="O3144" s="82">
        <f>_xll.qlCalendarAdvance(Calendar,O3143,N3144,"f",FALSE)</f>
        <v>61365</v>
      </c>
      <c r="P3144" s="92">
        <f>_xll.qlCalendarAdvance(Calendar,O3144,NDays&amp;"D")</f>
        <v>61367</v>
      </c>
      <c r="Q3144" s="81" t="e">
        <v>#N/A</v>
      </c>
      <c r="R3144" s="85" t="e">
        <v>#N/A</v>
      </c>
    </row>
    <row r="3145" spans="14:18" x14ac:dyDescent="0.2">
      <c r="N3145" s="88" t="str">
        <f t="shared" si="54"/>
        <v>1w</v>
      </c>
      <c r="O3145" s="82">
        <f>_xll.qlCalendarAdvance(Calendar,O3144,N3145,"f",FALSE)</f>
        <v>61372</v>
      </c>
      <c r="P3145" s="92">
        <f>_xll.qlCalendarAdvance(Calendar,O3145,NDays&amp;"D")</f>
        <v>61374</v>
      </c>
      <c r="Q3145" s="81" t="e">
        <v>#N/A</v>
      </c>
      <c r="R3145" s="85" t="e">
        <v>#N/A</v>
      </c>
    </row>
    <row r="3146" spans="14:18" x14ac:dyDescent="0.2">
      <c r="N3146" s="88" t="str">
        <f t="shared" si="54"/>
        <v>1w</v>
      </c>
      <c r="O3146" s="82">
        <f>_xll.qlCalendarAdvance(Calendar,O3145,N3146,"f",FALSE)</f>
        <v>61379</v>
      </c>
      <c r="P3146" s="92">
        <f>_xll.qlCalendarAdvance(Calendar,O3146,NDays&amp;"D")</f>
        <v>61381</v>
      </c>
      <c r="Q3146" s="81" t="e">
        <v>#N/A</v>
      </c>
      <c r="R3146" s="85" t="e">
        <v>#N/A</v>
      </c>
    </row>
    <row r="3147" spans="14:18" x14ac:dyDescent="0.2">
      <c r="N3147" s="88" t="str">
        <f t="shared" si="54"/>
        <v>1w</v>
      </c>
      <c r="O3147" s="82">
        <f>_xll.qlCalendarAdvance(Calendar,O3146,N3147,"f",FALSE)</f>
        <v>61386</v>
      </c>
      <c r="P3147" s="92">
        <f>_xll.qlCalendarAdvance(Calendar,O3147,NDays&amp;"D")</f>
        <v>61388</v>
      </c>
      <c r="Q3147" s="81" t="e">
        <v>#N/A</v>
      </c>
      <c r="R3147" s="85" t="e">
        <v>#N/A</v>
      </c>
    </row>
    <row r="3148" spans="14:18" x14ac:dyDescent="0.2">
      <c r="N3148" s="88" t="str">
        <f t="shared" si="54"/>
        <v>1w</v>
      </c>
      <c r="O3148" s="82">
        <f>_xll.qlCalendarAdvance(Calendar,O3147,N3148,"f",FALSE)</f>
        <v>61393</v>
      </c>
      <c r="P3148" s="92">
        <f>_xll.qlCalendarAdvance(Calendar,O3148,NDays&amp;"D")</f>
        <v>61395</v>
      </c>
      <c r="Q3148" s="81" t="e">
        <v>#N/A</v>
      </c>
      <c r="R3148" s="85" t="e">
        <v>#N/A</v>
      </c>
    </row>
    <row r="3149" spans="14:18" x14ac:dyDescent="0.2">
      <c r="N3149" s="88" t="str">
        <f t="shared" si="54"/>
        <v>1w</v>
      </c>
      <c r="O3149" s="82">
        <f>_xll.qlCalendarAdvance(Calendar,O3148,N3149,"f",FALSE)</f>
        <v>61400</v>
      </c>
      <c r="P3149" s="92">
        <f>_xll.qlCalendarAdvance(Calendar,O3149,NDays&amp;"D")</f>
        <v>61402</v>
      </c>
      <c r="Q3149" s="81" t="e">
        <v>#N/A</v>
      </c>
      <c r="R3149" s="85" t="e">
        <v>#N/A</v>
      </c>
    </row>
    <row r="3150" spans="14:18" x14ac:dyDescent="0.2">
      <c r="N3150" s="88" t="str">
        <f t="shared" si="54"/>
        <v>1w</v>
      </c>
      <c r="O3150" s="82">
        <f>_xll.qlCalendarAdvance(Calendar,O3149,N3150,"f",FALSE)</f>
        <v>61407</v>
      </c>
      <c r="P3150" s="92">
        <f>_xll.qlCalendarAdvance(Calendar,O3150,NDays&amp;"D")</f>
        <v>61409</v>
      </c>
      <c r="Q3150" s="81" t="e">
        <v>#N/A</v>
      </c>
      <c r="R3150" s="85" t="e">
        <v>#N/A</v>
      </c>
    </row>
    <row r="3151" spans="14:18" x14ac:dyDescent="0.2">
      <c r="N3151" s="88" t="str">
        <f t="shared" si="54"/>
        <v>1w</v>
      </c>
      <c r="O3151" s="82">
        <f>_xll.qlCalendarAdvance(Calendar,O3150,N3151,"f",FALSE)</f>
        <v>61414</v>
      </c>
      <c r="P3151" s="92">
        <f>_xll.qlCalendarAdvance(Calendar,O3151,NDays&amp;"D")</f>
        <v>61416</v>
      </c>
      <c r="Q3151" s="81" t="e">
        <v>#N/A</v>
      </c>
      <c r="R3151" s="85" t="e">
        <v>#N/A</v>
      </c>
    </row>
    <row r="3152" spans="14:18" x14ac:dyDescent="0.2">
      <c r="N3152" s="88" t="str">
        <f t="shared" si="54"/>
        <v>1w</v>
      </c>
      <c r="O3152" s="82">
        <f>_xll.qlCalendarAdvance(Calendar,O3151,N3152,"f",FALSE)</f>
        <v>61421</v>
      </c>
      <c r="P3152" s="92">
        <f>_xll.qlCalendarAdvance(Calendar,O3152,NDays&amp;"D")</f>
        <v>61423</v>
      </c>
      <c r="Q3152" s="81" t="e">
        <v>#N/A</v>
      </c>
      <c r="R3152" s="85" t="e">
        <v>#N/A</v>
      </c>
    </row>
    <row r="3153" spans="14:18" x14ac:dyDescent="0.2">
      <c r="N3153" s="88" t="str">
        <f t="shared" si="54"/>
        <v>1w</v>
      </c>
      <c r="O3153" s="82">
        <f>_xll.qlCalendarAdvance(Calendar,O3152,N3153,"f",FALSE)</f>
        <v>61428</v>
      </c>
      <c r="P3153" s="92">
        <f>_xll.qlCalendarAdvance(Calendar,O3153,NDays&amp;"D")</f>
        <v>61430</v>
      </c>
      <c r="Q3153" s="81" t="e">
        <v>#N/A</v>
      </c>
      <c r="R3153" s="85" t="e">
        <v>#N/A</v>
      </c>
    </row>
    <row r="3154" spans="14:18" x14ac:dyDescent="0.2">
      <c r="N3154" s="88" t="str">
        <f t="shared" si="54"/>
        <v>1w</v>
      </c>
      <c r="O3154" s="82">
        <f>_xll.qlCalendarAdvance(Calendar,O3153,N3154,"f",FALSE)</f>
        <v>61435</v>
      </c>
      <c r="P3154" s="92">
        <f>_xll.qlCalendarAdvance(Calendar,O3154,NDays&amp;"D")</f>
        <v>61437</v>
      </c>
      <c r="Q3154" s="81" t="e">
        <v>#N/A</v>
      </c>
      <c r="R3154" s="85" t="e">
        <v>#N/A</v>
      </c>
    </row>
    <row r="3155" spans="14:18" x14ac:dyDescent="0.2">
      <c r="N3155" s="88" t="str">
        <f t="shared" si="54"/>
        <v>1w</v>
      </c>
      <c r="O3155" s="82">
        <f>_xll.qlCalendarAdvance(Calendar,O3154,N3155,"f",FALSE)</f>
        <v>61442</v>
      </c>
      <c r="P3155" s="92">
        <f>_xll.qlCalendarAdvance(Calendar,O3155,NDays&amp;"D")</f>
        <v>61444</v>
      </c>
      <c r="Q3155" s="81" t="e">
        <v>#N/A</v>
      </c>
      <c r="R3155" s="85" t="e">
        <v>#N/A</v>
      </c>
    </row>
    <row r="3156" spans="14:18" x14ac:dyDescent="0.2">
      <c r="N3156" s="88" t="str">
        <f t="shared" si="54"/>
        <v>1w</v>
      </c>
      <c r="O3156" s="82">
        <f>_xll.qlCalendarAdvance(Calendar,O3155,N3156,"f",FALSE)</f>
        <v>61449</v>
      </c>
      <c r="P3156" s="92">
        <f>_xll.qlCalendarAdvance(Calendar,O3156,NDays&amp;"D")</f>
        <v>61451</v>
      </c>
      <c r="Q3156" s="81" t="e">
        <v>#N/A</v>
      </c>
      <c r="R3156" s="85" t="e">
        <v>#N/A</v>
      </c>
    </row>
    <row r="3157" spans="14:18" x14ac:dyDescent="0.2">
      <c r="N3157" s="88" t="str">
        <f t="shared" ref="N3157:N3220" si="55">N3156</f>
        <v>1w</v>
      </c>
      <c r="O3157" s="82">
        <f>_xll.qlCalendarAdvance(Calendar,O3156,N3157,"f",FALSE)</f>
        <v>61456</v>
      </c>
      <c r="P3157" s="92">
        <f>_xll.qlCalendarAdvance(Calendar,O3157,NDays&amp;"D")</f>
        <v>61458</v>
      </c>
      <c r="Q3157" s="81" t="e">
        <v>#N/A</v>
      </c>
      <c r="R3157" s="85" t="e">
        <v>#N/A</v>
      </c>
    </row>
    <row r="3158" spans="14:18" x14ac:dyDescent="0.2">
      <c r="N3158" s="88" t="str">
        <f t="shared" si="55"/>
        <v>1w</v>
      </c>
      <c r="O3158" s="82">
        <f>_xll.qlCalendarAdvance(Calendar,O3157,N3158,"f",FALSE)</f>
        <v>61463</v>
      </c>
      <c r="P3158" s="92">
        <f>_xll.qlCalendarAdvance(Calendar,O3158,NDays&amp;"D")</f>
        <v>61465</v>
      </c>
      <c r="Q3158" s="81" t="e">
        <v>#N/A</v>
      </c>
      <c r="R3158" s="85" t="e">
        <v>#N/A</v>
      </c>
    </row>
    <row r="3159" spans="14:18" x14ac:dyDescent="0.2">
      <c r="N3159" s="88" t="str">
        <f t="shared" si="55"/>
        <v>1w</v>
      </c>
      <c r="O3159" s="82">
        <f>_xll.qlCalendarAdvance(Calendar,O3158,N3159,"f",FALSE)</f>
        <v>61470</v>
      </c>
      <c r="P3159" s="92">
        <f>_xll.qlCalendarAdvance(Calendar,O3159,NDays&amp;"D")</f>
        <v>61472</v>
      </c>
      <c r="Q3159" s="81" t="e">
        <v>#N/A</v>
      </c>
      <c r="R3159" s="85" t="e">
        <v>#N/A</v>
      </c>
    </row>
    <row r="3160" spans="14:18" x14ac:dyDescent="0.2">
      <c r="N3160" s="88" t="str">
        <f t="shared" si="55"/>
        <v>1w</v>
      </c>
      <c r="O3160" s="82">
        <f>_xll.qlCalendarAdvance(Calendar,O3159,N3160,"f",FALSE)</f>
        <v>61477</v>
      </c>
      <c r="P3160" s="92">
        <f>_xll.qlCalendarAdvance(Calendar,O3160,NDays&amp;"D")</f>
        <v>61479</v>
      </c>
      <c r="Q3160" s="81" t="e">
        <v>#N/A</v>
      </c>
      <c r="R3160" s="85" t="e">
        <v>#N/A</v>
      </c>
    </row>
    <row r="3161" spans="14:18" x14ac:dyDescent="0.2">
      <c r="N3161" s="88" t="str">
        <f t="shared" si="55"/>
        <v>1w</v>
      </c>
      <c r="O3161" s="82">
        <f>_xll.qlCalendarAdvance(Calendar,O3160,N3161,"f",FALSE)</f>
        <v>61485</v>
      </c>
      <c r="P3161" s="92">
        <f>_xll.qlCalendarAdvance(Calendar,O3161,NDays&amp;"D")</f>
        <v>61487</v>
      </c>
      <c r="Q3161" s="81" t="e">
        <v>#N/A</v>
      </c>
      <c r="R3161" s="85" t="e">
        <v>#N/A</v>
      </c>
    </row>
    <row r="3162" spans="14:18" x14ac:dyDescent="0.2">
      <c r="N3162" s="88" t="str">
        <f t="shared" si="55"/>
        <v>1w</v>
      </c>
      <c r="O3162" s="82">
        <f>_xll.qlCalendarAdvance(Calendar,O3161,N3162,"f",FALSE)</f>
        <v>61492</v>
      </c>
      <c r="P3162" s="92">
        <f>_xll.qlCalendarAdvance(Calendar,O3162,NDays&amp;"D")</f>
        <v>61494</v>
      </c>
      <c r="Q3162" s="81" t="e">
        <v>#N/A</v>
      </c>
      <c r="R3162" s="85" t="e">
        <v>#N/A</v>
      </c>
    </row>
    <row r="3163" spans="14:18" x14ac:dyDescent="0.2">
      <c r="N3163" s="88" t="str">
        <f t="shared" si="55"/>
        <v>1w</v>
      </c>
      <c r="O3163" s="82">
        <f>_xll.qlCalendarAdvance(Calendar,O3162,N3163,"f",FALSE)</f>
        <v>61499</v>
      </c>
      <c r="P3163" s="92">
        <f>_xll.qlCalendarAdvance(Calendar,O3163,NDays&amp;"D")</f>
        <v>61501</v>
      </c>
      <c r="Q3163" s="81" t="e">
        <v>#N/A</v>
      </c>
      <c r="R3163" s="85" t="e">
        <v>#N/A</v>
      </c>
    </row>
    <row r="3164" spans="14:18" x14ac:dyDescent="0.2">
      <c r="N3164" s="88" t="str">
        <f t="shared" si="55"/>
        <v>1w</v>
      </c>
      <c r="O3164" s="82">
        <f>_xll.qlCalendarAdvance(Calendar,O3163,N3164,"f",FALSE)</f>
        <v>61506</v>
      </c>
      <c r="P3164" s="92">
        <f>_xll.qlCalendarAdvance(Calendar,O3164,NDays&amp;"D")</f>
        <v>61508</v>
      </c>
      <c r="Q3164" s="81" t="e">
        <v>#N/A</v>
      </c>
      <c r="R3164" s="85" t="e">
        <v>#N/A</v>
      </c>
    </row>
    <row r="3165" spans="14:18" x14ac:dyDescent="0.2">
      <c r="N3165" s="88" t="str">
        <f t="shared" si="55"/>
        <v>1w</v>
      </c>
      <c r="O3165" s="82">
        <f>_xll.qlCalendarAdvance(Calendar,O3164,N3165,"f",FALSE)</f>
        <v>61513</v>
      </c>
      <c r="P3165" s="92">
        <f>_xll.qlCalendarAdvance(Calendar,O3165,NDays&amp;"D")</f>
        <v>61518</v>
      </c>
      <c r="Q3165" s="81" t="e">
        <v>#N/A</v>
      </c>
      <c r="R3165" s="85" t="e">
        <v>#N/A</v>
      </c>
    </row>
    <row r="3166" spans="14:18" x14ac:dyDescent="0.2">
      <c r="N3166" s="88" t="str">
        <f t="shared" si="55"/>
        <v>1w</v>
      </c>
      <c r="O3166" s="82">
        <f>_xll.qlCalendarAdvance(Calendar,O3165,N3166,"f",FALSE)</f>
        <v>61520</v>
      </c>
      <c r="P3166" s="92">
        <f>_xll.qlCalendarAdvance(Calendar,O3166,NDays&amp;"D")</f>
        <v>61522</v>
      </c>
      <c r="Q3166" s="81" t="e">
        <v>#N/A</v>
      </c>
      <c r="R3166" s="85" t="e">
        <v>#N/A</v>
      </c>
    </row>
    <row r="3167" spans="14:18" x14ac:dyDescent="0.2">
      <c r="N3167" s="88" t="str">
        <f t="shared" si="55"/>
        <v>1w</v>
      </c>
      <c r="O3167" s="82">
        <f>_xll.qlCalendarAdvance(Calendar,O3166,N3167,"f",FALSE)</f>
        <v>61527</v>
      </c>
      <c r="P3167" s="92">
        <f>_xll.qlCalendarAdvance(Calendar,O3167,NDays&amp;"D")</f>
        <v>61529</v>
      </c>
      <c r="Q3167" s="81" t="e">
        <v>#N/A</v>
      </c>
      <c r="R3167" s="85" t="e">
        <v>#N/A</v>
      </c>
    </row>
    <row r="3168" spans="14:18" x14ac:dyDescent="0.2">
      <c r="N3168" s="88" t="str">
        <f t="shared" si="55"/>
        <v>1w</v>
      </c>
      <c r="O3168" s="82">
        <f>_xll.qlCalendarAdvance(Calendar,O3167,N3168,"f",FALSE)</f>
        <v>61534</v>
      </c>
      <c r="P3168" s="92">
        <f>_xll.qlCalendarAdvance(Calendar,O3168,NDays&amp;"D")</f>
        <v>61539</v>
      </c>
      <c r="Q3168" s="81" t="e">
        <v>#N/A</v>
      </c>
      <c r="R3168" s="85" t="e">
        <v>#N/A</v>
      </c>
    </row>
    <row r="3169" spans="14:18" x14ac:dyDescent="0.2">
      <c r="N3169" s="88" t="str">
        <f t="shared" si="55"/>
        <v>1w</v>
      </c>
      <c r="O3169" s="82">
        <f>_xll.qlCalendarAdvance(Calendar,O3168,N3169,"f",FALSE)</f>
        <v>61541</v>
      </c>
      <c r="P3169" s="92">
        <f>_xll.qlCalendarAdvance(Calendar,O3169,NDays&amp;"D")</f>
        <v>61543</v>
      </c>
      <c r="Q3169" s="81" t="e">
        <v>#N/A</v>
      </c>
      <c r="R3169" s="85" t="e">
        <v>#N/A</v>
      </c>
    </row>
    <row r="3170" spans="14:18" x14ac:dyDescent="0.2">
      <c r="N3170" s="88" t="str">
        <f t="shared" si="55"/>
        <v>1w</v>
      </c>
      <c r="O3170" s="82">
        <f>_xll.qlCalendarAdvance(Calendar,O3169,N3170,"f",FALSE)</f>
        <v>61548</v>
      </c>
      <c r="P3170" s="92">
        <f>_xll.qlCalendarAdvance(Calendar,O3170,NDays&amp;"D")</f>
        <v>61550</v>
      </c>
      <c r="Q3170" s="81" t="e">
        <v>#N/A</v>
      </c>
      <c r="R3170" s="85" t="e">
        <v>#N/A</v>
      </c>
    </row>
    <row r="3171" spans="14:18" x14ac:dyDescent="0.2">
      <c r="N3171" s="88" t="str">
        <f t="shared" si="55"/>
        <v>1w</v>
      </c>
      <c r="O3171" s="82">
        <f>_xll.qlCalendarAdvance(Calendar,O3170,N3171,"f",FALSE)</f>
        <v>61555</v>
      </c>
      <c r="P3171" s="92">
        <f>_xll.qlCalendarAdvance(Calendar,O3171,NDays&amp;"D")</f>
        <v>61557</v>
      </c>
      <c r="Q3171" s="81" t="e">
        <v>#N/A</v>
      </c>
      <c r="R3171" s="85" t="e">
        <v>#N/A</v>
      </c>
    </row>
    <row r="3172" spans="14:18" x14ac:dyDescent="0.2">
      <c r="N3172" s="88" t="str">
        <f t="shared" si="55"/>
        <v>1w</v>
      </c>
      <c r="O3172" s="82">
        <f>_xll.qlCalendarAdvance(Calendar,O3171,N3172,"f",FALSE)</f>
        <v>61562</v>
      </c>
      <c r="P3172" s="92">
        <f>_xll.qlCalendarAdvance(Calendar,O3172,NDays&amp;"D")</f>
        <v>61564</v>
      </c>
      <c r="Q3172" s="81" t="e">
        <v>#N/A</v>
      </c>
      <c r="R3172" s="85" t="e">
        <v>#N/A</v>
      </c>
    </row>
    <row r="3173" spans="14:18" x14ac:dyDescent="0.2">
      <c r="N3173" s="88" t="str">
        <f t="shared" si="55"/>
        <v>1w</v>
      </c>
      <c r="O3173" s="82">
        <f>_xll.qlCalendarAdvance(Calendar,O3172,N3173,"f",FALSE)</f>
        <v>61569</v>
      </c>
      <c r="P3173" s="92">
        <f>_xll.qlCalendarAdvance(Calendar,O3173,NDays&amp;"D")</f>
        <v>61571</v>
      </c>
      <c r="Q3173" s="81" t="e">
        <v>#N/A</v>
      </c>
      <c r="R3173" s="85" t="e">
        <v>#N/A</v>
      </c>
    </row>
    <row r="3174" spans="14:18" x14ac:dyDescent="0.2">
      <c r="N3174" s="88" t="str">
        <f t="shared" si="55"/>
        <v>1w</v>
      </c>
      <c r="O3174" s="82">
        <f>_xll.qlCalendarAdvance(Calendar,O3173,N3174,"f",FALSE)</f>
        <v>61576</v>
      </c>
      <c r="P3174" s="92">
        <f>_xll.qlCalendarAdvance(Calendar,O3174,NDays&amp;"D")</f>
        <v>61578</v>
      </c>
      <c r="Q3174" s="81" t="e">
        <v>#N/A</v>
      </c>
      <c r="R3174" s="85" t="e">
        <v>#N/A</v>
      </c>
    </row>
    <row r="3175" spans="14:18" x14ac:dyDescent="0.2">
      <c r="N3175" s="88" t="str">
        <f t="shared" si="55"/>
        <v>1w</v>
      </c>
      <c r="O3175" s="82">
        <f>_xll.qlCalendarAdvance(Calendar,O3174,N3175,"f",FALSE)</f>
        <v>61583</v>
      </c>
      <c r="P3175" s="92">
        <f>_xll.qlCalendarAdvance(Calendar,O3175,NDays&amp;"D")</f>
        <v>61585</v>
      </c>
      <c r="Q3175" s="81" t="e">
        <v>#N/A</v>
      </c>
      <c r="R3175" s="85" t="e">
        <v>#N/A</v>
      </c>
    </row>
    <row r="3176" spans="14:18" x14ac:dyDescent="0.2">
      <c r="N3176" s="88" t="str">
        <f t="shared" si="55"/>
        <v>1w</v>
      </c>
      <c r="O3176" s="82">
        <f>_xll.qlCalendarAdvance(Calendar,O3175,N3176,"f",FALSE)</f>
        <v>61590</v>
      </c>
      <c r="P3176" s="92">
        <f>_xll.qlCalendarAdvance(Calendar,O3176,NDays&amp;"D")</f>
        <v>61592</v>
      </c>
      <c r="Q3176" s="81" t="e">
        <v>#N/A</v>
      </c>
      <c r="R3176" s="85" t="e">
        <v>#N/A</v>
      </c>
    </row>
    <row r="3177" spans="14:18" x14ac:dyDescent="0.2">
      <c r="N3177" s="88" t="str">
        <f t="shared" si="55"/>
        <v>1w</v>
      </c>
      <c r="O3177" s="82">
        <f>_xll.qlCalendarAdvance(Calendar,O3176,N3177,"f",FALSE)</f>
        <v>61597</v>
      </c>
      <c r="P3177" s="92">
        <f>_xll.qlCalendarAdvance(Calendar,O3177,NDays&amp;"D")</f>
        <v>61599</v>
      </c>
      <c r="Q3177" s="81" t="e">
        <v>#N/A</v>
      </c>
      <c r="R3177" s="85" t="e">
        <v>#N/A</v>
      </c>
    </row>
    <row r="3178" spans="14:18" x14ac:dyDescent="0.2">
      <c r="N3178" s="88" t="str">
        <f t="shared" si="55"/>
        <v>1w</v>
      </c>
      <c r="O3178" s="82">
        <f>_xll.qlCalendarAdvance(Calendar,O3177,N3178,"f",FALSE)</f>
        <v>61604</v>
      </c>
      <c r="P3178" s="92">
        <f>_xll.qlCalendarAdvance(Calendar,O3178,NDays&amp;"D")</f>
        <v>61606</v>
      </c>
      <c r="Q3178" s="81" t="e">
        <v>#N/A</v>
      </c>
      <c r="R3178" s="85" t="e">
        <v>#N/A</v>
      </c>
    </row>
    <row r="3179" spans="14:18" x14ac:dyDescent="0.2">
      <c r="N3179" s="88" t="str">
        <f t="shared" si="55"/>
        <v>1w</v>
      </c>
      <c r="O3179" s="82">
        <f>_xll.qlCalendarAdvance(Calendar,O3178,N3179,"f",FALSE)</f>
        <v>61611</v>
      </c>
      <c r="P3179" s="92">
        <f>_xll.qlCalendarAdvance(Calendar,O3179,NDays&amp;"D")</f>
        <v>61613</v>
      </c>
      <c r="Q3179" s="81" t="e">
        <v>#N/A</v>
      </c>
      <c r="R3179" s="85" t="e">
        <v>#N/A</v>
      </c>
    </row>
    <row r="3180" spans="14:18" x14ac:dyDescent="0.2">
      <c r="N3180" s="88" t="str">
        <f t="shared" si="55"/>
        <v>1w</v>
      </c>
      <c r="O3180" s="82">
        <f>_xll.qlCalendarAdvance(Calendar,O3179,N3180,"f",FALSE)</f>
        <v>61618</v>
      </c>
      <c r="P3180" s="92">
        <f>_xll.qlCalendarAdvance(Calendar,O3180,NDays&amp;"D")</f>
        <v>61620</v>
      </c>
      <c r="Q3180" s="81" t="e">
        <v>#N/A</v>
      </c>
      <c r="R3180" s="85" t="e">
        <v>#N/A</v>
      </c>
    </row>
    <row r="3181" spans="14:18" x14ac:dyDescent="0.2">
      <c r="N3181" s="88" t="str">
        <f t="shared" si="55"/>
        <v>1w</v>
      </c>
      <c r="O3181" s="82">
        <f>_xll.qlCalendarAdvance(Calendar,O3180,N3181,"f",FALSE)</f>
        <v>61625</v>
      </c>
      <c r="P3181" s="92">
        <f>_xll.qlCalendarAdvance(Calendar,O3181,NDays&amp;"D")</f>
        <v>61627</v>
      </c>
      <c r="Q3181" s="81" t="e">
        <v>#N/A</v>
      </c>
      <c r="R3181" s="85" t="e">
        <v>#N/A</v>
      </c>
    </row>
    <row r="3182" spans="14:18" x14ac:dyDescent="0.2">
      <c r="N3182" s="88" t="str">
        <f t="shared" si="55"/>
        <v>1w</v>
      </c>
      <c r="O3182" s="82">
        <f>_xll.qlCalendarAdvance(Calendar,O3181,N3182,"f",FALSE)</f>
        <v>61632</v>
      </c>
      <c r="P3182" s="92">
        <f>_xll.qlCalendarAdvance(Calendar,O3182,NDays&amp;"D")</f>
        <v>61634</v>
      </c>
      <c r="Q3182" s="81" t="e">
        <v>#N/A</v>
      </c>
      <c r="R3182" s="85" t="e">
        <v>#N/A</v>
      </c>
    </row>
    <row r="3183" spans="14:18" x14ac:dyDescent="0.2">
      <c r="N3183" s="88" t="str">
        <f t="shared" si="55"/>
        <v>1w</v>
      </c>
      <c r="O3183" s="82">
        <f>_xll.qlCalendarAdvance(Calendar,O3182,N3183,"f",FALSE)</f>
        <v>61639</v>
      </c>
      <c r="P3183" s="92">
        <f>_xll.qlCalendarAdvance(Calendar,O3183,NDays&amp;"D")</f>
        <v>61641</v>
      </c>
      <c r="Q3183" s="81" t="e">
        <v>#N/A</v>
      </c>
      <c r="R3183" s="85" t="e">
        <v>#N/A</v>
      </c>
    </row>
    <row r="3184" spans="14:18" x14ac:dyDescent="0.2">
      <c r="N3184" s="88" t="str">
        <f t="shared" si="55"/>
        <v>1w</v>
      </c>
      <c r="O3184" s="82">
        <f>_xll.qlCalendarAdvance(Calendar,O3183,N3184,"f",FALSE)</f>
        <v>61646</v>
      </c>
      <c r="P3184" s="92">
        <f>_xll.qlCalendarAdvance(Calendar,O3184,NDays&amp;"D")</f>
        <v>61648</v>
      </c>
      <c r="Q3184" s="81" t="e">
        <v>#N/A</v>
      </c>
      <c r="R3184" s="85" t="e">
        <v>#N/A</v>
      </c>
    </row>
    <row r="3185" spans="14:18" x14ac:dyDescent="0.2">
      <c r="N3185" s="88" t="str">
        <f t="shared" si="55"/>
        <v>1w</v>
      </c>
      <c r="O3185" s="82">
        <f>_xll.qlCalendarAdvance(Calendar,O3184,N3185,"f",FALSE)</f>
        <v>61653</v>
      </c>
      <c r="P3185" s="92">
        <f>_xll.qlCalendarAdvance(Calendar,O3185,NDays&amp;"D")</f>
        <v>61655</v>
      </c>
      <c r="Q3185" s="81" t="e">
        <v>#N/A</v>
      </c>
      <c r="R3185" s="85" t="e">
        <v>#N/A</v>
      </c>
    </row>
    <row r="3186" spans="14:18" x14ac:dyDescent="0.2">
      <c r="N3186" s="88" t="str">
        <f t="shared" si="55"/>
        <v>1w</v>
      </c>
      <c r="O3186" s="82">
        <f>_xll.qlCalendarAdvance(Calendar,O3185,N3186,"f",FALSE)</f>
        <v>61660</v>
      </c>
      <c r="P3186" s="92">
        <f>_xll.qlCalendarAdvance(Calendar,O3186,NDays&amp;"D")</f>
        <v>61662</v>
      </c>
      <c r="Q3186" s="81" t="e">
        <v>#N/A</v>
      </c>
      <c r="R3186" s="85" t="e">
        <v>#N/A</v>
      </c>
    </row>
    <row r="3187" spans="14:18" x14ac:dyDescent="0.2">
      <c r="N3187" s="88" t="str">
        <f t="shared" si="55"/>
        <v>1w</v>
      </c>
      <c r="O3187" s="82">
        <f>_xll.qlCalendarAdvance(Calendar,O3186,N3187,"f",FALSE)</f>
        <v>61667</v>
      </c>
      <c r="P3187" s="92">
        <f>_xll.qlCalendarAdvance(Calendar,O3187,NDays&amp;"D")</f>
        <v>61669</v>
      </c>
      <c r="Q3187" s="81" t="e">
        <v>#N/A</v>
      </c>
      <c r="R3187" s="85" t="e">
        <v>#N/A</v>
      </c>
    </row>
    <row r="3188" spans="14:18" x14ac:dyDescent="0.2">
      <c r="N3188" s="88" t="str">
        <f t="shared" si="55"/>
        <v>1w</v>
      </c>
      <c r="O3188" s="82">
        <f>_xll.qlCalendarAdvance(Calendar,O3187,N3188,"f",FALSE)</f>
        <v>61674</v>
      </c>
      <c r="P3188" s="92">
        <f>_xll.qlCalendarAdvance(Calendar,O3188,NDays&amp;"D")</f>
        <v>61676</v>
      </c>
      <c r="Q3188" s="81" t="e">
        <v>#N/A</v>
      </c>
      <c r="R3188" s="85" t="e">
        <v>#N/A</v>
      </c>
    </row>
    <row r="3189" spans="14:18" x14ac:dyDescent="0.2">
      <c r="N3189" s="88" t="str">
        <f t="shared" si="55"/>
        <v>1w</v>
      </c>
      <c r="O3189" s="82">
        <f>_xll.qlCalendarAdvance(Calendar,O3188,N3189,"f",FALSE)</f>
        <v>61681</v>
      </c>
      <c r="P3189" s="92">
        <f>_xll.qlCalendarAdvance(Calendar,O3189,NDays&amp;"D")</f>
        <v>61683</v>
      </c>
      <c r="Q3189" s="81" t="e">
        <v>#N/A</v>
      </c>
      <c r="R3189" s="85" t="e">
        <v>#N/A</v>
      </c>
    </row>
    <row r="3190" spans="14:18" x14ac:dyDescent="0.2">
      <c r="N3190" s="88" t="str">
        <f t="shared" si="55"/>
        <v>1w</v>
      </c>
      <c r="O3190" s="82">
        <f>_xll.qlCalendarAdvance(Calendar,O3189,N3190,"f",FALSE)</f>
        <v>61688</v>
      </c>
      <c r="P3190" s="92">
        <f>_xll.qlCalendarAdvance(Calendar,O3190,NDays&amp;"D")</f>
        <v>61690</v>
      </c>
      <c r="Q3190" s="81" t="e">
        <v>#N/A</v>
      </c>
      <c r="R3190" s="85" t="e">
        <v>#N/A</v>
      </c>
    </row>
    <row r="3191" spans="14:18" x14ac:dyDescent="0.2">
      <c r="N3191" s="88" t="str">
        <f t="shared" si="55"/>
        <v>1w</v>
      </c>
      <c r="O3191" s="82">
        <f>_xll.qlCalendarAdvance(Calendar,O3190,N3191,"f",FALSE)</f>
        <v>61695</v>
      </c>
      <c r="P3191" s="92">
        <f>_xll.qlCalendarAdvance(Calendar,O3191,NDays&amp;"D")</f>
        <v>61697</v>
      </c>
      <c r="Q3191" s="81" t="e">
        <v>#N/A</v>
      </c>
      <c r="R3191" s="85" t="e">
        <v>#N/A</v>
      </c>
    </row>
    <row r="3192" spans="14:18" x14ac:dyDescent="0.2">
      <c r="N3192" s="88" t="str">
        <f t="shared" si="55"/>
        <v>1w</v>
      </c>
      <c r="O3192" s="82">
        <f>_xll.qlCalendarAdvance(Calendar,O3191,N3192,"f",FALSE)</f>
        <v>61702</v>
      </c>
      <c r="P3192" s="92">
        <f>_xll.qlCalendarAdvance(Calendar,O3192,NDays&amp;"D")</f>
        <v>61704</v>
      </c>
      <c r="Q3192" s="81" t="e">
        <v>#N/A</v>
      </c>
      <c r="R3192" s="85" t="e">
        <v>#N/A</v>
      </c>
    </row>
    <row r="3193" spans="14:18" x14ac:dyDescent="0.2">
      <c r="N3193" s="88" t="str">
        <f t="shared" si="55"/>
        <v>1w</v>
      </c>
      <c r="O3193" s="82">
        <f>_xll.qlCalendarAdvance(Calendar,O3192,N3193,"f",FALSE)</f>
        <v>61709</v>
      </c>
      <c r="P3193" s="92">
        <f>_xll.qlCalendarAdvance(Calendar,O3193,NDays&amp;"D")</f>
        <v>61711</v>
      </c>
      <c r="Q3193" s="81" t="e">
        <v>#N/A</v>
      </c>
      <c r="R3193" s="85" t="e">
        <v>#N/A</v>
      </c>
    </row>
    <row r="3194" spans="14:18" x14ac:dyDescent="0.2">
      <c r="N3194" s="88" t="str">
        <f t="shared" si="55"/>
        <v>1w</v>
      </c>
      <c r="O3194" s="82">
        <f>_xll.qlCalendarAdvance(Calendar,O3193,N3194,"f",FALSE)</f>
        <v>61716</v>
      </c>
      <c r="P3194" s="92">
        <f>_xll.qlCalendarAdvance(Calendar,O3194,NDays&amp;"D")</f>
        <v>61718</v>
      </c>
      <c r="Q3194" s="81" t="e">
        <v>#N/A</v>
      </c>
      <c r="R3194" s="85" t="e">
        <v>#N/A</v>
      </c>
    </row>
    <row r="3195" spans="14:18" x14ac:dyDescent="0.2">
      <c r="N3195" s="88" t="str">
        <f t="shared" si="55"/>
        <v>1w</v>
      </c>
      <c r="O3195" s="82">
        <f>_xll.qlCalendarAdvance(Calendar,O3194,N3195,"f",FALSE)</f>
        <v>61724</v>
      </c>
      <c r="P3195" s="92">
        <f>_xll.qlCalendarAdvance(Calendar,O3195,NDays&amp;"D")</f>
        <v>61730</v>
      </c>
      <c r="Q3195" s="81" t="e">
        <v>#N/A</v>
      </c>
      <c r="R3195" s="85" t="e">
        <v>#N/A</v>
      </c>
    </row>
    <row r="3196" spans="14:18" x14ac:dyDescent="0.2">
      <c r="N3196" s="88" t="str">
        <f t="shared" si="55"/>
        <v>1w</v>
      </c>
      <c r="O3196" s="82">
        <f>_xll.qlCalendarAdvance(Calendar,O3195,N3196,"f",FALSE)</f>
        <v>61731</v>
      </c>
      <c r="P3196" s="92">
        <f>_xll.qlCalendarAdvance(Calendar,O3196,NDays&amp;"D")</f>
        <v>61735</v>
      </c>
      <c r="Q3196" s="81" t="e">
        <v>#N/A</v>
      </c>
      <c r="R3196" s="85" t="e">
        <v>#N/A</v>
      </c>
    </row>
    <row r="3197" spans="14:18" x14ac:dyDescent="0.2">
      <c r="N3197" s="88" t="str">
        <f t="shared" si="55"/>
        <v>1w</v>
      </c>
      <c r="O3197" s="82">
        <f>_xll.qlCalendarAdvance(Calendar,O3196,N3197,"f",FALSE)</f>
        <v>61738</v>
      </c>
      <c r="P3197" s="92">
        <f>_xll.qlCalendarAdvance(Calendar,O3197,NDays&amp;"D")</f>
        <v>61742</v>
      </c>
      <c r="Q3197" s="81" t="e">
        <v>#N/A</v>
      </c>
      <c r="R3197" s="85" t="e">
        <v>#N/A</v>
      </c>
    </row>
    <row r="3198" spans="14:18" x14ac:dyDescent="0.2">
      <c r="N3198" s="88" t="str">
        <f t="shared" si="55"/>
        <v>1w</v>
      </c>
      <c r="O3198" s="82">
        <f>_xll.qlCalendarAdvance(Calendar,O3197,N3198,"f",FALSE)</f>
        <v>61745</v>
      </c>
      <c r="P3198" s="92">
        <f>_xll.qlCalendarAdvance(Calendar,O3198,NDays&amp;"D")</f>
        <v>61749</v>
      </c>
      <c r="Q3198" s="81" t="e">
        <v>#N/A</v>
      </c>
      <c r="R3198" s="85" t="e">
        <v>#N/A</v>
      </c>
    </row>
    <row r="3199" spans="14:18" x14ac:dyDescent="0.2">
      <c r="N3199" s="88" t="str">
        <f t="shared" si="55"/>
        <v>1w</v>
      </c>
      <c r="O3199" s="82">
        <f>_xll.qlCalendarAdvance(Calendar,O3198,N3199,"f",FALSE)</f>
        <v>61752</v>
      </c>
      <c r="P3199" s="92">
        <f>_xll.qlCalendarAdvance(Calendar,O3199,NDays&amp;"D")</f>
        <v>61756</v>
      </c>
      <c r="Q3199" s="81" t="e">
        <v>#N/A</v>
      </c>
      <c r="R3199" s="85" t="e">
        <v>#N/A</v>
      </c>
    </row>
    <row r="3200" spans="14:18" x14ac:dyDescent="0.2">
      <c r="N3200" s="88" t="str">
        <f t="shared" si="55"/>
        <v>1w</v>
      </c>
      <c r="O3200" s="82">
        <f>_xll.qlCalendarAdvance(Calendar,O3199,N3200,"f",FALSE)</f>
        <v>61759</v>
      </c>
      <c r="P3200" s="92">
        <f>_xll.qlCalendarAdvance(Calendar,O3200,NDays&amp;"D")</f>
        <v>61763</v>
      </c>
      <c r="Q3200" s="81" t="e">
        <v>#N/A</v>
      </c>
      <c r="R3200" s="85" t="e">
        <v>#N/A</v>
      </c>
    </row>
    <row r="3201" spans="14:18" x14ac:dyDescent="0.2">
      <c r="N3201" s="88" t="str">
        <f t="shared" si="55"/>
        <v>1w</v>
      </c>
      <c r="O3201" s="82">
        <f>_xll.qlCalendarAdvance(Calendar,O3200,N3201,"f",FALSE)</f>
        <v>61766</v>
      </c>
      <c r="P3201" s="92">
        <f>_xll.qlCalendarAdvance(Calendar,O3201,NDays&amp;"D")</f>
        <v>61770</v>
      </c>
      <c r="Q3201" s="81" t="e">
        <v>#N/A</v>
      </c>
      <c r="R3201" s="85" t="e">
        <v>#N/A</v>
      </c>
    </row>
    <row r="3202" spans="14:18" x14ac:dyDescent="0.2">
      <c r="N3202" s="88" t="str">
        <f t="shared" si="55"/>
        <v>1w</v>
      </c>
      <c r="O3202" s="82">
        <f>_xll.qlCalendarAdvance(Calendar,O3201,N3202,"f",FALSE)</f>
        <v>61773</v>
      </c>
      <c r="P3202" s="92">
        <f>_xll.qlCalendarAdvance(Calendar,O3202,NDays&amp;"D")</f>
        <v>61777</v>
      </c>
      <c r="Q3202" s="81" t="e">
        <v>#N/A</v>
      </c>
      <c r="R3202" s="85" t="e">
        <v>#N/A</v>
      </c>
    </row>
    <row r="3203" spans="14:18" x14ac:dyDescent="0.2">
      <c r="N3203" s="88" t="str">
        <f t="shared" si="55"/>
        <v>1w</v>
      </c>
      <c r="O3203" s="82">
        <f>_xll.qlCalendarAdvance(Calendar,O3202,N3203,"f",FALSE)</f>
        <v>61780</v>
      </c>
      <c r="P3203" s="92">
        <f>_xll.qlCalendarAdvance(Calendar,O3203,NDays&amp;"D")</f>
        <v>61784</v>
      </c>
      <c r="Q3203" s="81" t="e">
        <v>#N/A</v>
      </c>
      <c r="R3203" s="85" t="e">
        <v>#N/A</v>
      </c>
    </row>
    <row r="3204" spans="14:18" x14ac:dyDescent="0.2">
      <c r="N3204" s="88" t="str">
        <f t="shared" si="55"/>
        <v>1w</v>
      </c>
      <c r="O3204" s="82">
        <f>_xll.qlCalendarAdvance(Calendar,O3203,N3204,"f",FALSE)</f>
        <v>61787</v>
      </c>
      <c r="P3204" s="92">
        <f>_xll.qlCalendarAdvance(Calendar,O3204,NDays&amp;"D")</f>
        <v>61791</v>
      </c>
      <c r="Q3204" s="81" t="e">
        <v>#N/A</v>
      </c>
      <c r="R3204" s="85" t="e">
        <v>#N/A</v>
      </c>
    </row>
    <row r="3205" spans="14:18" x14ac:dyDescent="0.2">
      <c r="N3205" s="88" t="str">
        <f t="shared" si="55"/>
        <v>1w</v>
      </c>
      <c r="O3205" s="82">
        <f>_xll.qlCalendarAdvance(Calendar,O3204,N3205,"f",FALSE)</f>
        <v>61794</v>
      </c>
      <c r="P3205" s="92">
        <f>_xll.qlCalendarAdvance(Calendar,O3205,NDays&amp;"D")</f>
        <v>61798</v>
      </c>
      <c r="Q3205" s="81" t="e">
        <v>#N/A</v>
      </c>
      <c r="R3205" s="85" t="e">
        <v>#N/A</v>
      </c>
    </row>
    <row r="3206" spans="14:18" x14ac:dyDescent="0.2">
      <c r="N3206" s="88" t="str">
        <f t="shared" si="55"/>
        <v>1w</v>
      </c>
      <c r="O3206" s="82">
        <f>_xll.qlCalendarAdvance(Calendar,O3205,N3206,"f",FALSE)</f>
        <v>61801</v>
      </c>
      <c r="P3206" s="92">
        <f>_xll.qlCalendarAdvance(Calendar,O3206,NDays&amp;"D")</f>
        <v>61805</v>
      </c>
      <c r="Q3206" s="81" t="e">
        <v>#N/A</v>
      </c>
      <c r="R3206" s="85" t="e">
        <v>#N/A</v>
      </c>
    </row>
    <row r="3207" spans="14:18" x14ac:dyDescent="0.2">
      <c r="N3207" s="88" t="str">
        <f t="shared" si="55"/>
        <v>1w</v>
      </c>
      <c r="O3207" s="82">
        <f>_xll.qlCalendarAdvance(Calendar,O3206,N3207,"f",FALSE)</f>
        <v>61808</v>
      </c>
      <c r="P3207" s="92">
        <f>_xll.qlCalendarAdvance(Calendar,O3207,NDays&amp;"D")</f>
        <v>61812</v>
      </c>
      <c r="Q3207" s="81" t="e">
        <v>#N/A</v>
      </c>
      <c r="R3207" s="85" t="e">
        <v>#N/A</v>
      </c>
    </row>
    <row r="3208" spans="14:18" x14ac:dyDescent="0.2">
      <c r="N3208" s="88" t="str">
        <f t="shared" si="55"/>
        <v>1w</v>
      </c>
      <c r="O3208" s="82">
        <f>_xll.qlCalendarAdvance(Calendar,O3207,N3208,"f",FALSE)</f>
        <v>61815</v>
      </c>
      <c r="P3208" s="92">
        <f>_xll.qlCalendarAdvance(Calendar,O3208,NDays&amp;"D")</f>
        <v>61819</v>
      </c>
      <c r="Q3208" s="81" t="e">
        <v>#N/A</v>
      </c>
      <c r="R3208" s="85" t="e">
        <v>#N/A</v>
      </c>
    </row>
    <row r="3209" spans="14:18" x14ac:dyDescent="0.2">
      <c r="N3209" s="88" t="str">
        <f t="shared" si="55"/>
        <v>1w</v>
      </c>
      <c r="O3209" s="82">
        <f>_xll.qlCalendarAdvance(Calendar,O3208,N3209,"f",FALSE)</f>
        <v>61822</v>
      </c>
      <c r="P3209" s="92">
        <f>_xll.qlCalendarAdvance(Calendar,O3209,NDays&amp;"D")</f>
        <v>61826</v>
      </c>
      <c r="Q3209" s="81" t="e">
        <v>#N/A</v>
      </c>
      <c r="R3209" s="85" t="e">
        <v>#N/A</v>
      </c>
    </row>
    <row r="3210" spans="14:18" x14ac:dyDescent="0.2">
      <c r="N3210" s="88" t="str">
        <f t="shared" si="55"/>
        <v>1w</v>
      </c>
      <c r="O3210" s="82">
        <f>_xll.qlCalendarAdvance(Calendar,O3209,N3210,"f",FALSE)</f>
        <v>61829</v>
      </c>
      <c r="P3210" s="92">
        <f>_xll.qlCalendarAdvance(Calendar,O3210,NDays&amp;"D")</f>
        <v>61835</v>
      </c>
      <c r="Q3210" s="81" t="e">
        <v>#N/A</v>
      </c>
      <c r="R3210" s="85" t="e">
        <v>#N/A</v>
      </c>
    </row>
    <row r="3211" spans="14:18" x14ac:dyDescent="0.2">
      <c r="N3211" s="88" t="str">
        <f t="shared" si="55"/>
        <v>1w</v>
      </c>
      <c r="O3211" s="82">
        <f>_xll.qlCalendarAdvance(Calendar,O3210,N3211,"f",FALSE)</f>
        <v>61836</v>
      </c>
      <c r="P3211" s="92">
        <f>_xll.qlCalendarAdvance(Calendar,O3211,NDays&amp;"D")</f>
        <v>61840</v>
      </c>
      <c r="Q3211" s="81" t="e">
        <v>#N/A</v>
      </c>
      <c r="R3211" s="85" t="e">
        <v>#N/A</v>
      </c>
    </row>
    <row r="3212" spans="14:18" x14ac:dyDescent="0.2">
      <c r="N3212" s="88" t="str">
        <f t="shared" si="55"/>
        <v>1w</v>
      </c>
      <c r="O3212" s="82">
        <f>_xll.qlCalendarAdvance(Calendar,O3211,N3212,"f",FALSE)</f>
        <v>61843</v>
      </c>
      <c r="P3212" s="92">
        <f>_xll.qlCalendarAdvance(Calendar,O3212,NDays&amp;"D")</f>
        <v>61847</v>
      </c>
      <c r="Q3212" s="81" t="e">
        <v>#N/A</v>
      </c>
      <c r="R3212" s="85" t="e">
        <v>#N/A</v>
      </c>
    </row>
    <row r="3213" spans="14:18" x14ac:dyDescent="0.2">
      <c r="N3213" s="88" t="str">
        <f t="shared" si="55"/>
        <v>1w</v>
      </c>
      <c r="O3213" s="82">
        <f>_xll.qlCalendarAdvance(Calendar,O3212,N3213,"f",FALSE)</f>
        <v>61850</v>
      </c>
      <c r="P3213" s="92">
        <f>_xll.qlCalendarAdvance(Calendar,O3213,NDays&amp;"D")</f>
        <v>61854</v>
      </c>
      <c r="Q3213" s="81" t="e">
        <v>#N/A</v>
      </c>
      <c r="R3213" s="85" t="e">
        <v>#N/A</v>
      </c>
    </row>
    <row r="3214" spans="14:18" x14ac:dyDescent="0.2">
      <c r="N3214" s="88" t="str">
        <f t="shared" si="55"/>
        <v>1w</v>
      </c>
      <c r="O3214" s="82">
        <f>_xll.qlCalendarAdvance(Calendar,O3213,N3214,"f",FALSE)</f>
        <v>61857</v>
      </c>
      <c r="P3214" s="92">
        <f>_xll.qlCalendarAdvance(Calendar,O3214,NDays&amp;"D")</f>
        <v>61861</v>
      </c>
      <c r="Q3214" s="81" t="e">
        <v>#N/A</v>
      </c>
      <c r="R3214" s="85" t="e">
        <v>#N/A</v>
      </c>
    </row>
    <row r="3215" spans="14:18" x14ac:dyDescent="0.2">
      <c r="N3215" s="88" t="str">
        <f t="shared" si="55"/>
        <v>1w</v>
      </c>
      <c r="O3215" s="82">
        <f>_xll.qlCalendarAdvance(Calendar,O3214,N3215,"f",FALSE)</f>
        <v>61864</v>
      </c>
      <c r="P3215" s="92">
        <f>_xll.qlCalendarAdvance(Calendar,O3215,NDays&amp;"D")</f>
        <v>61868</v>
      </c>
      <c r="Q3215" s="81" t="e">
        <v>#N/A</v>
      </c>
      <c r="R3215" s="85" t="e">
        <v>#N/A</v>
      </c>
    </row>
    <row r="3216" spans="14:18" x14ac:dyDescent="0.2">
      <c r="N3216" s="88" t="str">
        <f t="shared" si="55"/>
        <v>1w</v>
      </c>
      <c r="O3216" s="82">
        <f>_xll.qlCalendarAdvance(Calendar,O3215,N3216,"f",FALSE)</f>
        <v>61872</v>
      </c>
      <c r="P3216" s="92">
        <f>_xll.qlCalendarAdvance(Calendar,O3216,NDays&amp;"D")</f>
        <v>61876</v>
      </c>
      <c r="Q3216" s="81" t="e">
        <v>#N/A</v>
      </c>
      <c r="R3216" s="85" t="e">
        <v>#N/A</v>
      </c>
    </row>
    <row r="3217" spans="14:18" x14ac:dyDescent="0.2">
      <c r="N3217" s="88" t="str">
        <f t="shared" si="55"/>
        <v>1w</v>
      </c>
      <c r="O3217" s="82">
        <f>_xll.qlCalendarAdvance(Calendar,O3216,N3217,"f",FALSE)</f>
        <v>61879</v>
      </c>
      <c r="P3217" s="92">
        <f>_xll.qlCalendarAdvance(Calendar,O3217,NDays&amp;"D")</f>
        <v>61884</v>
      </c>
      <c r="Q3217" s="81" t="e">
        <v>#N/A</v>
      </c>
      <c r="R3217" s="85" t="e">
        <v>#N/A</v>
      </c>
    </row>
    <row r="3218" spans="14:18" x14ac:dyDescent="0.2">
      <c r="N3218" s="88" t="str">
        <f t="shared" si="55"/>
        <v>1w</v>
      </c>
      <c r="O3218" s="82">
        <f>_xll.qlCalendarAdvance(Calendar,O3217,N3218,"f",FALSE)</f>
        <v>61886</v>
      </c>
      <c r="P3218" s="92">
        <f>_xll.qlCalendarAdvance(Calendar,O3218,NDays&amp;"D")</f>
        <v>61890</v>
      </c>
      <c r="Q3218" s="81" t="e">
        <v>#N/A</v>
      </c>
      <c r="R3218" s="85" t="e">
        <v>#N/A</v>
      </c>
    </row>
    <row r="3219" spans="14:18" x14ac:dyDescent="0.2">
      <c r="N3219" s="88" t="str">
        <f t="shared" si="55"/>
        <v>1w</v>
      </c>
      <c r="O3219" s="82">
        <f>_xll.qlCalendarAdvance(Calendar,O3218,N3219,"f",FALSE)</f>
        <v>61893</v>
      </c>
      <c r="P3219" s="92">
        <f>_xll.qlCalendarAdvance(Calendar,O3219,NDays&amp;"D")</f>
        <v>61897</v>
      </c>
      <c r="Q3219" s="81" t="e">
        <v>#N/A</v>
      </c>
      <c r="R3219" s="85" t="e">
        <v>#N/A</v>
      </c>
    </row>
    <row r="3220" spans="14:18" x14ac:dyDescent="0.2">
      <c r="N3220" s="88" t="str">
        <f t="shared" si="55"/>
        <v>1w</v>
      </c>
      <c r="O3220" s="82">
        <f>_xll.qlCalendarAdvance(Calendar,O3219,N3220,"f",FALSE)</f>
        <v>61903</v>
      </c>
      <c r="P3220" s="92">
        <f>_xll.qlCalendarAdvance(Calendar,O3220,NDays&amp;"D")</f>
        <v>61905</v>
      </c>
      <c r="Q3220" s="81" t="e">
        <v>#N/A</v>
      </c>
      <c r="R3220" s="85" t="e">
        <v>#N/A</v>
      </c>
    </row>
    <row r="3221" spans="14:18" x14ac:dyDescent="0.2">
      <c r="N3221" s="88" t="str">
        <f t="shared" ref="N3221:N3284" si="56">N3220</f>
        <v>1w</v>
      </c>
      <c r="O3221" s="82">
        <f>_xll.qlCalendarAdvance(Calendar,O3220,N3221,"f",FALSE)</f>
        <v>61910</v>
      </c>
      <c r="P3221" s="92">
        <f>_xll.qlCalendarAdvance(Calendar,O3221,NDays&amp;"D")</f>
        <v>61912</v>
      </c>
      <c r="Q3221" s="81" t="e">
        <v>#N/A</v>
      </c>
      <c r="R3221" s="85" t="e">
        <v>#N/A</v>
      </c>
    </row>
    <row r="3222" spans="14:18" x14ac:dyDescent="0.2">
      <c r="N3222" s="88" t="str">
        <f t="shared" si="56"/>
        <v>1w</v>
      </c>
      <c r="O3222" s="82">
        <f>_xll.qlCalendarAdvance(Calendar,O3221,N3222,"f",FALSE)</f>
        <v>61917</v>
      </c>
      <c r="P3222" s="92">
        <f>_xll.qlCalendarAdvance(Calendar,O3222,NDays&amp;"D")</f>
        <v>61919</v>
      </c>
      <c r="Q3222" s="81" t="e">
        <v>#N/A</v>
      </c>
      <c r="R3222" s="85" t="e">
        <v>#N/A</v>
      </c>
    </row>
    <row r="3223" spans="14:18" x14ac:dyDescent="0.2">
      <c r="N3223" s="88" t="str">
        <f t="shared" si="56"/>
        <v>1w</v>
      </c>
      <c r="O3223" s="82">
        <f>_xll.qlCalendarAdvance(Calendar,O3222,N3223,"f",FALSE)</f>
        <v>61924</v>
      </c>
      <c r="P3223" s="92">
        <f>_xll.qlCalendarAdvance(Calendar,O3223,NDays&amp;"D")</f>
        <v>61926</v>
      </c>
      <c r="Q3223" s="81" t="e">
        <v>#N/A</v>
      </c>
      <c r="R3223" s="85" t="e">
        <v>#N/A</v>
      </c>
    </row>
    <row r="3224" spans="14:18" x14ac:dyDescent="0.2">
      <c r="N3224" s="88" t="str">
        <f t="shared" si="56"/>
        <v>1w</v>
      </c>
      <c r="O3224" s="82">
        <f>_xll.qlCalendarAdvance(Calendar,O3223,N3224,"f",FALSE)</f>
        <v>61931</v>
      </c>
      <c r="P3224" s="92">
        <f>_xll.qlCalendarAdvance(Calendar,O3224,NDays&amp;"D")</f>
        <v>61933</v>
      </c>
      <c r="Q3224" s="81" t="e">
        <v>#N/A</v>
      </c>
      <c r="R3224" s="85" t="e">
        <v>#N/A</v>
      </c>
    </row>
    <row r="3225" spans="14:18" x14ac:dyDescent="0.2">
      <c r="N3225" s="88" t="str">
        <f t="shared" si="56"/>
        <v>1w</v>
      </c>
      <c r="O3225" s="82">
        <f>_xll.qlCalendarAdvance(Calendar,O3224,N3225,"f",FALSE)</f>
        <v>61938</v>
      </c>
      <c r="P3225" s="92">
        <f>_xll.qlCalendarAdvance(Calendar,O3225,NDays&amp;"D")</f>
        <v>61940</v>
      </c>
      <c r="Q3225" s="81" t="e">
        <v>#N/A</v>
      </c>
      <c r="R3225" s="85" t="e">
        <v>#N/A</v>
      </c>
    </row>
    <row r="3226" spans="14:18" x14ac:dyDescent="0.2">
      <c r="N3226" s="88" t="str">
        <f t="shared" si="56"/>
        <v>1w</v>
      </c>
      <c r="O3226" s="82">
        <f>_xll.qlCalendarAdvance(Calendar,O3225,N3226,"f",FALSE)</f>
        <v>61945</v>
      </c>
      <c r="P3226" s="92">
        <f>_xll.qlCalendarAdvance(Calendar,O3226,NDays&amp;"D")</f>
        <v>61947</v>
      </c>
      <c r="Q3226" s="81" t="e">
        <v>#N/A</v>
      </c>
      <c r="R3226" s="85" t="e">
        <v>#N/A</v>
      </c>
    </row>
    <row r="3227" spans="14:18" x14ac:dyDescent="0.2">
      <c r="N3227" s="88" t="str">
        <f t="shared" si="56"/>
        <v>1w</v>
      </c>
      <c r="O3227" s="82">
        <f>_xll.qlCalendarAdvance(Calendar,O3226,N3227,"f",FALSE)</f>
        <v>61952</v>
      </c>
      <c r="P3227" s="92">
        <f>_xll.qlCalendarAdvance(Calendar,O3227,NDays&amp;"D")</f>
        <v>61954</v>
      </c>
      <c r="Q3227" s="81" t="e">
        <v>#N/A</v>
      </c>
      <c r="R3227" s="85" t="e">
        <v>#N/A</v>
      </c>
    </row>
    <row r="3228" spans="14:18" x14ac:dyDescent="0.2">
      <c r="N3228" s="88" t="str">
        <f t="shared" si="56"/>
        <v>1w</v>
      </c>
      <c r="O3228" s="82">
        <f>_xll.qlCalendarAdvance(Calendar,O3227,N3228,"f",FALSE)</f>
        <v>61959</v>
      </c>
      <c r="P3228" s="92">
        <f>_xll.qlCalendarAdvance(Calendar,O3228,NDays&amp;"D")</f>
        <v>61961</v>
      </c>
      <c r="Q3228" s="81" t="e">
        <v>#N/A</v>
      </c>
      <c r="R3228" s="85" t="e">
        <v>#N/A</v>
      </c>
    </row>
    <row r="3229" spans="14:18" x14ac:dyDescent="0.2">
      <c r="N3229" s="88" t="str">
        <f t="shared" si="56"/>
        <v>1w</v>
      </c>
      <c r="O3229" s="82">
        <f>_xll.qlCalendarAdvance(Calendar,O3228,N3229,"f",FALSE)</f>
        <v>61966</v>
      </c>
      <c r="P3229" s="92">
        <f>_xll.qlCalendarAdvance(Calendar,O3229,NDays&amp;"D")</f>
        <v>61968</v>
      </c>
      <c r="Q3229" s="81" t="e">
        <v>#N/A</v>
      </c>
      <c r="R3229" s="85" t="e">
        <v>#N/A</v>
      </c>
    </row>
    <row r="3230" spans="14:18" x14ac:dyDescent="0.2">
      <c r="N3230" s="88" t="str">
        <f t="shared" si="56"/>
        <v>1w</v>
      </c>
      <c r="O3230" s="82">
        <f>_xll.qlCalendarAdvance(Calendar,O3229,N3230,"f",FALSE)</f>
        <v>61973</v>
      </c>
      <c r="P3230" s="92">
        <f>_xll.qlCalendarAdvance(Calendar,O3230,NDays&amp;"D")</f>
        <v>61975</v>
      </c>
      <c r="Q3230" s="81" t="e">
        <v>#N/A</v>
      </c>
      <c r="R3230" s="85" t="e">
        <v>#N/A</v>
      </c>
    </row>
    <row r="3231" spans="14:18" x14ac:dyDescent="0.2">
      <c r="N3231" s="88" t="str">
        <f t="shared" si="56"/>
        <v>1w</v>
      </c>
      <c r="O3231" s="82">
        <f>_xll.qlCalendarAdvance(Calendar,O3230,N3231,"f",FALSE)</f>
        <v>61980</v>
      </c>
      <c r="P3231" s="92">
        <f>_xll.qlCalendarAdvance(Calendar,O3231,NDays&amp;"D")</f>
        <v>61982</v>
      </c>
      <c r="Q3231" s="81" t="e">
        <v>#N/A</v>
      </c>
      <c r="R3231" s="85" t="e">
        <v>#N/A</v>
      </c>
    </row>
    <row r="3232" spans="14:18" x14ac:dyDescent="0.2">
      <c r="N3232" s="88" t="str">
        <f t="shared" si="56"/>
        <v>1w</v>
      </c>
      <c r="O3232" s="82">
        <f>_xll.qlCalendarAdvance(Calendar,O3231,N3232,"f",FALSE)</f>
        <v>61987</v>
      </c>
      <c r="P3232" s="92">
        <f>_xll.qlCalendarAdvance(Calendar,O3232,NDays&amp;"D")</f>
        <v>61989</v>
      </c>
      <c r="Q3232" s="81" t="e">
        <v>#N/A</v>
      </c>
      <c r="R3232" s="85" t="e">
        <v>#N/A</v>
      </c>
    </row>
    <row r="3233" spans="14:18" x14ac:dyDescent="0.2">
      <c r="N3233" s="88" t="str">
        <f t="shared" si="56"/>
        <v>1w</v>
      </c>
      <c r="O3233" s="82">
        <f>_xll.qlCalendarAdvance(Calendar,O3232,N3233,"f",FALSE)</f>
        <v>61994</v>
      </c>
      <c r="P3233" s="92">
        <f>_xll.qlCalendarAdvance(Calendar,O3233,NDays&amp;"D")</f>
        <v>61996</v>
      </c>
      <c r="Q3233" s="81" t="e">
        <v>#N/A</v>
      </c>
      <c r="R3233" s="85" t="e">
        <v>#N/A</v>
      </c>
    </row>
    <row r="3234" spans="14:18" x14ac:dyDescent="0.2">
      <c r="N3234" s="88" t="str">
        <f t="shared" si="56"/>
        <v>1w</v>
      </c>
      <c r="O3234" s="82">
        <f>_xll.qlCalendarAdvance(Calendar,O3233,N3234,"f",FALSE)</f>
        <v>62001</v>
      </c>
      <c r="P3234" s="92">
        <f>_xll.qlCalendarAdvance(Calendar,O3234,NDays&amp;"D")</f>
        <v>62003</v>
      </c>
      <c r="Q3234" s="81" t="e">
        <v>#N/A</v>
      </c>
      <c r="R3234" s="85" t="e">
        <v>#N/A</v>
      </c>
    </row>
    <row r="3235" spans="14:18" x14ac:dyDescent="0.2">
      <c r="N3235" s="88" t="str">
        <f t="shared" si="56"/>
        <v>1w</v>
      </c>
      <c r="O3235" s="82">
        <f>_xll.qlCalendarAdvance(Calendar,O3234,N3235,"f",FALSE)</f>
        <v>62008</v>
      </c>
      <c r="P3235" s="92">
        <f>_xll.qlCalendarAdvance(Calendar,O3235,NDays&amp;"D")</f>
        <v>62010</v>
      </c>
      <c r="Q3235" s="81" t="e">
        <v>#N/A</v>
      </c>
      <c r="R3235" s="85" t="e">
        <v>#N/A</v>
      </c>
    </row>
    <row r="3236" spans="14:18" x14ac:dyDescent="0.2">
      <c r="N3236" s="88" t="str">
        <f t="shared" si="56"/>
        <v>1w</v>
      </c>
      <c r="O3236" s="82">
        <f>_xll.qlCalendarAdvance(Calendar,O3235,N3236,"f",FALSE)</f>
        <v>62015</v>
      </c>
      <c r="P3236" s="92">
        <f>_xll.qlCalendarAdvance(Calendar,O3236,NDays&amp;"D")</f>
        <v>62017</v>
      </c>
      <c r="Q3236" s="81" t="e">
        <v>#N/A</v>
      </c>
      <c r="R3236" s="85" t="e">
        <v>#N/A</v>
      </c>
    </row>
    <row r="3237" spans="14:18" x14ac:dyDescent="0.2">
      <c r="N3237" s="88" t="str">
        <f t="shared" si="56"/>
        <v>1w</v>
      </c>
      <c r="O3237" s="82">
        <f>_xll.qlCalendarAdvance(Calendar,O3236,N3237,"f",FALSE)</f>
        <v>62022</v>
      </c>
      <c r="P3237" s="92">
        <f>_xll.qlCalendarAdvance(Calendar,O3237,NDays&amp;"D")</f>
        <v>62024</v>
      </c>
      <c r="Q3237" s="81" t="e">
        <v>#N/A</v>
      </c>
      <c r="R3237" s="85" t="e">
        <v>#N/A</v>
      </c>
    </row>
    <row r="3238" spans="14:18" x14ac:dyDescent="0.2">
      <c r="N3238" s="88" t="str">
        <f t="shared" si="56"/>
        <v>1w</v>
      </c>
      <c r="O3238" s="82">
        <f>_xll.qlCalendarAdvance(Calendar,O3237,N3238,"f",FALSE)</f>
        <v>62029</v>
      </c>
      <c r="P3238" s="92">
        <f>_xll.qlCalendarAdvance(Calendar,O3238,NDays&amp;"D")</f>
        <v>62031</v>
      </c>
      <c r="Q3238" s="81" t="e">
        <v>#N/A</v>
      </c>
      <c r="R3238" s="85" t="e">
        <v>#N/A</v>
      </c>
    </row>
    <row r="3239" spans="14:18" x14ac:dyDescent="0.2">
      <c r="N3239" s="88" t="str">
        <f t="shared" si="56"/>
        <v>1w</v>
      </c>
      <c r="O3239" s="82">
        <f>_xll.qlCalendarAdvance(Calendar,O3238,N3239,"f",FALSE)</f>
        <v>62036</v>
      </c>
      <c r="P3239" s="92">
        <f>_xll.qlCalendarAdvance(Calendar,O3239,NDays&amp;"D")</f>
        <v>62038</v>
      </c>
      <c r="Q3239" s="81" t="e">
        <v>#N/A</v>
      </c>
      <c r="R3239" s="85" t="e">
        <v>#N/A</v>
      </c>
    </row>
    <row r="3240" spans="14:18" x14ac:dyDescent="0.2">
      <c r="N3240" s="88" t="str">
        <f t="shared" si="56"/>
        <v>1w</v>
      </c>
      <c r="O3240" s="82">
        <f>_xll.qlCalendarAdvance(Calendar,O3239,N3240,"f",FALSE)</f>
        <v>62043</v>
      </c>
      <c r="P3240" s="92">
        <f>_xll.qlCalendarAdvance(Calendar,O3240,NDays&amp;"D")</f>
        <v>62045</v>
      </c>
      <c r="Q3240" s="81" t="e">
        <v>#N/A</v>
      </c>
      <c r="R3240" s="85" t="e">
        <v>#N/A</v>
      </c>
    </row>
    <row r="3241" spans="14:18" x14ac:dyDescent="0.2">
      <c r="N3241" s="88" t="str">
        <f t="shared" si="56"/>
        <v>1w</v>
      </c>
      <c r="O3241" s="82">
        <f>_xll.qlCalendarAdvance(Calendar,O3240,N3241,"f",FALSE)</f>
        <v>62050</v>
      </c>
      <c r="P3241" s="92">
        <f>_xll.qlCalendarAdvance(Calendar,O3241,NDays&amp;"D")</f>
        <v>62052</v>
      </c>
      <c r="Q3241" s="81" t="e">
        <v>#N/A</v>
      </c>
      <c r="R3241" s="85" t="e">
        <v>#N/A</v>
      </c>
    </row>
    <row r="3242" spans="14:18" x14ac:dyDescent="0.2">
      <c r="N3242" s="88" t="str">
        <f t="shared" si="56"/>
        <v>1w</v>
      </c>
      <c r="O3242" s="82">
        <f>_xll.qlCalendarAdvance(Calendar,O3241,N3242,"f",FALSE)</f>
        <v>62057</v>
      </c>
      <c r="P3242" s="92">
        <f>_xll.qlCalendarAdvance(Calendar,O3242,NDays&amp;"D")</f>
        <v>62059</v>
      </c>
      <c r="Q3242" s="81" t="e">
        <v>#N/A</v>
      </c>
      <c r="R3242" s="85" t="e">
        <v>#N/A</v>
      </c>
    </row>
    <row r="3243" spans="14:18" x14ac:dyDescent="0.2">
      <c r="N3243" s="88" t="str">
        <f t="shared" si="56"/>
        <v>1w</v>
      </c>
      <c r="O3243" s="82">
        <f>_xll.qlCalendarAdvance(Calendar,O3242,N3243,"f",FALSE)</f>
        <v>62064</v>
      </c>
      <c r="P3243" s="92">
        <f>_xll.qlCalendarAdvance(Calendar,O3243,NDays&amp;"D")</f>
        <v>62066</v>
      </c>
      <c r="Q3243" s="81" t="e">
        <v>#N/A</v>
      </c>
      <c r="R3243" s="85" t="e">
        <v>#N/A</v>
      </c>
    </row>
    <row r="3244" spans="14:18" x14ac:dyDescent="0.2">
      <c r="N3244" s="88" t="str">
        <f t="shared" si="56"/>
        <v>1w</v>
      </c>
      <c r="O3244" s="82">
        <f>_xll.qlCalendarAdvance(Calendar,O3243,N3244,"f",FALSE)</f>
        <v>62071</v>
      </c>
      <c r="P3244" s="92">
        <f>_xll.qlCalendarAdvance(Calendar,O3244,NDays&amp;"D")</f>
        <v>62073</v>
      </c>
      <c r="Q3244" s="81" t="e">
        <v>#N/A</v>
      </c>
      <c r="R3244" s="85" t="e">
        <v>#N/A</v>
      </c>
    </row>
    <row r="3245" spans="14:18" x14ac:dyDescent="0.2">
      <c r="N3245" s="88" t="str">
        <f t="shared" si="56"/>
        <v>1w</v>
      </c>
      <c r="O3245" s="82">
        <f>_xll.qlCalendarAdvance(Calendar,O3244,N3245,"f",FALSE)</f>
        <v>62078</v>
      </c>
      <c r="P3245" s="92">
        <f>_xll.qlCalendarAdvance(Calendar,O3245,NDays&amp;"D")</f>
        <v>62080</v>
      </c>
      <c r="Q3245" s="81" t="e">
        <v>#N/A</v>
      </c>
      <c r="R3245" s="85" t="e">
        <v>#N/A</v>
      </c>
    </row>
    <row r="3246" spans="14:18" x14ac:dyDescent="0.2">
      <c r="N3246" s="88" t="str">
        <f t="shared" si="56"/>
        <v>1w</v>
      </c>
      <c r="O3246" s="82">
        <f>_xll.qlCalendarAdvance(Calendar,O3245,N3246,"f",FALSE)</f>
        <v>62085</v>
      </c>
      <c r="P3246" s="92">
        <f>_xll.qlCalendarAdvance(Calendar,O3246,NDays&amp;"D")</f>
        <v>62092</v>
      </c>
      <c r="Q3246" s="81" t="e">
        <v>#N/A</v>
      </c>
      <c r="R3246" s="85" t="e">
        <v>#N/A</v>
      </c>
    </row>
    <row r="3247" spans="14:18" x14ac:dyDescent="0.2">
      <c r="N3247" s="88" t="str">
        <f t="shared" si="56"/>
        <v>1w</v>
      </c>
      <c r="O3247" s="82">
        <f>_xll.qlCalendarAdvance(Calendar,O3246,N3247,"f",FALSE)</f>
        <v>62092</v>
      </c>
      <c r="P3247" s="92">
        <f>_xll.qlCalendarAdvance(Calendar,O3247,NDays&amp;"D")</f>
        <v>62096</v>
      </c>
      <c r="Q3247" s="81" t="e">
        <v>#N/A</v>
      </c>
      <c r="R3247" s="85" t="e">
        <v>#N/A</v>
      </c>
    </row>
    <row r="3248" spans="14:18" x14ac:dyDescent="0.2">
      <c r="N3248" s="88" t="str">
        <f t="shared" si="56"/>
        <v>1w</v>
      </c>
      <c r="O3248" s="82">
        <f>_xll.qlCalendarAdvance(Calendar,O3247,N3248,"f",FALSE)</f>
        <v>62100</v>
      </c>
      <c r="P3248" s="92">
        <f>_xll.qlCalendarAdvance(Calendar,O3248,NDays&amp;"D")</f>
        <v>62102</v>
      </c>
      <c r="Q3248" s="81" t="e">
        <v>#N/A</v>
      </c>
      <c r="R3248" s="85" t="e">
        <v>#N/A</v>
      </c>
    </row>
    <row r="3249" spans="14:18" x14ac:dyDescent="0.2">
      <c r="N3249" s="88" t="str">
        <f t="shared" si="56"/>
        <v>1w</v>
      </c>
      <c r="O3249" s="82">
        <f>_xll.qlCalendarAdvance(Calendar,O3248,N3249,"f",FALSE)</f>
        <v>62107</v>
      </c>
      <c r="P3249" s="92">
        <f>_xll.qlCalendarAdvance(Calendar,O3249,NDays&amp;"D")</f>
        <v>62109</v>
      </c>
      <c r="Q3249" s="81" t="e">
        <v>#N/A</v>
      </c>
      <c r="R3249" s="85" t="e">
        <v>#N/A</v>
      </c>
    </row>
    <row r="3250" spans="14:18" x14ac:dyDescent="0.2">
      <c r="N3250" s="88" t="str">
        <f t="shared" si="56"/>
        <v>1w</v>
      </c>
      <c r="O3250" s="82">
        <f>_xll.qlCalendarAdvance(Calendar,O3249,N3250,"f",FALSE)</f>
        <v>62114</v>
      </c>
      <c r="P3250" s="92">
        <f>_xll.qlCalendarAdvance(Calendar,O3250,NDays&amp;"D")</f>
        <v>62116</v>
      </c>
      <c r="Q3250" s="81" t="e">
        <v>#N/A</v>
      </c>
      <c r="R3250" s="85" t="e">
        <v>#N/A</v>
      </c>
    </row>
    <row r="3251" spans="14:18" x14ac:dyDescent="0.2">
      <c r="N3251" s="88" t="str">
        <f t="shared" si="56"/>
        <v>1w</v>
      </c>
      <c r="O3251" s="82">
        <f>_xll.qlCalendarAdvance(Calendar,O3250,N3251,"f",FALSE)</f>
        <v>62121</v>
      </c>
      <c r="P3251" s="92">
        <f>_xll.qlCalendarAdvance(Calendar,O3251,NDays&amp;"D")</f>
        <v>62123</v>
      </c>
      <c r="Q3251" s="81" t="e">
        <v>#N/A</v>
      </c>
      <c r="R3251" s="85" t="e">
        <v>#N/A</v>
      </c>
    </row>
    <row r="3252" spans="14:18" x14ac:dyDescent="0.2">
      <c r="N3252" s="88" t="str">
        <f t="shared" si="56"/>
        <v>1w</v>
      </c>
      <c r="O3252" s="82">
        <f>_xll.qlCalendarAdvance(Calendar,O3251,N3252,"f",FALSE)</f>
        <v>62128</v>
      </c>
      <c r="P3252" s="92">
        <f>_xll.qlCalendarAdvance(Calendar,O3252,NDays&amp;"D")</f>
        <v>62130</v>
      </c>
      <c r="Q3252" s="81" t="e">
        <v>#N/A</v>
      </c>
      <c r="R3252" s="85" t="e">
        <v>#N/A</v>
      </c>
    </row>
    <row r="3253" spans="14:18" x14ac:dyDescent="0.2">
      <c r="N3253" s="88" t="str">
        <f t="shared" si="56"/>
        <v>1w</v>
      </c>
      <c r="O3253" s="82">
        <f>_xll.qlCalendarAdvance(Calendar,O3252,N3253,"f",FALSE)</f>
        <v>62135</v>
      </c>
      <c r="P3253" s="92">
        <f>_xll.qlCalendarAdvance(Calendar,O3253,NDays&amp;"D")</f>
        <v>62137</v>
      </c>
      <c r="Q3253" s="81" t="e">
        <v>#N/A</v>
      </c>
      <c r="R3253" s="85" t="e">
        <v>#N/A</v>
      </c>
    </row>
    <row r="3254" spans="14:18" x14ac:dyDescent="0.2">
      <c r="N3254" s="88" t="str">
        <f t="shared" si="56"/>
        <v>1w</v>
      </c>
      <c r="O3254" s="82">
        <f>_xll.qlCalendarAdvance(Calendar,O3253,N3254,"f",FALSE)</f>
        <v>62142</v>
      </c>
      <c r="P3254" s="92">
        <f>_xll.qlCalendarAdvance(Calendar,O3254,NDays&amp;"D")</f>
        <v>62144</v>
      </c>
      <c r="Q3254" s="81" t="e">
        <v>#N/A</v>
      </c>
      <c r="R3254" s="85" t="e">
        <v>#N/A</v>
      </c>
    </row>
    <row r="3255" spans="14:18" x14ac:dyDescent="0.2">
      <c r="N3255" s="88" t="str">
        <f t="shared" si="56"/>
        <v>1w</v>
      </c>
      <c r="O3255" s="82">
        <f>_xll.qlCalendarAdvance(Calendar,O3254,N3255,"f",FALSE)</f>
        <v>62149</v>
      </c>
      <c r="P3255" s="92">
        <f>_xll.qlCalendarAdvance(Calendar,O3255,NDays&amp;"D")</f>
        <v>62151</v>
      </c>
      <c r="Q3255" s="81" t="e">
        <v>#N/A</v>
      </c>
      <c r="R3255" s="85" t="e">
        <v>#N/A</v>
      </c>
    </row>
    <row r="3256" spans="14:18" x14ac:dyDescent="0.2">
      <c r="N3256" s="88" t="str">
        <f t="shared" si="56"/>
        <v>1w</v>
      </c>
      <c r="O3256" s="82">
        <f>_xll.qlCalendarAdvance(Calendar,O3255,N3256,"f",FALSE)</f>
        <v>62156</v>
      </c>
      <c r="P3256" s="92">
        <f>_xll.qlCalendarAdvance(Calendar,O3256,NDays&amp;"D")</f>
        <v>62158</v>
      </c>
      <c r="Q3256" s="81" t="e">
        <v>#N/A</v>
      </c>
      <c r="R3256" s="85" t="e">
        <v>#N/A</v>
      </c>
    </row>
    <row r="3257" spans="14:18" x14ac:dyDescent="0.2">
      <c r="N3257" s="88" t="str">
        <f t="shared" si="56"/>
        <v>1w</v>
      </c>
      <c r="O3257" s="82">
        <f>_xll.qlCalendarAdvance(Calendar,O3256,N3257,"f",FALSE)</f>
        <v>62163</v>
      </c>
      <c r="P3257" s="92">
        <f>_xll.qlCalendarAdvance(Calendar,O3257,NDays&amp;"D")</f>
        <v>62165</v>
      </c>
      <c r="Q3257" s="81" t="e">
        <v>#N/A</v>
      </c>
      <c r="R3257" s="85" t="e">
        <v>#N/A</v>
      </c>
    </row>
    <row r="3258" spans="14:18" x14ac:dyDescent="0.2">
      <c r="N3258" s="88" t="str">
        <f t="shared" si="56"/>
        <v>1w</v>
      </c>
      <c r="O3258" s="82">
        <f>_xll.qlCalendarAdvance(Calendar,O3257,N3258,"f",FALSE)</f>
        <v>62170</v>
      </c>
      <c r="P3258" s="92">
        <f>_xll.qlCalendarAdvance(Calendar,O3258,NDays&amp;"D")</f>
        <v>62172</v>
      </c>
      <c r="Q3258" s="81" t="e">
        <v>#N/A</v>
      </c>
      <c r="R3258" s="85" t="e">
        <v>#N/A</v>
      </c>
    </row>
    <row r="3259" spans="14:18" x14ac:dyDescent="0.2">
      <c r="N3259" s="88" t="str">
        <f t="shared" si="56"/>
        <v>1w</v>
      </c>
      <c r="O3259" s="82">
        <f>_xll.qlCalendarAdvance(Calendar,O3258,N3259,"f",FALSE)</f>
        <v>62177</v>
      </c>
      <c r="P3259" s="92">
        <f>_xll.qlCalendarAdvance(Calendar,O3259,NDays&amp;"D")</f>
        <v>62179</v>
      </c>
      <c r="Q3259" s="81" t="e">
        <v>#N/A</v>
      </c>
      <c r="R3259" s="85" t="e">
        <v>#N/A</v>
      </c>
    </row>
    <row r="3260" spans="14:18" x14ac:dyDescent="0.2">
      <c r="N3260" s="88" t="str">
        <f t="shared" si="56"/>
        <v>1w</v>
      </c>
      <c r="O3260" s="82">
        <f>_xll.qlCalendarAdvance(Calendar,O3259,N3260,"f",FALSE)</f>
        <v>62184</v>
      </c>
      <c r="P3260" s="92">
        <f>_xll.qlCalendarAdvance(Calendar,O3260,NDays&amp;"D")</f>
        <v>62186</v>
      </c>
      <c r="Q3260" s="81" t="e">
        <v>#N/A</v>
      </c>
      <c r="R3260" s="85" t="e">
        <v>#N/A</v>
      </c>
    </row>
    <row r="3261" spans="14:18" x14ac:dyDescent="0.2">
      <c r="N3261" s="88" t="str">
        <f t="shared" si="56"/>
        <v>1w</v>
      </c>
      <c r="O3261" s="82">
        <f>_xll.qlCalendarAdvance(Calendar,O3260,N3261,"f",FALSE)</f>
        <v>62191</v>
      </c>
      <c r="P3261" s="92">
        <f>_xll.qlCalendarAdvance(Calendar,O3261,NDays&amp;"D")</f>
        <v>62193</v>
      </c>
      <c r="Q3261" s="81" t="e">
        <v>#N/A</v>
      </c>
      <c r="R3261" s="85" t="e">
        <v>#N/A</v>
      </c>
    </row>
    <row r="3262" spans="14:18" x14ac:dyDescent="0.2">
      <c r="N3262" s="88" t="str">
        <f t="shared" si="56"/>
        <v>1w</v>
      </c>
      <c r="O3262" s="82">
        <f>_xll.qlCalendarAdvance(Calendar,O3261,N3262,"f",FALSE)</f>
        <v>62198</v>
      </c>
      <c r="P3262" s="92">
        <f>_xll.qlCalendarAdvance(Calendar,O3262,NDays&amp;"D")</f>
        <v>62200</v>
      </c>
      <c r="Q3262" s="81" t="e">
        <v>#N/A</v>
      </c>
      <c r="R3262" s="85" t="e">
        <v>#N/A</v>
      </c>
    </row>
    <row r="3263" spans="14:18" x14ac:dyDescent="0.2">
      <c r="N3263" s="88" t="str">
        <f t="shared" si="56"/>
        <v>1w</v>
      </c>
      <c r="O3263" s="82">
        <f>_xll.qlCalendarAdvance(Calendar,O3262,N3263,"f",FALSE)</f>
        <v>62205</v>
      </c>
      <c r="P3263" s="92">
        <f>_xll.qlCalendarAdvance(Calendar,O3263,NDays&amp;"D")</f>
        <v>62207</v>
      </c>
      <c r="Q3263" s="81" t="e">
        <v>#N/A</v>
      </c>
      <c r="R3263" s="85" t="e">
        <v>#N/A</v>
      </c>
    </row>
    <row r="3264" spans="14:18" x14ac:dyDescent="0.2">
      <c r="N3264" s="88" t="str">
        <f t="shared" si="56"/>
        <v>1w</v>
      </c>
      <c r="O3264" s="82">
        <f>_xll.qlCalendarAdvance(Calendar,O3263,N3264,"f",FALSE)</f>
        <v>62212</v>
      </c>
      <c r="P3264" s="92">
        <f>_xll.qlCalendarAdvance(Calendar,O3264,NDays&amp;"D")</f>
        <v>62215</v>
      </c>
      <c r="Q3264" s="81" t="e">
        <v>#N/A</v>
      </c>
      <c r="R3264" s="85" t="e">
        <v>#N/A</v>
      </c>
    </row>
    <row r="3265" spans="14:18" x14ac:dyDescent="0.2">
      <c r="N3265" s="88" t="str">
        <f t="shared" si="56"/>
        <v>1w</v>
      </c>
      <c r="O3265" s="82">
        <f>_xll.qlCalendarAdvance(Calendar,O3264,N3265,"f",FALSE)</f>
        <v>62219</v>
      </c>
      <c r="P3265" s="92">
        <f>_xll.qlCalendarAdvance(Calendar,O3265,NDays&amp;"D")</f>
        <v>62222</v>
      </c>
      <c r="Q3265" s="81" t="e">
        <v>#N/A</v>
      </c>
      <c r="R3265" s="85" t="e">
        <v>#N/A</v>
      </c>
    </row>
    <row r="3266" spans="14:18" x14ac:dyDescent="0.2">
      <c r="N3266" s="88" t="str">
        <f t="shared" si="56"/>
        <v>1w</v>
      </c>
      <c r="O3266" s="82">
        <f>_xll.qlCalendarAdvance(Calendar,O3265,N3266,"f",FALSE)</f>
        <v>62226</v>
      </c>
      <c r="P3266" s="92">
        <f>_xll.qlCalendarAdvance(Calendar,O3266,NDays&amp;"D")</f>
        <v>62228</v>
      </c>
      <c r="Q3266" s="81" t="e">
        <v>#N/A</v>
      </c>
      <c r="R3266" s="85" t="e">
        <v>#N/A</v>
      </c>
    </row>
    <row r="3267" spans="14:18" x14ac:dyDescent="0.2">
      <c r="N3267" s="88" t="str">
        <f t="shared" si="56"/>
        <v>1w</v>
      </c>
      <c r="O3267" s="82">
        <f>_xll.qlCalendarAdvance(Calendar,O3266,N3267,"f",FALSE)</f>
        <v>62233</v>
      </c>
      <c r="P3267" s="92">
        <f>_xll.qlCalendarAdvance(Calendar,O3267,NDays&amp;"D")</f>
        <v>62235</v>
      </c>
      <c r="Q3267" s="81" t="e">
        <v>#N/A</v>
      </c>
      <c r="R3267" s="85" t="e">
        <v>#N/A</v>
      </c>
    </row>
    <row r="3268" spans="14:18" x14ac:dyDescent="0.2">
      <c r="N3268" s="88" t="str">
        <f t="shared" si="56"/>
        <v>1w</v>
      </c>
      <c r="O3268" s="82">
        <f>_xll.qlCalendarAdvance(Calendar,O3267,N3268,"f",FALSE)</f>
        <v>62240</v>
      </c>
      <c r="P3268" s="92">
        <f>_xll.qlCalendarAdvance(Calendar,O3268,NDays&amp;"D")</f>
        <v>62242</v>
      </c>
      <c r="Q3268" s="81" t="e">
        <v>#N/A</v>
      </c>
      <c r="R3268" s="85" t="e">
        <v>#N/A</v>
      </c>
    </row>
    <row r="3269" spans="14:18" x14ac:dyDescent="0.2">
      <c r="N3269" s="88" t="str">
        <f t="shared" si="56"/>
        <v>1w</v>
      </c>
      <c r="O3269" s="82">
        <f>_xll.qlCalendarAdvance(Calendar,O3268,N3269,"f",FALSE)</f>
        <v>62247</v>
      </c>
      <c r="P3269" s="92">
        <f>_xll.qlCalendarAdvance(Calendar,O3269,NDays&amp;"D")</f>
        <v>62249</v>
      </c>
      <c r="Q3269" s="81" t="e">
        <v>#N/A</v>
      </c>
      <c r="R3269" s="85" t="e">
        <v>#N/A</v>
      </c>
    </row>
    <row r="3270" spans="14:18" x14ac:dyDescent="0.2">
      <c r="N3270" s="88" t="str">
        <f t="shared" si="56"/>
        <v>1w</v>
      </c>
      <c r="O3270" s="82">
        <f>_xll.qlCalendarAdvance(Calendar,O3269,N3270,"f",FALSE)</f>
        <v>62254</v>
      </c>
      <c r="P3270" s="92">
        <f>_xll.qlCalendarAdvance(Calendar,O3270,NDays&amp;"D")</f>
        <v>62256</v>
      </c>
      <c r="Q3270" s="81" t="e">
        <v>#N/A</v>
      </c>
      <c r="R3270" s="85" t="e">
        <v>#N/A</v>
      </c>
    </row>
    <row r="3271" spans="14:18" x14ac:dyDescent="0.2">
      <c r="N3271" s="88" t="str">
        <f t="shared" si="56"/>
        <v>1w</v>
      </c>
      <c r="O3271" s="82">
        <f>_xll.qlCalendarAdvance(Calendar,O3270,N3271,"f",FALSE)</f>
        <v>62261</v>
      </c>
      <c r="P3271" s="92">
        <f>_xll.qlCalendarAdvance(Calendar,O3271,NDays&amp;"D")</f>
        <v>62263</v>
      </c>
      <c r="Q3271" s="81" t="e">
        <v>#N/A</v>
      </c>
      <c r="R3271" s="85" t="e">
        <v>#N/A</v>
      </c>
    </row>
    <row r="3272" spans="14:18" x14ac:dyDescent="0.2">
      <c r="N3272" s="88" t="str">
        <f t="shared" si="56"/>
        <v>1w</v>
      </c>
      <c r="O3272" s="82">
        <f>_xll.qlCalendarAdvance(Calendar,O3271,N3272,"f",FALSE)</f>
        <v>62268</v>
      </c>
      <c r="P3272" s="92">
        <f>_xll.qlCalendarAdvance(Calendar,O3272,NDays&amp;"D")</f>
        <v>62270</v>
      </c>
      <c r="Q3272" s="81" t="e">
        <v>#N/A</v>
      </c>
      <c r="R3272" s="85" t="e">
        <v>#N/A</v>
      </c>
    </row>
    <row r="3273" spans="14:18" x14ac:dyDescent="0.2">
      <c r="N3273" s="88" t="str">
        <f t="shared" si="56"/>
        <v>1w</v>
      </c>
      <c r="O3273" s="82">
        <f>_xll.qlCalendarAdvance(Calendar,O3272,N3273,"f",FALSE)</f>
        <v>62275</v>
      </c>
      <c r="P3273" s="92">
        <f>_xll.qlCalendarAdvance(Calendar,O3273,NDays&amp;"D")</f>
        <v>62277</v>
      </c>
      <c r="Q3273" s="81" t="e">
        <v>#N/A</v>
      </c>
      <c r="R3273" s="85" t="e">
        <v>#N/A</v>
      </c>
    </row>
    <row r="3274" spans="14:18" x14ac:dyDescent="0.2">
      <c r="N3274" s="88" t="str">
        <f t="shared" si="56"/>
        <v>1w</v>
      </c>
      <c r="O3274" s="82">
        <f>_xll.qlCalendarAdvance(Calendar,O3273,N3274,"f",FALSE)</f>
        <v>62282</v>
      </c>
      <c r="P3274" s="92">
        <f>_xll.qlCalendarAdvance(Calendar,O3274,NDays&amp;"D")</f>
        <v>62284</v>
      </c>
      <c r="Q3274" s="81" t="e">
        <v>#N/A</v>
      </c>
      <c r="R3274" s="85" t="e">
        <v>#N/A</v>
      </c>
    </row>
    <row r="3275" spans="14:18" x14ac:dyDescent="0.2">
      <c r="N3275" s="88" t="str">
        <f t="shared" si="56"/>
        <v>1w</v>
      </c>
      <c r="O3275" s="82">
        <f>_xll.qlCalendarAdvance(Calendar,O3274,N3275,"f",FALSE)</f>
        <v>62289</v>
      </c>
      <c r="P3275" s="92">
        <f>_xll.qlCalendarAdvance(Calendar,O3275,NDays&amp;"D")</f>
        <v>62291</v>
      </c>
      <c r="Q3275" s="81" t="e">
        <v>#N/A</v>
      </c>
      <c r="R3275" s="85" t="e">
        <v>#N/A</v>
      </c>
    </row>
    <row r="3276" spans="14:18" x14ac:dyDescent="0.2">
      <c r="N3276" s="88" t="str">
        <f t="shared" si="56"/>
        <v>1w</v>
      </c>
      <c r="O3276" s="82">
        <f>_xll.qlCalendarAdvance(Calendar,O3275,N3276,"f",FALSE)</f>
        <v>62296</v>
      </c>
      <c r="P3276" s="92">
        <f>_xll.qlCalendarAdvance(Calendar,O3276,NDays&amp;"D")</f>
        <v>62298</v>
      </c>
      <c r="Q3276" s="81" t="e">
        <v>#N/A</v>
      </c>
      <c r="R3276" s="85" t="e">
        <v>#N/A</v>
      </c>
    </row>
    <row r="3277" spans="14:18" x14ac:dyDescent="0.2">
      <c r="N3277" s="88" t="str">
        <f t="shared" si="56"/>
        <v>1w</v>
      </c>
      <c r="O3277" s="82">
        <f>_xll.qlCalendarAdvance(Calendar,O3276,N3277,"f",FALSE)</f>
        <v>62303</v>
      </c>
      <c r="P3277" s="92">
        <f>_xll.qlCalendarAdvance(Calendar,O3277,NDays&amp;"D")</f>
        <v>62305</v>
      </c>
      <c r="Q3277" s="81" t="e">
        <v>#N/A</v>
      </c>
      <c r="R3277" s="85" t="e">
        <v>#N/A</v>
      </c>
    </row>
    <row r="3278" spans="14:18" x14ac:dyDescent="0.2">
      <c r="N3278" s="88" t="str">
        <f t="shared" si="56"/>
        <v>1w</v>
      </c>
      <c r="O3278" s="82">
        <f>_xll.qlCalendarAdvance(Calendar,O3277,N3278,"f",FALSE)</f>
        <v>62310</v>
      </c>
      <c r="P3278" s="92">
        <f>_xll.qlCalendarAdvance(Calendar,O3278,NDays&amp;"D")</f>
        <v>62312</v>
      </c>
      <c r="Q3278" s="81" t="e">
        <v>#N/A</v>
      </c>
      <c r="R3278" s="85" t="e">
        <v>#N/A</v>
      </c>
    </row>
    <row r="3279" spans="14:18" x14ac:dyDescent="0.2">
      <c r="N3279" s="88" t="str">
        <f t="shared" si="56"/>
        <v>1w</v>
      </c>
      <c r="O3279" s="82">
        <f>_xll.qlCalendarAdvance(Calendar,O3278,N3279,"f",FALSE)</f>
        <v>62317</v>
      </c>
      <c r="P3279" s="92">
        <f>_xll.qlCalendarAdvance(Calendar,O3279,NDays&amp;"D")</f>
        <v>62319</v>
      </c>
      <c r="Q3279" s="81" t="e">
        <v>#N/A</v>
      </c>
      <c r="R3279" s="85" t="e">
        <v>#N/A</v>
      </c>
    </row>
    <row r="3280" spans="14:18" x14ac:dyDescent="0.2">
      <c r="N3280" s="88" t="str">
        <f t="shared" si="56"/>
        <v>1w</v>
      </c>
      <c r="O3280" s="82">
        <f>_xll.qlCalendarAdvance(Calendar,O3279,N3280,"f",FALSE)</f>
        <v>62324</v>
      </c>
      <c r="P3280" s="92">
        <f>_xll.qlCalendarAdvance(Calendar,O3280,NDays&amp;"D")</f>
        <v>62326</v>
      </c>
      <c r="Q3280" s="81" t="e">
        <v>#N/A</v>
      </c>
      <c r="R3280" s="85" t="e">
        <v>#N/A</v>
      </c>
    </row>
    <row r="3281" spans="14:18" x14ac:dyDescent="0.2">
      <c r="N3281" s="88" t="str">
        <f t="shared" si="56"/>
        <v>1w</v>
      </c>
      <c r="O3281" s="82">
        <f>_xll.qlCalendarAdvance(Calendar,O3280,N3281,"f",FALSE)</f>
        <v>62331</v>
      </c>
      <c r="P3281" s="92">
        <f>_xll.qlCalendarAdvance(Calendar,O3281,NDays&amp;"D")</f>
        <v>62333</v>
      </c>
      <c r="Q3281" s="81" t="e">
        <v>#N/A</v>
      </c>
      <c r="R3281" s="85" t="e">
        <v>#N/A</v>
      </c>
    </row>
    <row r="3282" spans="14:18" x14ac:dyDescent="0.2">
      <c r="N3282" s="88" t="str">
        <f t="shared" si="56"/>
        <v>1w</v>
      </c>
      <c r="O3282" s="82">
        <f>_xll.qlCalendarAdvance(Calendar,O3281,N3282,"f",FALSE)</f>
        <v>62338</v>
      </c>
      <c r="P3282" s="92">
        <f>_xll.qlCalendarAdvance(Calendar,O3282,NDays&amp;"D")</f>
        <v>62340</v>
      </c>
      <c r="Q3282" s="81" t="e">
        <v>#N/A</v>
      </c>
      <c r="R3282" s="85" t="e">
        <v>#N/A</v>
      </c>
    </row>
    <row r="3283" spans="14:18" x14ac:dyDescent="0.2">
      <c r="N3283" s="88" t="str">
        <f t="shared" si="56"/>
        <v>1w</v>
      </c>
      <c r="O3283" s="82">
        <f>_xll.qlCalendarAdvance(Calendar,O3282,N3283,"f",FALSE)</f>
        <v>62345</v>
      </c>
      <c r="P3283" s="92">
        <f>_xll.qlCalendarAdvance(Calendar,O3283,NDays&amp;"D")</f>
        <v>62347</v>
      </c>
      <c r="Q3283" s="81" t="e">
        <v>#N/A</v>
      </c>
      <c r="R3283" s="85" t="e">
        <v>#N/A</v>
      </c>
    </row>
    <row r="3284" spans="14:18" x14ac:dyDescent="0.2">
      <c r="N3284" s="88" t="str">
        <f t="shared" si="56"/>
        <v>1w</v>
      </c>
      <c r="O3284" s="82">
        <f>_xll.qlCalendarAdvance(Calendar,O3283,N3284,"f",FALSE)</f>
        <v>62352</v>
      </c>
      <c r="P3284" s="92">
        <f>_xll.qlCalendarAdvance(Calendar,O3284,NDays&amp;"D")</f>
        <v>62354</v>
      </c>
      <c r="Q3284" s="81" t="e">
        <v>#N/A</v>
      </c>
      <c r="R3284" s="85" t="e">
        <v>#N/A</v>
      </c>
    </row>
    <row r="3285" spans="14:18" x14ac:dyDescent="0.2">
      <c r="N3285" s="88" t="str">
        <f t="shared" ref="N3285:N3348" si="57">N3284</f>
        <v>1w</v>
      </c>
      <c r="O3285" s="82">
        <f>_xll.qlCalendarAdvance(Calendar,O3284,N3285,"f",FALSE)</f>
        <v>62359</v>
      </c>
      <c r="P3285" s="92">
        <f>_xll.qlCalendarAdvance(Calendar,O3285,NDays&amp;"D")</f>
        <v>62361</v>
      </c>
      <c r="Q3285" s="81" t="e">
        <v>#N/A</v>
      </c>
      <c r="R3285" s="85" t="e">
        <v>#N/A</v>
      </c>
    </row>
    <row r="3286" spans="14:18" x14ac:dyDescent="0.2">
      <c r="N3286" s="88" t="str">
        <f t="shared" si="57"/>
        <v>1w</v>
      </c>
      <c r="O3286" s="82">
        <f>_xll.qlCalendarAdvance(Calendar,O3285,N3286,"f",FALSE)</f>
        <v>62366</v>
      </c>
      <c r="P3286" s="92">
        <f>_xll.qlCalendarAdvance(Calendar,O3286,NDays&amp;"D")</f>
        <v>62368</v>
      </c>
      <c r="Q3286" s="81" t="e">
        <v>#N/A</v>
      </c>
      <c r="R3286" s="85" t="e">
        <v>#N/A</v>
      </c>
    </row>
    <row r="3287" spans="14:18" x14ac:dyDescent="0.2">
      <c r="N3287" s="88" t="str">
        <f t="shared" si="57"/>
        <v>1w</v>
      </c>
      <c r="O3287" s="82">
        <f>_xll.qlCalendarAdvance(Calendar,O3286,N3287,"f",FALSE)</f>
        <v>62373</v>
      </c>
      <c r="P3287" s="92">
        <f>_xll.qlCalendarAdvance(Calendar,O3287,NDays&amp;"D")</f>
        <v>62375</v>
      </c>
      <c r="Q3287" s="81" t="e">
        <v>#N/A</v>
      </c>
      <c r="R3287" s="85" t="e">
        <v>#N/A</v>
      </c>
    </row>
    <row r="3288" spans="14:18" x14ac:dyDescent="0.2">
      <c r="N3288" s="88" t="str">
        <f t="shared" si="57"/>
        <v>1w</v>
      </c>
      <c r="O3288" s="82">
        <f>_xll.qlCalendarAdvance(Calendar,O3287,N3288,"f",FALSE)</f>
        <v>62380</v>
      </c>
      <c r="P3288" s="92">
        <f>_xll.qlCalendarAdvance(Calendar,O3288,NDays&amp;"D")</f>
        <v>62382</v>
      </c>
      <c r="Q3288" s="81" t="e">
        <v>#N/A</v>
      </c>
      <c r="R3288" s="85" t="e">
        <v>#N/A</v>
      </c>
    </row>
    <row r="3289" spans="14:18" x14ac:dyDescent="0.2">
      <c r="N3289" s="88" t="str">
        <f t="shared" si="57"/>
        <v>1w</v>
      </c>
      <c r="O3289" s="82">
        <f>_xll.qlCalendarAdvance(Calendar,O3288,N3289,"f",FALSE)</f>
        <v>62387</v>
      </c>
      <c r="P3289" s="92">
        <f>_xll.qlCalendarAdvance(Calendar,O3289,NDays&amp;"D")</f>
        <v>62389</v>
      </c>
      <c r="Q3289" s="81" t="e">
        <v>#N/A</v>
      </c>
      <c r="R3289" s="85" t="e">
        <v>#N/A</v>
      </c>
    </row>
    <row r="3290" spans="14:18" x14ac:dyDescent="0.2">
      <c r="N3290" s="88" t="str">
        <f t="shared" si="57"/>
        <v>1w</v>
      </c>
      <c r="O3290" s="82">
        <f>_xll.qlCalendarAdvance(Calendar,O3289,N3290,"f",FALSE)</f>
        <v>62394</v>
      </c>
      <c r="P3290" s="92">
        <f>_xll.qlCalendarAdvance(Calendar,O3290,NDays&amp;"D")</f>
        <v>62396</v>
      </c>
      <c r="Q3290" s="81" t="e">
        <v>#N/A</v>
      </c>
      <c r="R3290" s="85" t="e">
        <v>#N/A</v>
      </c>
    </row>
    <row r="3291" spans="14:18" x14ac:dyDescent="0.2">
      <c r="N3291" s="88" t="str">
        <f t="shared" si="57"/>
        <v>1w</v>
      </c>
      <c r="O3291" s="82">
        <f>_xll.qlCalendarAdvance(Calendar,O3290,N3291,"f",FALSE)</f>
        <v>62401</v>
      </c>
      <c r="P3291" s="92">
        <f>_xll.qlCalendarAdvance(Calendar,O3291,NDays&amp;"D")</f>
        <v>62403</v>
      </c>
      <c r="Q3291" s="81" t="e">
        <v>#N/A</v>
      </c>
      <c r="R3291" s="85" t="e">
        <v>#N/A</v>
      </c>
    </row>
    <row r="3292" spans="14:18" x14ac:dyDescent="0.2">
      <c r="N3292" s="88" t="str">
        <f t="shared" si="57"/>
        <v>1w</v>
      </c>
      <c r="O3292" s="82">
        <f>_xll.qlCalendarAdvance(Calendar,O3291,N3292,"f",FALSE)</f>
        <v>62408</v>
      </c>
      <c r="P3292" s="92">
        <f>_xll.qlCalendarAdvance(Calendar,O3292,NDays&amp;"D")</f>
        <v>62410</v>
      </c>
      <c r="Q3292" s="81" t="e">
        <v>#N/A</v>
      </c>
      <c r="R3292" s="85" t="e">
        <v>#N/A</v>
      </c>
    </row>
    <row r="3293" spans="14:18" x14ac:dyDescent="0.2">
      <c r="N3293" s="88" t="str">
        <f t="shared" si="57"/>
        <v>1w</v>
      </c>
      <c r="O3293" s="82">
        <f>_xll.qlCalendarAdvance(Calendar,O3292,N3293,"f",FALSE)</f>
        <v>62415</v>
      </c>
      <c r="P3293" s="92">
        <f>_xll.qlCalendarAdvance(Calendar,O3293,NDays&amp;"D")</f>
        <v>62417</v>
      </c>
      <c r="Q3293" s="81" t="e">
        <v>#N/A</v>
      </c>
      <c r="R3293" s="85" t="e">
        <v>#N/A</v>
      </c>
    </row>
    <row r="3294" spans="14:18" x14ac:dyDescent="0.2">
      <c r="N3294" s="88" t="str">
        <f t="shared" si="57"/>
        <v>1w</v>
      </c>
      <c r="O3294" s="82">
        <f>_xll.qlCalendarAdvance(Calendar,O3293,N3294,"f",FALSE)</f>
        <v>62422</v>
      </c>
      <c r="P3294" s="92">
        <f>_xll.qlCalendarAdvance(Calendar,O3294,NDays&amp;"D")</f>
        <v>62424</v>
      </c>
      <c r="Q3294" s="81" t="e">
        <v>#N/A</v>
      </c>
      <c r="R3294" s="85" t="e">
        <v>#N/A</v>
      </c>
    </row>
    <row r="3295" spans="14:18" x14ac:dyDescent="0.2">
      <c r="N3295" s="88" t="str">
        <f t="shared" si="57"/>
        <v>1w</v>
      </c>
      <c r="O3295" s="82">
        <f>_xll.qlCalendarAdvance(Calendar,O3294,N3295,"f",FALSE)</f>
        <v>62429</v>
      </c>
      <c r="P3295" s="92">
        <f>_xll.qlCalendarAdvance(Calendar,O3295,NDays&amp;"D")</f>
        <v>62431</v>
      </c>
      <c r="Q3295" s="81" t="e">
        <v>#N/A</v>
      </c>
      <c r="R3295" s="85" t="e">
        <v>#N/A</v>
      </c>
    </row>
    <row r="3296" spans="14:18" x14ac:dyDescent="0.2">
      <c r="N3296" s="88" t="str">
        <f t="shared" si="57"/>
        <v>1w</v>
      </c>
      <c r="O3296" s="82">
        <f>_xll.qlCalendarAdvance(Calendar,O3295,N3296,"f",FALSE)</f>
        <v>62436</v>
      </c>
      <c r="P3296" s="92">
        <f>_xll.qlCalendarAdvance(Calendar,O3296,NDays&amp;"D")</f>
        <v>62438</v>
      </c>
      <c r="Q3296" s="81" t="e">
        <v>#N/A</v>
      </c>
      <c r="R3296" s="85" t="e">
        <v>#N/A</v>
      </c>
    </row>
    <row r="3297" spans="14:18" x14ac:dyDescent="0.2">
      <c r="N3297" s="88" t="str">
        <f t="shared" si="57"/>
        <v>1w</v>
      </c>
      <c r="O3297" s="82">
        <f>_xll.qlCalendarAdvance(Calendar,O3296,N3297,"f",FALSE)</f>
        <v>62443</v>
      </c>
      <c r="P3297" s="92">
        <f>_xll.qlCalendarAdvance(Calendar,O3297,NDays&amp;"D")</f>
        <v>62445</v>
      </c>
      <c r="Q3297" s="81" t="e">
        <v>#N/A</v>
      </c>
      <c r="R3297" s="85" t="e">
        <v>#N/A</v>
      </c>
    </row>
    <row r="3298" spans="14:18" x14ac:dyDescent="0.2">
      <c r="N3298" s="88" t="str">
        <f t="shared" si="57"/>
        <v>1w</v>
      </c>
      <c r="O3298" s="82">
        <f>_xll.qlCalendarAdvance(Calendar,O3297,N3298,"f",FALSE)</f>
        <v>62450</v>
      </c>
      <c r="P3298" s="92">
        <f>_xll.qlCalendarAdvance(Calendar,O3298,NDays&amp;"D")</f>
        <v>62457</v>
      </c>
      <c r="Q3298" s="81" t="e">
        <v>#N/A</v>
      </c>
      <c r="R3298" s="85" t="e">
        <v>#N/A</v>
      </c>
    </row>
    <row r="3299" spans="14:18" x14ac:dyDescent="0.2">
      <c r="N3299" s="88" t="str">
        <f t="shared" si="57"/>
        <v>1w</v>
      </c>
      <c r="O3299" s="82">
        <f>_xll.qlCalendarAdvance(Calendar,O3298,N3299,"f",FALSE)</f>
        <v>62457</v>
      </c>
      <c r="P3299" s="92">
        <f>_xll.qlCalendarAdvance(Calendar,O3299,NDays&amp;"D")</f>
        <v>62463</v>
      </c>
      <c r="Q3299" s="81" t="e">
        <v>#N/A</v>
      </c>
      <c r="R3299" s="85" t="e">
        <v>#N/A</v>
      </c>
    </row>
    <row r="3300" spans="14:18" x14ac:dyDescent="0.2">
      <c r="N3300" s="88" t="str">
        <f t="shared" si="57"/>
        <v>1w</v>
      </c>
      <c r="O3300" s="82">
        <f>_xll.qlCalendarAdvance(Calendar,O3299,N3300,"f",FALSE)</f>
        <v>62465</v>
      </c>
      <c r="P3300" s="92">
        <f>_xll.qlCalendarAdvance(Calendar,O3300,NDays&amp;"D")</f>
        <v>62467</v>
      </c>
      <c r="Q3300" s="81" t="e">
        <v>#N/A</v>
      </c>
      <c r="R3300" s="85" t="e">
        <v>#N/A</v>
      </c>
    </row>
    <row r="3301" spans="14:18" x14ac:dyDescent="0.2">
      <c r="N3301" s="88" t="str">
        <f t="shared" si="57"/>
        <v>1w</v>
      </c>
      <c r="O3301" s="82">
        <f>_xll.qlCalendarAdvance(Calendar,O3300,N3301,"f",FALSE)</f>
        <v>62472</v>
      </c>
      <c r="P3301" s="92">
        <f>_xll.qlCalendarAdvance(Calendar,O3301,NDays&amp;"D")</f>
        <v>62474</v>
      </c>
      <c r="Q3301" s="81" t="e">
        <v>#N/A</v>
      </c>
      <c r="R3301" s="85" t="e">
        <v>#N/A</v>
      </c>
    </row>
    <row r="3302" spans="14:18" x14ac:dyDescent="0.2">
      <c r="N3302" s="88" t="str">
        <f t="shared" si="57"/>
        <v>1w</v>
      </c>
      <c r="O3302" s="82">
        <f>_xll.qlCalendarAdvance(Calendar,O3301,N3302,"f",FALSE)</f>
        <v>62479</v>
      </c>
      <c r="P3302" s="92">
        <f>_xll.qlCalendarAdvance(Calendar,O3302,NDays&amp;"D")</f>
        <v>62481</v>
      </c>
      <c r="Q3302" s="81" t="e">
        <v>#N/A</v>
      </c>
      <c r="R3302" s="85" t="e">
        <v>#N/A</v>
      </c>
    </row>
    <row r="3303" spans="14:18" x14ac:dyDescent="0.2">
      <c r="N3303" s="88" t="str">
        <f t="shared" si="57"/>
        <v>1w</v>
      </c>
      <c r="O3303" s="82">
        <f>_xll.qlCalendarAdvance(Calendar,O3302,N3303,"f",FALSE)</f>
        <v>62486</v>
      </c>
      <c r="P3303" s="92">
        <f>_xll.qlCalendarAdvance(Calendar,O3303,NDays&amp;"D")</f>
        <v>62488</v>
      </c>
      <c r="Q3303" s="81" t="e">
        <v>#N/A</v>
      </c>
      <c r="R3303" s="85" t="e">
        <v>#N/A</v>
      </c>
    </row>
    <row r="3304" spans="14:18" x14ac:dyDescent="0.2">
      <c r="N3304" s="88" t="str">
        <f t="shared" si="57"/>
        <v>1w</v>
      </c>
      <c r="O3304" s="82">
        <f>_xll.qlCalendarAdvance(Calendar,O3303,N3304,"f",FALSE)</f>
        <v>62493</v>
      </c>
      <c r="P3304" s="92">
        <f>_xll.qlCalendarAdvance(Calendar,O3304,NDays&amp;"D")</f>
        <v>62495</v>
      </c>
      <c r="Q3304" s="81" t="e">
        <v>#N/A</v>
      </c>
      <c r="R3304" s="85" t="e">
        <v>#N/A</v>
      </c>
    </row>
    <row r="3305" spans="14:18" x14ac:dyDescent="0.2">
      <c r="N3305" s="88" t="str">
        <f t="shared" si="57"/>
        <v>1w</v>
      </c>
      <c r="O3305" s="82">
        <f>_xll.qlCalendarAdvance(Calendar,O3304,N3305,"f",FALSE)</f>
        <v>62500</v>
      </c>
      <c r="P3305" s="92">
        <f>_xll.qlCalendarAdvance(Calendar,O3305,NDays&amp;"D")</f>
        <v>62502</v>
      </c>
      <c r="Q3305" s="81" t="e">
        <v>#N/A</v>
      </c>
      <c r="R3305" s="85" t="e">
        <v>#N/A</v>
      </c>
    </row>
    <row r="3306" spans="14:18" x14ac:dyDescent="0.2">
      <c r="N3306" s="88" t="str">
        <f t="shared" si="57"/>
        <v>1w</v>
      </c>
      <c r="O3306" s="82">
        <f>_xll.qlCalendarAdvance(Calendar,O3305,N3306,"f",FALSE)</f>
        <v>62507</v>
      </c>
      <c r="P3306" s="92">
        <f>_xll.qlCalendarAdvance(Calendar,O3306,NDays&amp;"D")</f>
        <v>62509</v>
      </c>
      <c r="Q3306" s="81" t="e">
        <v>#N/A</v>
      </c>
      <c r="R3306" s="85" t="e">
        <v>#N/A</v>
      </c>
    </row>
    <row r="3307" spans="14:18" x14ac:dyDescent="0.2">
      <c r="N3307" s="88" t="str">
        <f t="shared" si="57"/>
        <v>1w</v>
      </c>
      <c r="O3307" s="82">
        <f>_xll.qlCalendarAdvance(Calendar,O3306,N3307,"f",FALSE)</f>
        <v>62514</v>
      </c>
      <c r="P3307" s="92">
        <f>_xll.qlCalendarAdvance(Calendar,O3307,NDays&amp;"D")</f>
        <v>62516</v>
      </c>
      <c r="Q3307" s="81" t="e">
        <v>#N/A</v>
      </c>
      <c r="R3307" s="85" t="e">
        <v>#N/A</v>
      </c>
    </row>
    <row r="3308" spans="14:18" x14ac:dyDescent="0.2">
      <c r="N3308" s="88" t="str">
        <f t="shared" si="57"/>
        <v>1w</v>
      </c>
      <c r="O3308" s="82">
        <f>_xll.qlCalendarAdvance(Calendar,O3307,N3308,"f",FALSE)</f>
        <v>62521</v>
      </c>
      <c r="P3308" s="92">
        <f>_xll.qlCalendarAdvance(Calendar,O3308,NDays&amp;"D")</f>
        <v>62523</v>
      </c>
      <c r="Q3308" s="81" t="e">
        <v>#N/A</v>
      </c>
      <c r="R3308" s="85" t="e">
        <v>#N/A</v>
      </c>
    </row>
    <row r="3309" spans="14:18" x14ac:dyDescent="0.2">
      <c r="N3309" s="88" t="str">
        <f t="shared" si="57"/>
        <v>1w</v>
      </c>
      <c r="O3309" s="82">
        <f>_xll.qlCalendarAdvance(Calendar,O3308,N3309,"f",FALSE)</f>
        <v>62528</v>
      </c>
      <c r="P3309" s="92">
        <f>_xll.qlCalendarAdvance(Calendar,O3309,NDays&amp;"D")</f>
        <v>62530</v>
      </c>
      <c r="Q3309" s="81" t="e">
        <v>#N/A</v>
      </c>
      <c r="R3309" s="85" t="e">
        <v>#N/A</v>
      </c>
    </row>
    <row r="3310" spans="14:18" x14ac:dyDescent="0.2">
      <c r="N3310" s="88" t="str">
        <f t="shared" si="57"/>
        <v>1w</v>
      </c>
      <c r="O3310" s="82">
        <f>_xll.qlCalendarAdvance(Calendar,O3309,N3310,"f",FALSE)</f>
        <v>62535</v>
      </c>
      <c r="P3310" s="92">
        <f>_xll.qlCalendarAdvance(Calendar,O3310,NDays&amp;"D")</f>
        <v>62537</v>
      </c>
      <c r="Q3310" s="81" t="e">
        <v>#N/A</v>
      </c>
      <c r="R3310" s="85" t="e">
        <v>#N/A</v>
      </c>
    </row>
    <row r="3311" spans="14:18" x14ac:dyDescent="0.2">
      <c r="N3311" s="88" t="str">
        <f t="shared" si="57"/>
        <v>1w</v>
      </c>
      <c r="O3311" s="82">
        <f>_xll.qlCalendarAdvance(Calendar,O3310,N3311,"f",FALSE)</f>
        <v>62542</v>
      </c>
      <c r="P3311" s="92">
        <f>_xll.qlCalendarAdvance(Calendar,O3311,NDays&amp;"D")</f>
        <v>62544</v>
      </c>
      <c r="Q3311" s="81" t="e">
        <v>#N/A</v>
      </c>
      <c r="R3311" s="85" t="e">
        <v>#N/A</v>
      </c>
    </row>
    <row r="3312" spans="14:18" x14ac:dyDescent="0.2">
      <c r="N3312" s="88" t="str">
        <f t="shared" si="57"/>
        <v>1w</v>
      </c>
      <c r="O3312" s="82">
        <f>_xll.qlCalendarAdvance(Calendar,O3311,N3312,"f",FALSE)</f>
        <v>62549</v>
      </c>
      <c r="P3312" s="92">
        <f>_xll.qlCalendarAdvance(Calendar,O3312,NDays&amp;"D")</f>
        <v>62551</v>
      </c>
      <c r="Q3312" s="81" t="e">
        <v>#N/A</v>
      </c>
      <c r="R3312" s="85" t="e">
        <v>#N/A</v>
      </c>
    </row>
    <row r="3313" spans="14:18" x14ac:dyDescent="0.2">
      <c r="N3313" s="88" t="str">
        <f t="shared" si="57"/>
        <v>1w</v>
      </c>
      <c r="O3313" s="82">
        <f>_xll.qlCalendarAdvance(Calendar,O3312,N3313,"f",FALSE)</f>
        <v>62556</v>
      </c>
      <c r="P3313" s="92">
        <f>_xll.qlCalendarAdvance(Calendar,O3313,NDays&amp;"D")</f>
        <v>62558</v>
      </c>
      <c r="Q3313" s="81" t="e">
        <v>#N/A</v>
      </c>
      <c r="R3313" s="85" t="e">
        <v>#N/A</v>
      </c>
    </row>
    <row r="3314" spans="14:18" x14ac:dyDescent="0.2">
      <c r="N3314" s="88" t="str">
        <f t="shared" si="57"/>
        <v>1w</v>
      </c>
      <c r="O3314" s="82">
        <f>_xll.qlCalendarAdvance(Calendar,O3313,N3314,"f",FALSE)</f>
        <v>62563</v>
      </c>
      <c r="P3314" s="92">
        <f>_xll.qlCalendarAdvance(Calendar,O3314,NDays&amp;"D")</f>
        <v>62569</v>
      </c>
      <c r="Q3314" s="81" t="e">
        <v>#N/A</v>
      </c>
      <c r="R3314" s="85" t="e">
        <v>#N/A</v>
      </c>
    </row>
    <row r="3315" spans="14:18" x14ac:dyDescent="0.2">
      <c r="N3315" s="88" t="str">
        <f t="shared" si="57"/>
        <v>1w</v>
      </c>
      <c r="O3315" s="82">
        <f>_xll.qlCalendarAdvance(Calendar,O3314,N3315,"f",FALSE)</f>
        <v>62570</v>
      </c>
      <c r="P3315" s="92">
        <f>_xll.qlCalendarAdvance(Calendar,O3315,NDays&amp;"D")</f>
        <v>62572</v>
      </c>
      <c r="Q3315" s="81" t="e">
        <v>#N/A</v>
      </c>
      <c r="R3315" s="85" t="e">
        <v>#N/A</v>
      </c>
    </row>
    <row r="3316" spans="14:18" x14ac:dyDescent="0.2">
      <c r="N3316" s="88" t="str">
        <f t="shared" si="57"/>
        <v>1w</v>
      </c>
      <c r="O3316" s="82">
        <f>_xll.qlCalendarAdvance(Calendar,O3315,N3316,"f",FALSE)</f>
        <v>62577</v>
      </c>
      <c r="P3316" s="92">
        <f>_xll.qlCalendarAdvance(Calendar,O3316,NDays&amp;"D")</f>
        <v>62582</v>
      </c>
      <c r="Q3316" s="81" t="e">
        <v>#N/A</v>
      </c>
      <c r="R3316" s="85" t="e">
        <v>#N/A</v>
      </c>
    </row>
    <row r="3317" spans="14:18" x14ac:dyDescent="0.2">
      <c r="N3317" s="88" t="str">
        <f t="shared" si="57"/>
        <v>1w</v>
      </c>
      <c r="O3317" s="82">
        <f>_xll.qlCalendarAdvance(Calendar,O3316,N3317,"f",FALSE)</f>
        <v>62584</v>
      </c>
      <c r="P3317" s="92">
        <f>_xll.qlCalendarAdvance(Calendar,O3317,NDays&amp;"D")</f>
        <v>62586</v>
      </c>
      <c r="Q3317" s="81" t="e">
        <v>#N/A</v>
      </c>
      <c r="R3317" s="85" t="e">
        <v>#N/A</v>
      </c>
    </row>
    <row r="3318" spans="14:18" x14ac:dyDescent="0.2">
      <c r="N3318" s="88" t="str">
        <f t="shared" si="57"/>
        <v>1w</v>
      </c>
      <c r="O3318" s="82">
        <f>_xll.qlCalendarAdvance(Calendar,O3317,N3318,"f",FALSE)</f>
        <v>62591</v>
      </c>
      <c r="P3318" s="92">
        <f>_xll.qlCalendarAdvance(Calendar,O3318,NDays&amp;"D")</f>
        <v>62593</v>
      </c>
      <c r="Q3318" s="81" t="e">
        <v>#N/A</v>
      </c>
      <c r="R3318" s="85" t="e">
        <v>#N/A</v>
      </c>
    </row>
    <row r="3319" spans="14:18" x14ac:dyDescent="0.2">
      <c r="N3319" s="88" t="str">
        <f t="shared" si="57"/>
        <v>1w</v>
      </c>
      <c r="O3319" s="82">
        <f>_xll.qlCalendarAdvance(Calendar,O3318,N3319,"f",FALSE)</f>
        <v>62598</v>
      </c>
      <c r="P3319" s="92">
        <f>_xll.qlCalendarAdvance(Calendar,O3319,NDays&amp;"D")</f>
        <v>62600</v>
      </c>
      <c r="Q3319" s="81" t="e">
        <v>#N/A</v>
      </c>
      <c r="R3319" s="85" t="e">
        <v>#N/A</v>
      </c>
    </row>
    <row r="3320" spans="14:18" x14ac:dyDescent="0.2">
      <c r="N3320" s="88" t="str">
        <f t="shared" si="57"/>
        <v>1w</v>
      </c>
      <c r="O3320" s="82">
        <f>_xll.qlCalendarAdvance(Calendar,O3319,N3320,"f",FALSE)</f>
        <v>62605</v>
      </c>
      <c r="P3320" s="92">
        <f>_xll.qlCalendarAdvance(Calendar,O3320,NDays&amp;"D")</f>
        <v>62610</v>
      </c>
      <c r="Q3320" s="81" t="e">
        <v>#N/A</v>
      </c>
      <c r="R3320" s="85" t="e">
        <v>#N/A</v>
      </c>
    </row>
    <row r="3321" spans="14:18" x14ac:dyDescent="0.2">
      <c r="N3321" s="88" t="str">
        <f t="shared" si="57"/>
        <v>1w</v>
      </c>
      <c r="O3321" s="82">
        <f>_xll.qlCalendarAdvance(Calendar,O3320,N3321,"f",FALSE)</f>
        <v>62612</v>
      </c>
      <c r="P3321" s="92">
        <f>_xll.qlCalendarAdvance(Calendar,O3321,NDays&amp;"D")</f>
        <v>62614</v>
      </c>
      <c r="Q3321" s="81" t="e">
        <v>#N/A</v>
      </c>
      <c r="R3321" s="85" t="e">
        <v>#N/A</v>
      </c>
    </row>
    <row r="3322" spans="14:18" x14ac:dyDescent="0.2">
      <c r="N3322" s="88" t="str">
        <f t="shared" si="57"/>
        <v>1w</v>
      </c>
      <c r="O3322" s="82">
        <f>_xll.qlCalendarAdvance(Calendar,O3321,N3322,"f",FALSE)</f>
        <v>62619</v>
      </c>
      <c r="P3322" s="92">
        <f>_xll.qlCalendarAdvance(Calendar,O3322,NDays&amp;"D")</f>
        <v>62621</v>
      </c>
      <c r="Q3322" s="81" t="e">
        <v>#N/A</v>
      </c>
      <c r="R3322" s="85" t="e">
        <v>#N/A</v>
      </c>
    </row>
    <row r="3323" spans="14:18" x14ac:dyDescent="0.2">
      <c r="N3323" s="88" t="str">
        <f t="shared" si="57"/>
        <v>1w</v>
      </c>
      <c r="O3323" s="82">
        <f>_xll.qlCalendarAdvance(Calendar,O3322,N3323,"f",FALSE)</f>
        <v>62626</v>
      </c>
      <c r="P3323" s="92">
        <f>_xll.qlCalendarAdvance(Calendar,O3323,NDays&amp;"D")</f>
        <v>62631</v>
      </c>
      <c r="Q3323" s="81" t="e">
        <v>#N/A</v>
      </c>
      <c r="R3323" s="85" t="e">
        <v>#N/A</v>
      </c>
    </row>
    <row r="3324" spans="14:18" x14ac:dyDescent="0.2">
      <c r="N3324" s="88" t="str">
        <f t="shared" si="57"/>
        <v>1w</v>
      </c>
      <c r="O3324" s="82">
        <f>_xll.qlCalendarAdvance(Calendar,O3323,N3324,"f",FALSE)</f>
        <v>62633</v>
      </c>
      <c r="P3324" s="92">
        <f>_xll.qlCalendarAdvance(Calendar,O3324,NDays&amp;"D")</f>
        <v>62635</v>
      </c>
      <c r="Q3324" s="81" t="e">
        <v>#N/A</v>
      </c>
      <c r="R3324" s="85" t="e">
        <v>#N/A</v>
      </c>
    </row>
    <row r="3325" spans="14:18" x14ac:dyDescent="0.2">
      <c r="N3325" s="88" t="str">
        <f t="shared" si="57"/>
        <v>1w</v>
      </c>
      <c r="O3325" s="82">
        <f>_xll.qlCalendarAdvance(Calendar,O3324,N3325,"f",FALSE)</f>
        <v>62640</v>
      </c>
      <c r="P3325" s="92">
        <f>_xll.qlCalendarAdvance(Calendar,O3325,NDays&amp;"D")</f>
        <v>62642</v>
      </c>
      <c r="Q3325" s="81" t="e">
        <v>#N/A</v>
      </c>
      <c r="R3325" s="85" t="e">
        <v>#N/A</v>
      </c>
    </row>
    <row r="3326" spans="14:18" x14ac:dyDescent="0.2">
      <c r="N3326" s="88" t="str">
        <f t="shared" si="57"/>
        <v>1w</v>
      </c>
      <c r="O3326" s="82">
        <f>_xll.qlCalendarAdvance(Calendar,O3325,N3326,"f",FALSE)</f>
        <v>62647</v>
      </c>
      <c r="P3326" s="92">
        <f>_xll.qlCalendarAdvance(Calendar,O3326,NDays&amp;"D")</f>
        <v>62649</v>
      </c>
      <c r="Q3326" s="81" t="e">
        <v>#N/A</v>
      </c>
      <c r="R3326" s="85" t="e">
        <v>#N/A</v>
      </c>
    </row>
    <row r="3327" spans="14:18" x14ac:dyDescent="0.2">
      <c r="N3327" s="88" t="str">
        <f t="shared" si="57"/>
        <v>1w</v>
      </c>
      <c r="O3327" s="82">
        <f>_xll.qlCalendarAdvance(Calendar,O3326,N3327,"f",FALSE)</f>
        <v>62654</v>
      </c>
      <c r="P3327" s="92">
        <f>_xll.qlCalendarAdvance(Calendar,O3327,NDays&amp;"D")</f>
        <v>62656</v>
      </c>
      <c r="Q3327" s="81" t="e">
        <v>#N/A</v>
      </c>
      <c r="R3327" s="85" t="e">
        <v>#N/A</v>
      </c>
    </row>
    <row r="3328" spans="14:18" x14ac:dyDescent="0.2">
      <c r="N3328" s="88" t="str">
        <f t="shared" si="57"/>
        <v>1w</v>
      </c>
      <c r="O3328" s="82">
        <f>_xll.qlCalendarAdvance(Calendar,O3327,N3328,"f",FALSE)</f>
        <v>62661</v>
      </c>
      <c r="P3328" s="92">
        <f>_xll.qlCalendarAdvance(Calendar,O3328,NDays&amp;"D")</f>
        <v>62663</v>
      </c>
      <c r="Q3328" s="81" t="e">
        <v>#N/A</v>
      </c>
      <c r="R3328" s="85" t="e">
        <v>#N/A</v>
      </c>
    </row>
    <row r="3329" spans="14:18" x14ac:dyDescent="0.2">
      <c r="N3329" s="88" t="str">
        <f t="shared" si="57"/>
        <v>1w</v>
      </c>
      <c r="O3329" s="82">
        <f>_xll.qlCalendarAdvance(Calendar,O3328,N3329,"f",FALSE)</f>
        <v>62668</v>
      </c>
      <c r="P3329" s="92">
        <f>_xll.qlCalendarAdvance(Calendar,O3329,NDays&amp;"D")</f>
        <v>62670</v>
      </c>
      <c r="Q3329" s="81" t="e">
        <v>#N/A</v>
      </c>
      <c r="R3329" s="85" t="e">
        <v>#N/A</v>
      </c>
    </row>
    <row r="3330" spans="14:18" x14ac:dyDescent="0.2">
      <c r="N3330" s="88" t="str">
        <f t="shared" si="57"/>
        <v>1w</v>
      </c>
      <c r="O3330" s="82">
        <f>_xll.qlCalendarAdvance(Calendar,O3329,N3330,"f",FALSE)</f>
        <v>62675</v>
      </c>
      <c r="P3330" s="92">
        <f>_xll.qlCalendarAdvance(Calendar,O3330,NDays&amp;"D")</f>
        <v>62677</v>
      </c>
      <c r="Q3330" s="81" t="e">
        <v>#N/A</v>
      </c>
      <c r="R3330" s="85" t="e">
        <v>#N/A</v>
      </c>
    </row>
    <row r="3331" spans="14:18" x14ac:dyDescent="0.2">
      <c r="N3331" s="88" t="str">
        <f t="shared" si="57"/>
        <v>1w</v>
      </c>
      <c r="O3331" s="82">
        <f>_xll.qlCalendarAdvance(Calendar,O3330,N3331,"f",FALSE)</f>
        <v>62682</v>
      </c>
      <c r="P3331" s="92">
        <f>_xll.qlCalendarAdvance(Calendar,O3331,NDays&amp;"D")</f>
        <v>62684</v>
      </c>
      <c r="Q3331" s="81" t="e">
        <v>#N/A</v>
      </c>
      <c r="R3331" s="85" t="e">
        <v>#N/A</v>
      </c>
    </row>
    <row r="3332" spans="14:18" x14ac:dyDescent="0.2">
      <c r="N3332" s="88" t="str">
        <f t="shared" si="57"/>
        <v>1w</v>
      </c>
      <c r="O3332" s="82">
        <f>_xll.qlCalendarAdvance(Calendar,O3331,N3332,"f",FALSE)</f>
        <v>62689</v>
      </c>
      <c r="P3332" s="92">
        <f>_xll.qlCalendarAdvance(Calendar,O3332,NDays&amp;"D")</f>
        <v>62691</v>
      </c>
      <c r="Q3332" s="81" t="e">
        <v>#N/A</v>
      </c>
      <c r="R3332" s="85" t="e">
        <v>#N/A</v>
      </c>
    </row>
    <row r="3333" spans="14:18" x14ac:dyDescent="0.2">
      <c r="N3333" s="88" t="str">
        <f t="shared" si="57"/>
        <v>1w</v>
      </c>
      <c r="O3333" s="82">
        <f>_xll.qlCalendarAdvance(Calendar,O3332,N3333,"f",FALSE)</f>
        <v>62696</v>
      </c>
      <c r="P3333" s="92">
        <f>_xll.qlCalendarAdvance(Calendar,O3333,NDays&amp;"D")</f>
        <v>62698</v>
      </c>
      <c r="Q3333" s="81" t="e">
        <v>#N/A</v>
      </c>
      <c r="R3333" s="85" t="e">
        <v>#N/A</v>
      </c>
    </row>
    <row r="3334" spans="14:18" x14ac:dyDescent="0.2">
      <c r="N3334" s="88" t="str">
        <f t="shared" si="57"/>
        <v>1w</v>
      </c>
      <c r="O3334" s="82">
        <f>_xll.qlCalendarAdvance(Calendar,O3333,N3334,"f",FALSE)</f>
        <v>62703</v>
      </c>
      <c r="P3334" s="92">
        <f>_xll.qlCalendarAdvance(Calendar,O3334,NDays&amp;"D")</f>
        <v>62705</v>
      </c>
      <c r="Q3334" s="81" t="e">
        <v>#N/A</v>
      </c>
      <c r="R3334" s="85" t="e">
        <v>#N/A</v>
      </c>
    </row>
    <row r="3335" spans="14:18" x14ac:dyDescent="0.2">
      <c r="N3335" s="88" t="str">
        <f t="shared" si="57"/>
        <v>1w</v>
      </c>
      <c r="O3335" s="82">
        <f>_xll.qlCalendarAdvance(Calendar,O3334,N3335,"f",FALSE)</f>
        <v>62710</v>
      </c>
      <c r="P3335" s="92">
        <f>_xll.qlCalendarAdvance(Calendar,O3335,NDays&amp;"D")</f>
        <v>62712</v>
      </c>
      <c r="Q3335" s="81" t="e">
        <v>#N/A</v>
      </c>
      <c r="R3335" s="85" t="e">
        <v>#N/A</v>
      </c>
    </row>
    <row r="3336" spans="14:18" x14ac:dyDescent="0.2">
      <c r="N3336" s="88" t="str">
        <f t="shared" si="57"/>
        <v>1w</v>
      </c>
      <c r="O3336" s="82">
        <f>_xll.qlCalendarAdvance(Calendar,O3335,N3336,"f",FALSE)</f>
        <v>62717</v>
      </c>
      <c r="P3336" s="92">
        <f>_xll.qlCalendarAdvance(Calendar,O3336,NDays&amp;"D")</f>
        <v>62719</v>
      </c>
      <c r="Q3336" s="81" t="e">
        <v>#N/A</v>
      </c>
      <c r="R3336" s="85" t="e">
        <v>#N/A</v>
      </c>
    </row>
    <row r="3337" spans="14:18" x14ac:dyDescent="0.2">
      <c r="N3337" s="88" t="str">
        <f t="shared" si="57"/>
        <v>1w</v>
      </c>
      <c r="O3337" s="82">
        <f>_xll.qlCalendarAdvance(Calendar,O3336,N3337,"f",FALSE)</f>
        <v>62724</v>
      </c>
      <c r="P3337" s="92">
        <f>_xll.qlCalendarAdvance(Calendar,O3337,NDays&amp;"D")</f>
        <v>62726</v>
      </c>
      <c r="Q3337" s="81" t="e">
        <v>#N/A</v>
      </c>
      <c r="R3337" s="85" t="e">
        <v>#N/A</v>
      </c>
    </row>
    <row r="3338" spans="14:18" x14ac:dyDescent="0.2">
      <c r="N3338" s="88" t="str">
        <f t="shared" si="57"/>
        <v>1w</v>
      </c>
      <c r="O3338" s="82">
        <f>_xll.qlCalendarAdvance(Calendar,O3337,N3338,"f",FALSE)</f>
        <v>62731</v>
      </c>
      <c r="P3338" s="92">
        <f>_xll.qlCalendarAdvance(Calendar,O3338,NDays&amp;"D")</f>
        <v>62733</v>
      </c>
      <c r="Q3338" s="81" t="e">
        <v>#N/A</v>
      </c>
      <c r="R3338" s="85" t="e">
        <v>#N/A</v>
      </c>
    </row>
    <row r="3339" spans="14:18" x14ac:dyDescent="0.2">
      <c r="N3339" s="88" t="str">
        <f t="shared" si="57"/>
        <v>1w</v>
      </c>
      <c r="O3339" s="82">
        <f>_xll.qlCalendarAdvance(Calendar,O3338,N3339,"f",FALSE)</f>
        <v>62738</v>
      </c>
      <c r="P3339" s="92">
        <f>_xll.qlCalendarAdvance(Calendar,O3339,NDays&amp;"D")</f>
        <v>62740</v>
      </c>
      <c r="Q3339" s="81" t="e">
        <v>#N/A</v>
      </c>
      <c r="R3339" s="85" t="e">
        <v>#N/A</v>
      </c>
    </row>
    <row r="3340" spans="14:18" x14ac:dyDescent="0.2">
      <c r="N3340" s="88" t="str">
        <f t="shared" si="57"/>
        <v>1w</v>
      </c>
      <c r="O3340" s="82">
        <f>_xll.qlCalendarAdvance(Calendar,O3339,N3340,"f",FALSE)</f>
        <v>62745</v>
      </c>
      <c r="P3340" s="92">
        <f>_xll.qlCalendarAdvance(Calendar,O3340,NDays&amp;"D")</f>
        <v>62747</v>
      </c>
      <c r="Q3340" s="81" t="e">
        <v>#N/A</v>
      </c>
      <c r="R3340" s="85" t="e">
        <v>#N/A</v>
      </c>
    </row>
    <row r="3341" spans="14:18" x14ac:dyDescent="0.2">
      <c r="N3341" s="88" t="str">
        <f t="shared" si="57"/>
        <v>1w</v>
      </c>
      <c r="O3341" s="82">
        <f>_xll.qlCalendarAdvance(Calendar,O3340,N3341,"f",FALSE)</f>
        <v>62752</v>
      </c>
      <c r="P3341" s="92">
        <f>_xll.qlCalendarAdvance(Calendar,O3341,NDays&amp;"D")</f>
        <v>62754</v>
      </c>
      <c r="Q3341" s="81" t="e">
        <v>#N/A</v>
      </c>
      <c r="R3341" s="85" t="e">
        <v>#N/A</v>
      </c>
    </row>
    <row r="3342" spans="14:18" x14ac:dyDescent="0.2">
      <c r="N3342" s="88" t="str">
        <f t="shared" si="57"/>
        <v>1w</v>
      </c>
      <c r="O3342" s="82">
        <f>_xll.qlCalendarAdvance(Calendar,O3341,N3342,"f",FALSE)</f>
        <v>62759</v>
      </c>
      <c r="P3342" s="92">
        <f>_xll.qlCalendarAdvance(Calendar,O3342,NDays&amp;"D")</f>
        <v>62761</v>
      </c>
      <c r="Q3342" s="81" t="e">
        <v>#N/A</v>
      </c>
      <c r="R3342" s="85" t="e">
        <v>#N/A</v>
      </c>
    </row>
    <row r="3343" spans="14:18" x14ac:dyDescent="0.2">
      <c r="N3343" s="88" t="str">
        <f t="shared" si="57"/>
        <v>1w</v>
      </c>
      <c r="O3343" s="82">
        <f>_xll.qlCalendarAdvance(Calendar,O3342,N3343,"f",FALSE)</f>
        <v>62766</v>
      </c>
      <c r="P3343" s="92">
        <f>_xll.qlCalendarAdvance(Calendar,O3343,NDays&amp;"D")</f>
        <v>62768</v>
      </c>
      <c r="Q3343" s="81" t="e">
        <v>#N/A</v>
      </c>
      <c r="R3343" s="85" t="e">
        <v>#N/A</v>
      </c>
    </row>
    <row r="3344" spans="14:18" x14ac:dyDescent="0.2">
      <c r="N3344" s="88" t="str">
        <f t="shared" si="57"/>
        <v>1w</v>
      </c>
      <c r="O3344" s="82">
        <f>_xll.qlCalendarAdvance(Calendar,O3343,N3344,"f",FALSE)</f>
        <v>62773</v>
      </c>
      <c r="P3344" s="92">
        <f>_xll.qlCalendarAdvance(Calendar,O3344,NDays&amp;"D")</f>
        <v>62775</v>
      </c>
      <c r="Q3344" s="81" t="e">
        <v>#N/A</v>
      </c>
      <c r="R3344" s="85" t="e">
        <v>#N/A</v>
      </c>
    </row>
    <row r="3345" spans="14:18" x14ac:dyDescent="0.2">
      <c r="N3345" s="88" t="str">
        <f t="shared" si="57"/>
        <v>1w</v>
      </c>
      <c r="O3345" s="82">
        <f>_xll.qlCalendarAdvance(Calendar,O3344,N3345,"f",FALSE)</f>
        <v>62780</v>
      </c>
      <c r="P3345" s="92">
        <f>_xll.qlCalendarAdvance(Calendar,O3345,NDays&amp;"D")</f>
        <v>62782</v>
      </c>
      <c r="Q3345" s="81" t="e">
        <v>#N/A</v>
      </c>
      <c r="R3345" s="85" t="e">
        <v>#N/A</v>
      </c>
    </row>
    <row r="3346" spans="14:18" x14ac:dyDescent="0.2">
      <c r="N3346" s="88" t="str">
        <f t="shared" si="57"/>
        <v>1w</v>
      </c>
      <c r="O3346" s="82">
        <f>_xll.qlCalendarAdvance(Calendar,O3345,N3346,"f",FALSE)</f>
        <v>62787</v>
      </c>
      <c r="P3346" s="92">
        <f>_xll.qlCalendarAdvance(Calendar,O3346,NDays&amp;"D")</f>
        <v>62789</v>
      </c>
      <c r="Q3346" s="81" t="e">
        <v>#N/A</v>
      </c>
      <c r="R3346" s="85" t="e">
        <v>#N/A</v>
      </c>
    </row>
    <row r="3347" spans="14:18" x14ac:dyDescent="0.2">
      <c r="N3347" s="88" t="str">
        <f t="shared" si="57"/>
        <v>1w</v>
      </c>
      <c r="O3347" s="82">
        <f>_xll.qlCalendarAdvance(Calendar,O3346,N3347,"f",FALSE)</f>
        <v>62794</v>
      </c>
      <c r="P3347" s="92">
        <f>_xll.qlCalendarAdvance(Calendar,O3347,NDays&amp;"D")</f>
        <v>62796</v>
      </c>
      <c r="Q3347" s="81" t="e">
        <v>#N/A</v>
      </c>
      <c r="R3347" s="85" t="e">
        <v>#N/A</v>
      </c>
    </row>
    <row r="3348" spans="14:18" x14ac:dyDescent="0.2">
      <c r="N3348" s="88" t="str">
        <f t="shared" si="57"/>
        <v>1w</v>
      </c>
      <c r="O3348" s="82">
        <f>_xll.qlCalendarAdvance(Calendar,O3347,N3348,"f",FALSE)</f>
        <v>62801</v>
      </c>
      <c r="P3348" s="92">
        <f>_xll.qlCalendarAdvance(Calendar,O3348,NDays&amp;"D")</f>
        <v>62803</v>
      </c>
      <c r="Q3348" s="81" t="e">
        <v>#N/A</v>
      </c>
      <c r="R3348" s="85" t="e">
        <v>#N/A</v>
      </c>
    </row>
    <row r="3349" spans="14:18" x14ac:dyDescent="0.2">
      <c r="N3349" s="88" t="str">
        <f t="shared" ref="N3349:N3412" si="58">N3348</f>
        <v>1w</v>
      </c>
      <c r="O3349" s="82">
        <f>_xll.qlCalendarAdvance(Calendar,O3348,N3349,"f",FALSE)</f>
        <v>62808</v>
      </c>
      <c r="P3349" s="92">
        <f>_xll.qlCalendarAdvance(Calendar,O3349,NDays&amp;"D")</f>
        <v>62810</v>
      </c>
      <c r="Q3349" s="81" t="e">
        <v>#N/A</v>
      </c>
      <c r="R3349" s="85" t="e">
        <v>#N/A</v>
      </c>
    </row>
    <row r="3350" spans="14:18" x14ac:dyDescent="0.2">
      <c r="N3350" s="88" t="str">
        <f t="shared" si="58"/>
        <v>1w</v>
      </c>
      <c r="O3350" s="82">
        <f>_xll.qlCalendarAdvance(Calendar,O3349,N3350,"f",FALSE)</f>
        <v>62815</v>
      </c>
      <c r="P3350" s="92">
        <f>_xll.qlCalendarAdvance(Calendar,O3350,NDays&amp;"D")</f>
        <v>62821</v>
      </c>
      <c r="Q3350" s="81" t="e">
        <v>#N/A</v>
      </c>
      <c r="R3350" s="85" t="e">
        <v>#N/A</v>
      </c>
    </row>
    <row r="3351" spans="14:18" x14ac:dyDescent="0.2">
      <c r="N3351" s="88" t="str">
        <f t="shared" si="58"/>
        <v>1w</v>
      </c>
      <c r="O3351" s="82">
        <f>_xll.qlCalendarAdvance(Calendar,O3350,N3351,"f",FALSE)</f>
        <v>62822</v>
      </c>
      <c r="P3351" s="92">
        <f>_xll.qlCalendarAdvance(Calendar,O3351,NDays&amp;"D")</f>
        <v>62828</v>
      </c>
      <c r="Q3351" s="81" t="e">
        <v>#N/A</v>
      </c>
      <c r="R3351" s="85" t="e">
        <v>#N/A</v>
      </c>
    </row>
    <row r="3352" spans="14:18" x14ac:dyDescent="0.2">
      <c r="N3352" s="88" t="str">
        <f t="shared" si="58"/>
        <v>1w</v>
      </c>
      <c r="O3352" s="82">
        <f>_xll.qlCalendarAdvance(Calendar,O3351,N3352,"f",FALSE)</f>
        <v>62830</v>
      </c>
      <c r="P3352" s="92">
        <f>_xll.qlCalendarAdvance(Calendar,O3352,NDays&amp;"D")</f>
        <v>62834</v>
      </c>
      <c r="Q3352" s="81" t="e">
        <v>#N/A</v>
      </c>
      <c r="R3352" s="85" t="e">
        <v>#N/A</v>
      </c>
    </row>
    <row r="3353" spans="14:18" x14ac:dyDescent="0.2">
      <c r="N3353" s="88" t="str">
        <f t="shared" si="58"/>
        <v>1w</v>
      </c>
      <c r="O3353" s="82">
        <f>_xll.qlCalendarAdvance(Calendar,O3352,N3353,"f",FALSE)</f>
        <v>62837</v>
      </c>
      <c r="P3353" s="92">
        <f>_xll.qlCalendarAdvance(Calendar,O3353,NDays&amp;"D")</f>
        <v>62841</v>
      </c>
      <c r="Q3353" s="81" t="e">
        <v>#N/A</v>
      </c>
      <c r="R3353" s="85" t="e">
        <v>#N/A</v>
      </c>
    </row>
    <row r="3354" spans="14:18" x14ac:dyDescent="0.2">
      <c r="N3354" s="88" t="str">
        <f t="shared" si="58"/>
        <v>1w</v>
      </c>
      <c r="O3354" s="82">
        <f>_xll.qlCalendarAdvance(Calendar,O3353,N3354,"f",FALSE)</f>
        <v>62844</v>
      </c>
      <c r="P3354" s="92">
        <f>_xll.qlCalendarAdvance(Calendar,O3354,NDays&amp;"D")</f>
        <v>62848</v>
      </c>
      <c r="Q3354" s="81" t="e">
        <v>#N/A</v>
      </c>
      <c r="R3354" s="85" t="e">
        <v>#N/A</v>
      </c>
    </row>
    <row r="3355" spans="14:18" x14ac:dyDescent="0.2">
      <c r="N3355" s="88" t="str">
        <f t="shared" si="58"/>
        <v>1w</v>
      </c>
      <c r="O3355" s="82">
        <f>_xll.qlCalendarAdvance(Calendar,O3354,N3355,"f",FALSE)</f>
        <v>62851</v>
      </c>
      <c r="P3355" s="92">
        <f>_xll.qlCalendarAdvance(Calendar,O3355,NDays&amp;"D")</f>
        <v>62855</v>
      </c>
      <c r="Q3355" s="81" t="e">
        <v>#N/A</v>
      </c>
      <c r="R3355" s="85" t="e">
        <v>#N/A</v>
      </c>
    </row>
    <row r="3356" spans="14:18" x14ac:dyDescent="0.2">
      <c r="N3356" s="88" t="str">
        <f t="shared" si="58"/>
        <v>1w</v>
      </c>
      <c r="O3356" s="82">
        <f>_xll.qlCalendarAdvance(Calendar,O3355,N3356,"f",FALSE)</f>
        <v>62858</v>
      </c>
      <c r="P3356" s="92">
        <f>_xll.qlCalendarAdvance(Calendar,O3356,NDays&amp;"D")</f>
        <v>62862</v>
      </c>
      <c r="Q3356" s="81" t="e">
        <v>#N/A</v>
      </c>
      <c r="R3356" s="85" t="e">
        <v>#N/A</v>
      </c>
    </row>
    <row r="3357" spans="14:18" x14ac:dyDescent="0.2">
      <c r="N3357" s="88" t="str">
        <f t="shared" si="58"/>
        <v>1w</v>
      </c>
      <c r="O3357" s="82">
        <f>_xll.qlCalendarAdvance(Calendar,O3356,N3357,"f",FALSE)</f>
        <v>62865</v>
      </c>
      <c r="P3357" s="92">
        <f>_xll.qlCalendarAdvance(Calendar,O3357,NDays&amp;"D")</f>
        <v>62869</v>
      </c>
      <c r="Q3357" s="81" t="e">
        <v>#N/A</v>
      </c>
      <c r="R3357" s="85" t="e">
        <v>#N/A</v>
      </c>
    </row>
    <row r="3358" spans="14:18" x14ac:dyDescent="0.2">
      <c r="N3358" s="88" t="str">
        <f t="shared" si="58"/>
        <v>1w</v>
      </c>
      <c r="O3358" s="82">
        <f>_xll.qlCalendarAdvance(Calendar,O3357,N3358,"f",FALSE)</f>
        <v>62872</v>
      </c>
      <c r="P3358" s="92">
        <f>_xll.qlCalendarAdvance(Calendar,O3358,NDays&amp;"D")</f>
        <v>62876</v>
      </c>
      <c r="Q3358" s="81" t="e">
        <v>#N/A</v>
      </c>
      <c r="R3358" s="85" t="e">
        <v>#N/A</v>
      </c>
    </row>
    <row r="3359" spans="14:18" x14ac:dyDescent="0.2">
      <c r="N3359" s="88" t="str">
        <f t="shared" si="58"/>
        <v>1w</v>
      </c>
      <c r="O3359" s="82">
        <f>_xll.qlCalendarAdvance(Calendar,O3358,N3359,"f",FALSE)</f>
        <v>62879</v>
      </c>
      <c r="P3359" s="92">
        <f>_xll.qlCalendarAdvance(Calendar,O3359,NDays&amp;"D")</f>
        <v>62883</v>
      </c>
      <c r="Q3359" s="81" t="e">
        <v>#N/A</v>
      </c>
      <c r="R3359" s="85" t="e">
        <v>#N/A</v>
      </c>
    </row>
    <row r="3360" spans="14:18" x14ac:dyDescent="0.2">
      <c r="N3360" s="88" t="str">
        <f t="shared" si="58"/>
        <v>1w</v>
      </c>
      <c r="O3360" s="82">
        <f>_xll.qlCalendarAdvance(Calendar,O3359,N3360,"f",FALSE)</f>
        <v>62886</v>
      </c>
      <c r="P3360" s="92">
        <f>_xll.qlCalendarAdvance(Calendar,O3360,NDays&amp;"D")</f>
        <v>62890</v>
      </c>
      <c r="Q3360" s="81" t="e">
        <v>#N/A</v>
      </c>
      <c r="R3360" s="85" t="e">
        <v>#N/A</v>
      </c>
    </row>
    <row r="3361" spans="14:18" x14ac:dyDescent="0.2">
      <c r="N3361" s="88" t="str">
        <f t="shared" si="58"/>
        <v>1w</v>
      </c>
      <c r="O3361" s="82">
        <f>_xll.qlCalendarAdvance(Calendar,O3360,N3361,"f",FALSE)</f>
        <v>62893</v>
      </c>
      <c r="P3361" s="92">
        <f>_xll.qlCalendarAdvance(Calendar,O3361,NDays&amp;"D")</f>
        <v>62897</v>
      </c>
      <c r="Q3361" s="81" t="e">
        <v>#N/A</v>
      </c>
      <c r="R3361" s="85" t="e">
        <v>#N/A</v>
      </c>
    </row>
    <row r="3362" spans="14:18" x14ac:dyDescent="0.2">
      <c r="N3362" s="88" t="str">
        <f t="shared" si="58"/>
        <v>1w</v>
      </c>
      <c r="O3362" s="82">
        <f>_xll.qlCalendarAdvance(Calendar,O3361,N3362,"f",FALSE)</f>
        <v>62900</v>
      </c>
      <c r="P3362" s="92">
        <f>_xll.qlCalendarAdvance(Calendar,O3362,NDays&amp;"D")</f>
        <v>62904</v>
      </c>
      <c r="Q3362" s="81" t="e">
        <v>#N/A</v>
      </c>
      <c r="R3362" s="85" t="e">
        <v>#N/A</v>
      </c>
    </row>
    <row r="3363" spans="14:18" x14ac:dyDescent="0.2">
      <c r="N3363" s="88" t="str">
        <f t="shared" si="58"/>
        <v>1w</v>
      </c>
      <c r="O3363" s="82">
        <f>_xll.qlCalendarAdvance(Calendar,O3362,N3363,"f",FALSE)</f>
        <v>62907</v>
      </c>
      <c r="P3363" s="92">
        <f>_xll.qlCalendarAdvance(Calendar,O3363,NDays&amp;"D")</f>
        <v>62911</v>
      </c>
      <c r="Q3363" s="81" t="e">
        <v>#N/A</v>
      </c>
      <c r="R3363" s="85" t="e">
        <v>#N/A</v>
      </c>
    </row>
    <row r="3364" spans="14:18" x14ac:dyDescent="0.2">
      <c r="N3364" s="88" t="str">
        <f t="shared" si="58"/>
        <v>1w</v>
      </c>
      <c r="O3364" s="82">
        <f>_xll.qlCalendarAdvance(Calendar,O3363,N3364,"f",FALSE)</f>
        <v>62914</v>
      </c>
      <c r="P3364" s="92">
        <f>_xll.qlCalendarAdvance(Calendar,O3364,NDays&amp;"D")</f>
        <v>62918</v>
      </c>
      <c r="Q3364" s="81" t="e">
        <v>#N/A</v>
      </c>
      <c r="R3364" s="85" t="e">
        <v>#N/A</v>
      </c>
    </row>
    <row r="3365" spans="14:18" x14ac:dyDescent="0.2">
      <c r="N3365" s="88" t="str">
        <f t="shared" si="58"/>
        <v>1w</v>
      </c>
      <c r="O3365" s="82">
        <f>_xll.qlCalendarAdvance(Calendar,O3364,N3365,"f",FALSE)</f>
        <v>62921</v>
      </c>
      <c r="P3365" s="92">
        <f>_xll.qlCalendarAdvance(Calendar,O3365,NDays&amp;"D")</f>
        <v>62927</v>
      </c>
      <c r="Q3365" s="81" t="e">
        <v>#N/A</v>
      </c>
      <c r="R3365" s="85" t="e">
        <v>#N/A</v>
      </c>
    </row>
    <row r="3366" spans="14:18" x14ac:dyDescent="0.2">
      <c r="N3366" s="88" t="str">
        <f t="shared" si="58"/>
        <v>1w</v>
      </c>
      <c r="O3366" s="82">
        <f>_xll.qlCalendarAdvance(Calendar,O3365,N3366,"f",FALSE)</f>
        <v>62928</v>
      </c>
      <c r="P3366" s="92">
        <f>_xll.qlCalendarAdvance(Calendar,O3366,NDays&amp;"D")</f>
        <v>62932</v>
      </c>
      <c r="Q3366" s="81" t="e">
        <v>#N/A</v>
      </c>
      <c r="R3366" s="85" t="e">
        <v>#N/A</v>
      </c>
    </row>
    <row r="3367" spans="14:18" x14ac:dyDescent="0.2">
      <c r="N3367" s="88" t="str">
        <f t="shared" si="58"/>
        <v>1w</v>
      </c>
      <c r="O3367" s="82">
        <f>_xll.qlCalendarAdvance(Calendar,O3366,N3367,"f",FALSE)</f>
        <v>62935</v>
      </c>
      <c r="P3367" s="92">
        <f>_xll.qlCalendarAdvance(Calendar,O3367,NDays&amp;"D")</f>
        <v>62939</v>
      </c>
      <c r="Q3367" s="81" t="e">
        <v>#N/A</v>
      </c>
      <c r="R3367" s="85" t="e">
        <v>#N/A</v>
      </c>
    </row>
    <row r="3368" spans="14:18" x14ac:dyDescent="0.2">
      <c r="N3368" s="88" t="str">
        <f t="shared" si="58"/>
        <v>1w</v>
      </c>
      <c r="O3368" s="82">
        <f>_xll.qlCalendarAdvance(Calendar,O3367,N3368,"f",FALSE)</f>
        <v>62942</v>
      </c>
      <c r="P3368" s="92">
        <f>_xll.qlCalendarAdvance(Calendar,O3368,NDays&amp;"D")</f>
        <v>62946</v>
      </c>
      <c r="Q3368" s="81" t="e">
        <v>#N/A</v>
      </c>
      <c r="R3368" s="85" t="e">
        <v>#N/A</v>
      </c>
    </row>
    <row r="3369" spans="14:18" x14ac:dyDescent="0.2">
      <c r="N3369" s="88" t="str">
        <f t="shared" si="58"/>
        <v>1w</v>
      </c>
      <c r="O3369" s="82">
        <f>_xll.qlCalendarAdvance(Calendar,O3368,N3369,"f",FALSE)</f>
        <v>62949</v>
      </c>
      <c r="P3369" s="92">
        <f>_xll.qlCalendarAdvance(Calendar,O3369,NDays&amp;"D")</f>
        <v>62953</v>
      </c>
      <c r="Q3369" s="81" t="e">
        <v>#N/A</v>
      </c>
      <c r="R3369" s="85" t="e">
        <v>#N/A</v>
      </c>
    </row>
    <row r="3370" spans="14:18" x14ac:dyDescent="0.2">
      <c r="N3370" s="88" t="str">
        <f t="shared" si="58"/>
        <v>1w</v>
      </c>
      <c r="O3370" s="82">
        <f>_xll.qlCalendarAdvance(Calendar,O3369,N3370,"f",FALSE)</f>
        <v>62956</v>
      </c>
      <c r="P3370" s="92">
        <f>_xll.qlCalendarAdvance(Calendar,O3370,NDays&amp;"D")</f>
        <v>62960</v>
      </c>
      <c r="Q3370" s="81" t="e">
        <v>#N/A</v>
      </c>
      <c r="R3370" s="85" t="e">
        <v>#N/A</v>
      </c>
    </row>
    <row r="3371" spans="14:18" x14ac:dyDescent="0.2">
      <c r="N3371" s="88" t="str">
        <f t="shared" si="58"/>
        <v>1w</v>
      </c>
      <c r="O3371" s="82">
        <f>_xll.qlCalendarAdvance(Calendar,O3370,N3371,"f",FALSE)</f>
        <v>62964</v>
      </c>
      <c r="P3371" s="92">
        <f>_xll.qlCalendarAdvance(Calendar,O3371,NDays&amp;"D")</f>
        <v>62968</v>
      </c>
      <c r="Q3371" s="81" t="e">
        <v>#N/A</v>
      </c>
      <c r="R3371" s="85" t="e">
        <v>#N/A</v>
      </c>
    </row>
    <row r="3372" spans="14:18" x14ac:dyDescent="0.2">
      <c r="N3372" s="88" t="str">
        <f t="shared" si="58"/>
        <v>1w</v>
      </c>
      <c r="O3372" s="82">
        <f>_xll.qlCalendarAdvance(Calendar,O3371,N3372,"f",FALSE)</f>
        <v>62971</v>
      </c>
      <c r="P3372" s="92">
        <f>_xll.qlCalendarAdvance(Calendar,O3372,NDays&amp;"D")</f>
        <v>62976</v>
      </c>
      <c r="Q3372" s="81" t="e">
        <v>#N/A</v>
      </c>
      <c r="R3372" s="85" t="e">
        <v>#N/A</v>
      </c>
    </row>
    <row r="3373" spans="14:18" x14ac:dyDescent="0.2">
      <c r="N3373" s="88" t="str">
        <f t="shared" si="58"/>
        <v>1w</v>
      </c>
      <c r="O3373" s="82">
        <f>_xll.qlCalendarAdvance(Calendar,O3372,N3373,"f",FALSE)</f>
        <v>62978</v>
      </c>
      <c r="P3373" s="92">
        <f>_xll.qlCalendarAdvance(Calendar,O3373,NDays&amp;"D")</f>
        <v>62982</v>
      </c>
      <c r="Q3373" s="81" t="e">
        <v>#N/A</v>
      </c>
      <c r="R3373" s="85" t="e">
        <v>#N/A</v>
      </c>
    </row>
    <row r="3374" spans="14:18" x14ac:dyDescent="0.2">
      <c r="N3374" s="88" t="str">
        <f t="shared" si="58"/>
        <v>1w</v>
      </c>
      <c r="O3374" s="82">
        <f>_xll.qlCalendarAdvance(Calendar,O3373,N3374,"f",FALSE)</f>
        <v>62985</v>
      </c>
      <c r="P3374" s="92">
        <f>_xll.qlCalendarAdvance(Calendar,O3374,NDays&amp;"D")</f>
        <v>62989</v>
      </c>
      <c r="Q3374" s="81" t="e">
        <v>#N/A</v>
      </c>
      <c r="R3374" s="85" t="e">
        <v>#N/A</v>
      </c>
    </row>
    <row r="3375" spans="14:18" x14ac:dyDescent="0.2">
      <c r="N3375" s="88" t="str">
        <f t="shared" si="58"/>
        <v>1w</v>
      </c>
      <c r="O3375" s="82">
        <f>_xll.qlCalendarAdvance(Calendar,O3374,N3375,"f",FALSE)</f>
        <v>62992</v>
      </c>
      <c r="P3375" s="92">
        <f>_xll.qlCalendarAdvance(Calendar,O3375,NDays&amp;"D")</f>
        <v>62996</v>
      </c>
      <c r="Q3375" s="81" t="e">
        <v>#N/A</v>
      </c>
      <c r="R3375" s="85" t="e">
        <v>#N/A</v>
      </c>
    </row>
    <row r="3376" spans="14:18" x14ac:dyDescent="0.2">
      <c r="N3376" s="88" t="str">
        <f t="shared" si="58"/>
        <v>1w</v>
      </c>
      <c r="O3376" s="82">
        <f>_xll.qlCalendarAdvance(Calendar,O3375,N3376,"f",FALSE)</f>
        <v>63002</v>
      </c>
      <c r="P3376" s="92">
        <f>_xll.qlCalendarAdvance(Calendar,O3376,NDays&amp;"D")</f>
        <v>63004</v>
      </c>
      <c r="Q3376" s="81" t="e">
        <v>#N/A</v>
      </c>
      <c r="R3376" s="85" t="e">
        <v>#N/A</v>
      </c>
    </row>
    <row r="3377" spans="14:18" x14ac:dyDescent="0.2">
      <c r="N3377" s="88" t="str">
        <f t="shared" si="58"/>
        <v>1w</v>
      </c>
      <c r="O3377" s="82">
        <f>_xll.qlCalendarAdvance(Calendar,O3376,N3377,"f",FALSE)</f>
        <v>63009</v>
      </c>
      <c r="P3377" s="92">
        <f>_xll.qlCalendarAdvance(Calendar,O3377,NDays&amp;"D")</f>
        <v>63011</v>
      </c>
      <c r="Q3377" s="81" t="e">
        <v>#N/A</v>
      </c>
      <c r="R3377" s="85" t="e">
        <v>#N/A</v>
      </c>
    </row>
    <row r="3378" spans="14:18" x14ac:dyDescent="0.2">
      <c r="N3378" s="88" t="str">
        <f t="shared" si="58"/>
        <v>1w</v>
      </c>
      <c r="O3378" s="82">
        <f>_xll.qlCalendarAdvance(Calendar,O3377,N3378,"f",FALSE)</f>
        <v>63016</v>
      </c>
      <c r="P3378" s="92">
        <f>_xll.qlCalendarAdvance(Calendar,O3378,NDays&amp;"D")</f>
        <v>63018</v>
      </c>
      <c r="Q3378" s="81" t="e">
        <v>#N/A</v>
      </c>
      <c r="R3378" s="85" t="e">
        <v>#N/A</v>
      </c>
    </row>
    <row r="3379" spans="14:18" x14ac:dyDescent="0.2">
      <c r="N3379" s="88" t="str">
        <f t="shared" si="58"/>
        <v>1w</v>
      </c>
      <c r="O3379" s="82">
        <f>_xll.qlCalendarAdvance(Calendar,O3378,N3379,"f",FALSE)</f>
        <v>63023</v>
      </c>
      <c r="P3379" s="92">
        <f>_xll.qlCalendarAdvance(Calendar,O3379,NDays&amp;"D")</f>
        <v>63025</v>
      </c>
      <c r="Q3379" s="81" t="e">
        <v>#N/A</v>
      </c>
      <c r="R3379" s="85" t="e">
        <v>#N/A</v>
      </c>
    </row>
    <row r="3380" spans="14:18" x14ac:dyDescent="0.2">
      <c r="N3380" s="88" t="str">
        <f t="shared" si="58"/>
        <v>1w</v>
      </c>
      <c r="O3380" s="82">
        <f>_xll.qlCalendarAdvance(Calendar,O3379,N3380,"f",FALSE)</f>
        <v>63030</v>
      </c>
      <c r="P3380" s="92">
        <f>_xll.qlCalendarAdvance(Calendar,O3380,NDays&amp;"D")</f>
        <v>63032</v>
      </c>
      <c r="Q3380" s="81" t="e">
        <v>#N/A</v>
      </c>
      <c r="R3380" s="85" t="e">
        <v>#N/A</v>
      </c>
    </row>
    <row r="3381" spans="14:18" x14ac:dyDescent="0.2">
      <c r="N3381" s="88" t="str">
        <f t="shared" si="58"/>
        <v>1w</v>
      </c>
      <c r="O3381" s="82">
        <f>_xll.qlCalendarAdvance(Calendar,O3380,N3381,"f",FALSE)</f>
        <v>63037</v>
      </c>
      <c r="P3381" s="92">
        <f>_xll.qlCalendarAdvance(Calendar,O3381,NDays&amp;"D")</f>
        <v>63039</v>
      </c>
      <c r="Q3381" s="81" t="e">
        <v>#N/A</v>
      </c>
      <c r="R3381" s="85" t="e">
        <v>#N/A</v>
      </c>
    </row>
    <row r="3382" spans="14:18" x14ac:dyDescent="0.2">
      <c r="N3382" s="88" t="str">
        <f t="shared" si="58"/>
        <v>1w</v>
      </c>
      <c r="O3382" s="82">
        <f>_xll.qlCalendarAdvance(Calendar,O3381,N3382,"f",FALSE)</f>
        <v>63044</v>
      </c>
      <c r="P3382" s="92">
        <f>_xll.qlCalendarAdvance(Calendar,O3382,NDays&amp;"D")</f>
        <v>63046</v>
      </c>
      <c r="Q3382" s="81" t="e">
        <v>#N/A</v>
      </c>
      <c r="R3382" s="85" t="e">
        <v>#N/A</v>
      </c>
    </row>
    <row r="3383" spans="14:18" x14ac:dyDescent="0.2">
      <c r="N3383" s="88" t="str">
        <f t="shared" si="58"/>
        <v>1w</v>
      </c>
      <c r="O3383" s="82">
        <f>_xll.qlCalendarAdvance(Calendar,O3382,N3383,"f",FALSE)</f>
        <v>63051</v>
      </c>
      <c r="P3383" s="92">
        <f>_xll.qlCalendarAdvance(Calendar,O3383,NDays&amp;"D")</f>
        <v>63053</v>
      </c>
      <c r="Q3383" s="81" t="e">
        <v>#N/A</v>
      </c>
      <c r="R3383" s="85" t="e">
        <v>#N/A</v>
      </c>
    </row>
    <row r="3384" spans="14:18" x14ac:dyDescent="0.2">
      <c r="N3384" s="88" t="str">
        <f t="shared" si="58"/>
        <v>1w</v>
      </c>
      <c r="O3384" s="82">
        <f>_xll.qlCalendarAdvance(Calendar,O3383,N3384,"f",FALSE)</f>
        <v>63058</v>
      </c>
      <c r="P3384" s="92">
        <f>_xll.qlCalendarAdvance(Calendar,O3384,NDays&amp;"D")</f>
        <v>63060</v>
      </c>
      <c r="Q3384" s="81" t="e">
        <v>#N/A</v>
      </c>
      <c r="R3384" s="85" t="e">
        <v>#N/A</v>
      </c>
    </row>
    <row r="3385" spans="14:18" x14ac:dyDescent="0.2">
      <c r="N3385" s="88" t="str">
        <f t="shared" si="58"/>
        <v>1w</v>
      </c>
      <c r="O3385" s="82">
        <f>_xll.qlCalendarAdvance(Calendar,O3384,N3385,"f",FALSE)</f>
        <v>63065</v>
      </c>
      <c r="P3385" s="92">
        <f>_xll.qlCalendarAdvance(Calendar,O3385,NDays&amp;"D")</f>
        <v>63067</v>
      </c>
      <c r="Q3385" s="81" t="e">
        <v>#N/A</v>
      </c>
      <c r="R3385" s="85" t="e">
        <v>#N/A</v>
      </c>
    </row>
    <row r="3386" spans="14:18" x14ac:dyDescent="0.2">
      <c r="N3386" s="88" t="str">
        <f t="shared" si="58"/>
        <v>1w</v>
      </c>
      <c r="O3386" s="82">
        <f>_xll.qlCalendarAdvance(Calendar,O3385,N3386,"f",FALSE)</f>
        <v>63072</v>
      </c>
      <c r="P3386" s="92">
        <f>_xll.qlCalendarAdvance(Calendar,O3386,NDays&amp;"D")</f>
        <v>63074</v>
      </c>
      <c r="Q3386" s="81" t="e">
        <v>#N/A</v>
      </c>
      <c r="R3386" s="85" t="e">
        <v>#N/A</v>
      </c>
    </row>
    <row r="3387" spans="14:18" x14ac:dyDescent="0.2">
      <c r="N3387" s="88" t="str">
        <f t="shared" si="58"/>
        <v>1w</v>
      </c>
      <c r="O3387" s="82">
        <f>_xll.qlCalendarAdvance(Calendar,O3386,N3387,"f",FALSE)</f>
        <v>63079</v>
      </c>
      <c r="P3387" s="92">
        <f>_xll.qlCalendarAdvance(Calendar,O3387,NDays&amp;"D")</f>
        <v>63081</v>
      </c>
      <c r="Q3387" s="81" t="e">
        <v>#N/A</v>
      </c>
      <c r="R3387" s="85" t="e">
        <v>#N/A</v>
      </c>
    </row>
    <row r="3388" spans="14:18" x14ac:dyDescent="0.2">
      <c r="N3388" s="88" t="str">
        <f t="shared" si="58"/>
        <v>1w</v>
      </c>
      <c r="O3388" s="82">
        <f>_xll.qlCalendarAdvance(Calendar,O3387,N3388,"f",FALSE)</f>
        <v>63086</v>
      </c>
      <c r="P3388" s="92">
        <f>_xll.qlCalendarAdvance(Calendar,O3388,NDays&amp;"D")</f>
        <v>63088</v>
      </c>
      <c r="Q3388" s="81" t="e">
        <v>#N/A</v>
      </c>
      <c r="R3388" s="85" t="e">
        <v>#N/A</v>
      </c>
    </row>
    <row r="3389" spans="14:18" x14ac:dyDescent="0.2">
      <c r="N3389" s="88" t="str">
        <f t="shared" si="58"/>
        <v>1w</v>
      </c>
      <c r="O3389" s="82">
        <f>_xll.qlCalendarAdvance(Calendar,O3388,N3389,"f",FALSE)</f>
        <v>63093</v>
      </c>
      <c r="P3389" s="92">
        <f>_xll.qlCalendarAdvance(Calendar,O3389,NDays&amp;"D")</f>
        <v>63095</v>
      </c>
      <c r="Q3389" s="81" t="e">
        <v>#N/A</v>
      </c>
      <c r="R3389" s="85" t="e">
        <v>#N/A</v>
      </c>
    </row>
    <row r="3390" spans="14:18" x14ac:dyDescent="0.2">
      <c r="N3390" s="88" t="str">
        <f t="shared" si="58"/>
        <v>1w</v>
      </c>
      <c r="O3390" s="82">
        <f>_xll.qlCalendarAdvance(Calendar,O3389,N3390,"f",FALSE)</f>
        <v>63100</v>
      </c>
      <c r="P3390" s="92">
        <f>_xll.qlCalendarAdvance(Calendar,O3390,NDays&amp;"D")</f>
        <v>63102</v>
      </c>
      <c r="Q3390" s="81" t="e">
        <v>#N/A</v>
      </c>
      <c r="R3390" s="85" t="e">
        <v>#N/A</v>
      </c>
    </row>
    <row r="3391" spans="14:18" x14ac:dyDescent="0.2">
      <c r="N3391" s="88" t="str">
        <f t="shared" si="58"/>
        <v>1w</v>
      </c>
      <c r="O3391" s="82">
        <f>_xll.qlCalendarAdvance(Calendar,O3390,N3391,"f",FALSE)</f>
        <v>63107</v>
      </c>
      <c r="P3391" s="92">
        <f>_xll.qlCalendarAdvance(Calendar,O3391,NDays&amp;"D")</f>
        <v>63109</v>
      </c>
      <c r="Q3391" s="81" t="e">
        <v>#N/A</v>
      </c>
      <c r="R3391" s="85" t="e">
        <v>#N/A</v>
      </c>
    </row>
    <row r="3392" spans="14:18" x14ac:dyDescent="0.2">
      <c r="N3392" s="88" t="str">
        <f t="shared" si="58"/>
        <v>1w</v>
      </c>
      <c r="O3392" s="82">
        <f>_xll.qlCalendarAdvance(Calendar,O3391,N3392,"f",FALSE)</f>
        <v>63114</v>
      </c>
      <c r="P3392" s="92">
        <f>_xll.qlCalendarAdvance(Calendar,O3392,NDays&amp;"D")</f>
        <v>63116</v>
      </c>
      <c r="Q3392" s="81" t="e">
        <v>#N/A</v>
      </c>
      <c r="R3392" s="85" t="e">
        <v>#N/A</v>
      </c>
    </row>
    <row r="3393" spans="14:18" x14ac:dyDescent="0.2">
      <c r="N3393" s="88" t="str">
        <f t="shared" si="58"/>
        <v>1w</v>
      </c>
      <c r="O3393" s="82">
        <f>_xll.qlCalendarAdvance(Calendar,O3392,N3393,"f",FALSE)</f>
        <v>63121</v>
      </c>
      <c r="P3393" s="92">
        <f>_xll.qlCalendarAdvance(Calendar,O3393,NDays&amp;"D")</f>
        <v>63123</v>
      </c>
      <c r="Q3393" s="81" t="e">
        <v>#N/A</v>
      </c>
      <c r="R3393" s="85" t="e">
        <v>#N/A</v>
      </c>
    </row>
    <row r="3394" spans="14:18" x14ac:dyDescent="0.2">
      <c r="N3394" s="88" t="str">
        <f t="shared" si="58"/>
        <v>1w</v>
      </c>
      <c r="O3394" s="82">
        <f>_xll.qlCalendarAdvance(Calendar,O3393,N3394,"f",FALSE)</f>
        <v>63128</v>
      </c>
      <c r="P3394" s="92">
        <f>_xll.qlCalendarAdvance(Calendar,O3394,NDays&amp;"D")</f>
        <v>63130</v>
      </c>
      <c r="Q3394" s="81" t="e">
        <v>#N/A</v>
      </c>
      <c r="R3394" s="85" t="e">
        <v>#N/A</v>
      </c>
    </row>
    <row r="3395" spans="14:18" x14ac:dyDescent="0.2">
      <c r="N3395" s="88" t="str">
        <f t="shared" si="58"/>
        <v>1w</v>
      </c>
      <c r="O3395" s="82">
        <f>_xll.qlCalendarAdvance(Calendar,O3394,N3395,"f",FALSE)</f>
        <v>63135</v>
      </c>
      <c r="P3395" s="92">
        <f>_xll.qlCalendarAdvance(Calendar,O3395,NDays&amp;"D")</f>
        <v>63137</v>
      </c>
      <c r="Q3395" s="81" t="e">
        <v>#N/A</v>
      </c>
      <c r="R3395" s="85" t="e">
        <v>#N/A</v>
      </c>
    </row>
    <row r="3396" spans="14:18" x14ac:dyDescent="0.2">
      <c r="N3396" s="88" t="str">
        <f t="shared" si="58"/>
        <v>1w</v>
      </c>
      <c r="O3396" s="82">
        <f>_xll.qlCalendarAdvance(Calendar,O3395,N3396,"f",FALSE)</f>
        <v>63142</v>
      </c>
      <c r="P3396" s="92">
        <f>_xll.qlCalendarAdvance(Calendar,O3396,NDays&amp;"D")</f>
        <v>63144</v>
      </c>
      <c r="Q3396" s="81" t="e">
        <v>#N/A</v>
      </c>
      <c r="R3396" s="85" t="e">
        <v>#N/A</v>
      </c>
    </row>
    <row r="3397" spans="14:18" x14ac:dyDescent="0.2">
      <c r="N3397" s="88" t="str">
        <f t="shared" si="58"/>
        <v>1w</v>
      </c>
      <c r="O3397" s="82">
        <f>_xll.qlCalendarAdvance(Calendar,O3396,N3397,"f",FALSE)</f>
        <v>63149</v>
      </c>
      <c r="P3397" s="92">
        <f>_xll.qlCalendarAdvance(Calendar,O3397,NDays&amp;"D")</f>
        <v>63151</v>
      </c>
      <c r="Q3397" s="81" t="e">
        <v>#N/A</v>
      </c>
      <c r="R3397" s="85" t="e">
        <v>#N/A</v>
      </c>
    </row>
    <row r="3398" spans="14:18" x14ac:dyDescent="0.2">
      <c r="N3398" s="88" t="str">
        <f t="shared" si="58"/>
        <v>1w</v>
      </c>
      <c r="O3398" s="82">
        <f>_xll.qlCalendarAdvance(Calendar,O3397,N3398,"f",FALSE)</f>
        <v>63156</v>
      </c>
      <c r="P3398" s="92">
        <f>_xll.qlCalendarAdvance(Calendar,O3398,NDays&amp;"D")</f>
        <v>63158</v>
      </c>
      <c r="Q3398" s="81" t="e">
        <v>#N/A</v>
      </c>
      <c r="R3398" s="85" t="e">
        <v>#N/A</v>
      </c>
    </row>
    <row r="3399" spans="14:18" x14ac:dyDescent="0.2">
      <c r="N3399" s="88" t="str">
        <f t="shared" si="58"/>
        <v>1w</v>
      </c>
      <c r="O3399" s="82">
        <f>_xll.qlCalendarAdvance(Calendar,O3398,N3399,"f",FALSE)</f>
        <v>63163</v>
      </c>
      <c r="P3399" s="92">
        <f>_xll.qlCalendarAdvance(Calendar,O3399,NDays&amp;"D")</f>
        <v>63165</v>
      </c>
      <c r="Q3399" s="81" t="e">
        <v>#N/A</v>
      </c>
      <c r="R3399" s="85" t="e">
        <v>#N/A</v>
      </c>
    </row>
    <row r="3400" spans="14:18" x14ac:dyDescent="0.2">
      <c r="N3400" s="88" t="str">
        <f t="shared" si="58"/>
        <v>1w</v>
      </c>
      <c r="O3400" s="82">
        <f>_xll.qlCalendarAdvance(Calendar,O3399,N3400,"f",FALSE)</f>
        <v>63170</v>
      </c>
      <c r="P3400" s="92">
        <f>_xll.qlCalendarAdvance(Calendar,O3400,NDays&amp;"D")</f>
        <v>63172</v>
      </c>
      <c r="Q3400" s="81" t="e">
        <v>#N/A</v>
      </c>
      <c r="R3400" s="85" t="e">
        <v>#N/A</v>
      </c>
    </row>
    <row r="3401" spans="14:18" x14ac:dyDescent="0.2">
      <c r="N3401" s="88" t="str">
        <f t="shared" si="58"/>
        <v>1w</v>
      </c>
      <c r="O3401" s="82">
        <f>_xll.qlCalendarAdvance(Calendar,O3400,N3401,"f",FALSE)</f>
        <v>63177</v>
      </c>
      <c r="P3401" s="92">
        <f>_xll.qlCalendarAdvance(Calendar,O3401,NDays&amp;"D")</f>
        <v>63179</v>
      </c>
      <c r="Q3401" s="81" t="e">
        <v>#N/A</v>
      </c>
      <c r="R3401" s="85" t="e">
        <v>#N/A</v>
      </c>
    </row>
    <row r="3402" spans="14:18" x14ac:dyDescent="0.2">
      <c r="N3402" s="88" t="str">
        <f t="shared" si="58"/>
        <v>1w</v>
      </c>
      <c r="O3402" s="82">
        <f>_xll.qlCalendarAdvance(Calendar,O3401,N3402,"f",FALSE)</f>
        <v>63185</v>
      </c>
      <c r="P3402" s="92">
        <f>_xll.qlCalendarAdvance(Calendar,O3402,NDays&amp;"D")</f>
        <v>63187</v>
      </c>
      <c r="Q3402" s="81" t="e">
        <v>#N/A</v>
      </c>
      <c r="R3402" s="85" t="e">
        <v>#N/A</v>
      </c>
    </row>
    <row r="3403" spans="14:18" x14ac:dyDescent="0.2">
      <c r="N3403" s="88" t="str">
        <f t="shared" si="58"/>
        <v>1w</v>
      </c>
      <c r="O3403" s="82">
        <f>_xll.qlCalendarAdvance(Calendar,O3402,N3403,"f",FALSE)</f>
        <v>63192</v>
      </c>
      <c r="P3403" s="92">
        <f>_xll.qlCalendarAdvance(Calendar,O3403,NDays&amp;"D")</f>
        <v>63194</v>
      </c>
      <c r="Q3403" s="81" t="e">
        <v>#N/A</v>
      </c>
      <c r="R3403" s="85" t="e">
        <v>#N/A</v>
      </c>
    </row>
    <row r="3404" spans="14:18" x14ac:dyDescent="0.2">
      <c r="N3404" s="88" t="str">
        <f t="shared" si="58"/>
        <v>1w</v>
      </c>
      <c r="O3404" s="82">
        <f>_xll.qlCalendarAdvance(Calendar,O3403,N3404,"f",FALSE)</f>
        <v>63199</v>
      </c>
      <c r="P3404" s="92">
        <f>_xll.qlCalendarAdvance(Calendar,O3404,NDays&amp;"D")</f>
        <v>63201</v>
      </c>
      <c r="Q3404" s="81" t="e">
        <v>#N/A</v>
      </c>
      <c r="R3404" s="85" t="e">
        <v>#N/A</v>
      </c>
    </row>
    <row r="3405" spans="14:18" x14ac:dyDescent="0.2">
      <c r="N3405" s="88" t="str">
        <f t="shared" si="58"/>
        <v>1w</v>
      </c>
      <c r="O3405" s="82">
        <f>_xll.qlCalendarAdvance(Calendar,O3404,N3405,"f",FALSE)</f>
        <v>63206</v>
      </c>
      <c r="P3405" s="92">
        <f>_xll.qlCalendarAdvance(Calendar,O3405,NDays&amp;"D")</f>
        <v>63208</v>
      </c>
      <c r="Q3405" s="81" t="e">
        <v>#N/A</v>
      </c>
      <c r="R3405" s="85" t="e">
        <v>#N/A</v>
      </c>
    </row>
    <row r="3406" spans="14:18" x14ac:dyDescent="0.2">
      <c r="N3406" s="88" t="str">
        <f t="shared" si="58"/>
        <v>1w</v>
      </c>
      <c r="O3406" s="82">
        <f>_xll.qlCalendarAdvance(Calendar,O3405,N3406,"f",FALSE)</f>
        <v>63213</v>
      </c>
      <c r="P3406" s="92">
        <f>_xll.qlCalendarAdvance(Calendar,O3406,NDays&amp;"D")</f>
        <v>63215</v>
      </c>
      <c r="Q3406" s="81" t="e">
        <v>#N/A</v>
      </c>
      <c r="R3406" s="85" t="e">
        <v>#N/A</v>
      </c>
    </row>
    <row r="3407" spans="14:18" x14ac:dyDescent="0.2">
      <c r="N3407" s="88" t="str">
        <f t="shared" si="58"/>
        <v>1w</v>
      </c>
      <c r="O3407" s="82">
        <f>_xll.qlCalendarAdvance(Calendar,O3406,N3407,"f",FALSE)</f>
        <v>63220</v>
      </c>
      <c r="P3407" s="92">
        <f>_xll.qlCalendarAdvance(Calendar,O3407,NDays&amp;"D")</f>
        <v>63222</v>
      </c>
      <c r="Q3407" s="81" t="e">
        <v>#N/A</v>
      </c>
      <c r="R3407" s="85" t="e">
        <v>#N/A</v>
      </c>
    </row>
    <row r="3408" spans="14:18" x14ac:dyDescent="0.2">
      <c r="N3408" s="88" t="str">
        <f t="shared" si="58"/>
        <v>1w</v>
      </c>
      <c r="O3408" s="82">
        <f>_xll.qlCalendarAdvance(Calendar,O3407,N3408,"f",FALSE)</f>
        <v>63227</v>
      </c>
      <c r="P3408" s="92">
        <f>_xll.qlCalendarAdvance(Calendar,O3408,NDays&amp;"D")</f>
        <v>63229</v>
      </c>
      <c r="Q3408" s="81" t="e">
        <v>#N/A</v>
      </c>
      <c r="R3408" s="85" t="e">
        <v>#N/A</v>
      </c>
    </row>
    <row r="3409" spans="14:18" x14ac:dyDescent="0.2">
      <c r="N3409" s="88" t="str">
        <f t="shared" si="58"/>
        <v>1w</v>
      </c>
      <c r="O3409" s="82">
        <f>_xll.qlCalendarAdvance(Calendar,O3408,N3409,"f",FALSE)</f>
        <v>63234</v>
      </c>
      <c r="P3409" s="92">
        <f>_xll.qlCalendarAdvance(Calendar,O3409,NDays&amp;"D")</f>
        <v>63236</v>
      </c>
      <c r="Q3409" s="81" t="e">
        <v>#N/A</v>
      </c>
      <c r="R3409" s="85" t="e">
        <v>#N/A</v>
      </c>
    </row>
    <row r="3410" spans="14:18" x14ac:dyDescent="0.2">
      <c r="N3410" s="88" t="str">
        <f t="shared" si="58"/>
        <v>1w</v>
      </c>
      <c r="O3410" s="82">
        <f>_xll.qlCalendarAdvance(Calendar,O3409,N3410,"f",FALSE)</f>
        <v>63241</v>
      </c>
      <c r="P3410" s="92">
        <f>_xll.qlCalendarAdvance(Calendar,O3410,NDays&amp;"D")</f>
        <v>63243</v>
      </c>
      <c r="Q3410" s="81" t="e">
        <v>#N/A</v>
      </c>
      <c r="R3410" s="85" t="e">
        <v>#N/A</v>
      </c>
    </row>
    <row r="3411" spans="14:18" x14ac:dyDescent="0.2">
      <c r="N3411" s="88" t="str">
        <f t="shared" si="58"/>
        <v>1w</v>
      </c>
      <c r="O3411" s="82">
        <f>_xll.qlCalendarAdvance(Calendar,O3410,N3411,"f",FALSE)</f>
        <v>63248</v>
      </c>
      <c r="P3411" s="92">
        <f>_xll.qlCalendarAdvance(Calendar,O3411,NDays&amp;"D")</f>
        <v>63250</v>
      </c>
      <c r="Q3411" s="81" t="e">
        <v>#N/A</v>
      </c>
      <c r="R3411" s="85" t="e">
        <v>#N/A</v>
      </c>
    </row>
    <row r="3412" spans="14:18" x14ac:dyDescent="0.2">
      <c r="N3412" s="88" t="str">
        <f t="shared" si="58"/>
        <v>1w</v>
      </c>
      <c r="O3412" s="82">
        <f>_xll.qlCalendarAdvance(Calendar,O3411,N3412,"f",FALSE)</f>
        <v>63255</v>
      </c>
      <c r="P3412" s="92">
        <f>_xll.qlCalendarAdvance(Calendar,O3412,NDays&amp;"D")</f>
        <v>63257</v>
      </c>
      <c r="Q3412" s="81" t="e">
        <v>#N/A</v>
      </c>
      <c r="R3412" s="85" t="e">
        <v>#N/A</v>
      </c>
    </row>
    <row r="3413" spans="14:18" x14ac:dyDescent="0.2">
      <c r="N3413" s="88" t="str">
        <f t="shared" ref="N3413:N3476" si="59">N3412</f>
        <v>1w</v>
      </c>
      <c r="O3413" s="82">
        <f>_xll.qlCalendarAdvance(Calendar,O3412,N3413,"f",FALSE)</f>
        <v>63262</v>
      </c>
      <c r="P3413" s="92">
        <f>_xll.qlCalendarAdvance(Calendar,O3413,NDays&amp;"D")</f>
        <v>63264</v>
      </c>
      <c r="Q3413" s="81" t="e">
        <v>#N/A</v>
      </c>
      <c r="R3413" s="85" t="e">
        <v>#N/A</v>
      </c>
    </row>
    <row r="3414" spans="14:18" x14ac:dyDescent="0.2">
      <c r="N3414" s="88" t="str">
        <f t="shared" si="59"/>
        <v>1w</v>
      </c>
      <c r="O3414" s="82">
        <f>_xll.qlCalendarAdvance(Calendar,O3413,N3414,"f",FALSE)</f>
        <v>63269</v>
      </c>
      <c r="P3414" s="92">
        <f>_xll.qlCalendarAdvance(Calendar,O3414,NDays&amp;"D")</f>
        <v>63271</v>
      </c>
      <c r="Q3414" s="81" t="e">
        <v>#N/A</v>
      </c>
      <c r="R3414" s="85" t="e">
        <v>#N/A</v>
      </c>
    </row>
    <row r="3415" spans="14:18" x14ac:dyDescent="0.2">
      <c r="N3415" s="88" t="str">
        <f t="shared" si="59"/>
        <v>1w</v>
      </c>
      <c r="O3415" s="82">
        <f>_xll.qlCalendarAdvance(Calendar,O3414,N3415,"f",FALSE)</f>
        <v>63276</v>
      </c>
      <c r="P3415" s="92">
        <f>_xll.qlCalendarAdvance(Calendar,O3415,NDays&amp;"D")</f>
        <v>63278</v>
      </c>
      <c r="Q3415" s="81" t="e">
        <v>#N/A</v>
      </c>
      <c r="R3415" s="85" t="e">
        <v>#N/A</v>
      </c>
    </row>
    <row r="3416" spans="14:18" x14ac:dyDescent="0.2">
      <c r="N3416" s="88" t="str">
        <f t="shared" si="59"/>
        <v>1w</v>
      </c>
      <c r="O3416" s="82">
        <f>_xll.qlCalendarAdvance(Calendar,O3415,N3416,"f",FALSE)</f>
        <v>63283</v>
      </c>
      <c r="P3416" s="92">
        <f>_xll.qlCalendarAdvance(Calendar,O3416,NDays&amp;"D")</f>
        <v>63285</v>
      </c>
      <c r="Q3416" s="81" t="e">
        <v>#N/A</v>
      </c>
      <c r="R3416" s="85" t="e">
        <v>#N/A</v>
      </c>
    </row>
    <row r="3417" spans="14:18" x14ac:dyDescent="0.2">
      <c r="N3417" s="88" t="str">
        <f t="shared" si="59"/>
        <v>1w</v>
      </c>
      <c r="O3417" s="82">
        <f>_xll.qlCalendarAdvance(Calendar,O3416,N3417,"f",FALSE)</f>
        <v>63290</v>
      </c>
      <c r="P3417" s="92">
        <f>_xll.qlCalendarAdvance(Calendar,O3417,NDays&amp;"D")</f>
        <v>63292</v>
      </c>
      <c r="Q3417" s="81" t="e">
        <v>#N/A</v>
      </c>
      <c r="R3417" s="85" t="e">
        <v>#N/A</v>
      </c>
    </row>
    <row r="3418" spans="14:18" x14ac:dyDescent="0.2">
      <c r="N3418" s="88" t="str">
        <f t="shared" si="59"/>
        <v>1w</v>
      </c>
      <c r="O3418" s="82">
        <f>_xll.qlCalendarAdvance(Calendar,O3417,N3418,"f",FALSE)</f>
        <v>63297</v>
      </c>
      <c r="P3418" s="92">
        <f>_xll.qlCalendarAdvance(Calendar,O3418,NDays&amp;"D")</f>
        <v>63299</v>
      </c>
      <c r="Q3418" s="81" t="e">
        <v>#N/A</v>
      </c>
      <c r="R3418" s="85" t="e">
        <v>#N/A</v>
      </c>
    </row>
    <row r="3419" spans="14:18" x14ac:dyDescent="0.2">
      <c r="N3419" s="88" t="str">
        <f t="shared" si="59"/>
        <v>1w</v>
      </c>
      <c r="O3419" s="82">
        <f>_xll.qlCalendarAdvance(Calendar,O3418,N3419,"f",FALSE)</f>
        <v>63304</v>
      </c>
      <c r="P3419" s="92">
        <f>_xll.qlCalendarAdvance(Calendar,O3419,NDays&amp;"D")</f>
        <v>63306</v>
      </c>
      <c r="Q3419" s="81" t="e">
        <v>#N/A</v>
      </c>
      <c r="R3419" s="85" t="e">
        <v>#N/A</v>
      </c>
    </row>
    <row r="3420" spans="14:18" x14ac:dyDescent="0.2">
      <c r="N3420" s="88" t="str">
        <f t="shared" si="59"/>
        <v>1w</v>
      </c>
      <c r="O3420" s="82">
        <f>_xll.qlCalendarAdvance(Calendar,O3419,N3420,"f",FALSE)</f>
        <v>63311</v>
      </c>
      <c r="P3420" s="92">
        <f>_xll.qlCalendarAdvance(Calendar,O3420,NDays&amp;"D")</f>
        <v>63314</v>
      </c>
      <c r="Q3420" s="81" t="e">
        <v>#N/A</v>
      </c>
      <c r="R3420" s="85" t="e">
        <v>#N/A</v>
      </c>
    </row>
    <row r="3421" spans="14:18" x14ac:dyDescent="0.2">
      <c r="N3421" s="88" t="str">
        <f t="shared" si="59"/>
        <v>1w</v>
      </c>
      <c r="O3421" s="82">
        <f>_xll.qlCalendarAdvance(Calendar,O3420,N3421,"f",FALSE)</f>
        <v>63318</v>
      </c>
      <c r="P3421" s="92">
        <f>_xll.qlCalendarAdvance(Calendar,O3421,NDays&amp;"D")</f>
        <v>63320</v>
      </c>
      <c r="Q3421" s="81" t="e">
        <v>#N/A</v>
      </c>
      <c r="R3421" s="85" t="e">
        <v>#N/A</v>
      </c>
    </row>
    <row r="3422" spans="14:18" x14ac:dyDescent="0.2">
      <c r="N3422" s="88" t="str">
        <f t="shared" si="59"/>
        <v>1w</v>
      </c>
      <c r="O3422" s="82">
        <f>_xll.qlCalendarAdvance(Calendar,O3421,N3422,"f",FALSE)</f>
        <v>63325</v>
      </c>
      <c r="P3422" s="92">
        <f>_xll.qlCalendarAdvance(Calendar,O3422,NDays&amp;"D")</f>
        <v>63327</v>
      </c>
      <c r="Q3422" s="81" t="e">
        <v>#N/A</v>
      </c>
      <c r="R3422" s="85" t="e">
        <v>#N/A</v>
      </c>
    </row>
    <row r="3423" spans="14:18" x14ac:dyDescent="0.2">
      <c r="N3423" s="88" t="str">
        <f t="shared" si="59"/>
        <v>1w</v>
      </c>
      <c r="O3423" s="82">
        <f>_xll.qlCalendarAdvance(Calendar,O3422,N3423,"f",FALSE)</f>
        <v>63332</v>
      </c>
      <c r="P3423" s="92">
        <f>_xll.qlCalendarAdvance(Calendar,O3423,NDays&amp;"D")</f>
        <v>63334</v>
      </c>
      <c r="Q3423" s="81" t="e">
        <v>#N/A</v>
      </c>
      <c r="R3423" s="85" t="e">
        <v>#N/A</v>
      </c>
    </row>
    <row r="3424" spans="14:18" x14ac:dyDescent="0.2">
      <c r="N3424" s="88" t="str">
        <f t="shared" si="59"/>
        <v>1w</v>
      </c>
      <c r="O3424" s="82">
        <f>_xll.qlCalendarAdvance(Calendar,O3423,N3424,"f",FALSE)</f>
        <v>63339</v>
      </c>
      <c r="P3424" s="92">
        <f>_xll.qlCalendarAdvance(Calendar,O3424,NDays&amp;"D")</f>
        <v>63341</v>
      </c>
      <c r="Q3424" s="81" t="e">
        <v>#N/A</v>
      </c>
      <c r="R3424" s="85" t="e">
        <v>#N/A</v>
      </c>
    </row>
    <row r="3425" spans="14:18" x14ac:dyDescent="0.2">
      <c r="N3425" s="88" t="str">
        <f t="shared" si="59"/>
        <v>1w</v>
      </c>
      <c r="O3425" s="82">
        <f>_xll.qlCalendarAdvance(Calendar,O3424,N3425,"f",FALSE)</f>
        <v>63346</v>
      </c>
      <c r="P3425" s="92">
        <f>_xll.qlCalendarAdvance(Calendar,O3425,NDays&amp;"D")</f>
        <v>63348</v>
      </c>
      <c r="Q3425" s="81" t="e">
        <v>#N/A</v>
      </c>
      <c r="R3425" s="85" t="e">
        <v>#N/A</v>
      </c>
    </row>
    <row r="3426" spans="14:18" x14ac:dyDescent="0.2">
      <c r="N3426" s="88" t="str">
        <f t="shared" si="59"/>
        <v>1w</v>
      </c>
      <c r="O3426" s="82">
        <f>_xll.qlCalendarAdvance(Calendar,O3425,N3426,"f",FALSE)</f>
        <v>63353</v>
      </c>
      <c r="P3426" s="92">
        <f>_xll.qlCalendarAdvance(Calendar,O3426,NDays&amp;"D")</f>
        <v>63355</v>
      </c>
      <c r="Q3426" s="81" t="e">
        <v>#N/A</v>
      </c>
      <c r="R3426" s="85" t="e">
        <v>#N/A</v>
      </c>
    </row>
    <row r="3427" spans="14:18" x14ac:dyDescent="0.2">
      <c r="N3427" s="88" t="str">
        <f t="shared" si="59"/>
        <v>1w</v>
      </c>
      <c r="O3427" s="82">
        <f>_xll.qlCalendarAdvance(Calendar,O3426,N3427,"f",FALSE)</f>
        <v>63360</v>
      </c>
      <c r="P3427" s="92">
        <f>_xll.qlCalendarAdvance(Calendar,O3427,NDays&amp;"D")</f>
        <v>63362</v>
      </c>
      <c r="Q3427" s="81" t="e">
        <v>#N/A</v>
      </c>
      <c r="R3427" s="85" t="e">
        <v>#N/A</v>
      </c>
    </row>
    <row r="3428" spans="14:18" x14ac:dyDescent="0.2">
      <c r="N3428" s="88" t="str">
        <f t="shared" si="59"/>
        <v>1w</v>
      </c>
      <c r="O3428" s="82">
        <f>_xll.qlCalendarAdvance(Calendar,O3427,N3428,"f",FALSE)</f>
        <v>63367</v>
      </c>
      <c r="P3428" s="92">
        <f>_xll.qlCalendarAdvance(Calendar,O3428,NDays&amp;"D")</f>
        <v>63369</v>
      </c>
      <c r="Q3428" s="81" t="e">
        <v>#N/A</v>
      </c>
      <c r="R3428" s="85" t="e">
        <v>#N/A</v>
      </c>
    </row>
    <row r="3429" spans="14:18" x14ac:dyDescent="0.2">
      <c r="N3429" s="88" t="str">
        <f t="shared" si="59"/>
        <v>1w</v>
      </c>
      <c r="O3429" s="82">
        <f>_xll.qlCalendarAdvance(Calendar,O3428,N3429,"f",FALSE)</f>
        <v>63374</v>
      </c>
      <c r="P3429" s="92">
        <f>_xll.qlCalendarAdvance(Calendar,O3429,NDays&amp;"D")</f>
        <v>63376</v>
      </c>
      <c r="Q3429" s="81" t="e">
        <v>#N/A</v>
      </c>
      <c r="R3429" s="85" t="e">
        <v>#N/A</v>
      </c>
    </row>
    <row r="3430" spans="14:18" x14ac:dyDescent="0.2">
      <c r="N3430" s="88" t="str">
        <f t="shared" si="59"/>
        <v>1w</v>
      </c>
      <c r="O3430" s="82">
        <f>_xll.qlCalendarAdvance(Calendar,O3429,N3430,"f",FALSE)</f>
        <v>63381</v>
      </c>
      <c r="P3430" s="92">
        <f>_xll.qlCalendarAdvance(Calendar,O3430,NDays&amp;"D")</f>
        <v>63383</v>
      </c>
      <c r="Q3430" s="81" t="e">
        <v>#N/A</v>
      </c>
      <c r="R3430" s="85" t="e">
        <v>#N/A</v>
      </c>
    </row>
    <row r="3431" spans="14:18" x14ac:dyDescent="0.2">
      <c r="N3431" s="88" t="str">
        <f t="shared" si="59"/>
        <v>1w</v>
      </c>
      <c r="O3431" s="82">
        <f>_xll.qlCalendarAdvance(Calendar,O3430,N3431,"f",FALSE)</f>
        <v>63388</v>
      </c>
      <c r="P3431" s="92">
        <f>_xll.qlCalendarAdvance(Calendar,O3431,NDays&amp;"D")</f>
        <v>63390</v>
      </c>
      <c r="Q3431" s="81" t="e">
        <v>#N/A</v>
      </c>
      <c r="R3431" s="85" t="e">
        <v>#N/A</v>
      </c>
    </row>
    <row r="3432" spans="14:18" x14ac:dyDescent="0.2">
      <c r="N3432" s="88" t="str">
        <f t="shared" si="59"/>
        <v>1w</v>
      </c>
      <c r="O3432" s="82">
        <f>_xll.qlCalendarAdvance(Calendar,O3431,N3432,"f",FALSE)</f>
        <v>63395</v>
      </c>
      <c r="P3432" s="92">
        <f>_xll.qlCalendarAdvance(Calendar,O3432,NDays&amp;"D")</f>
        <v>63397</v>
      </c>
      <c r="Q3432" s="81" t="e">
        <v>#N/A</v>
      </c>
      <c r="R3432" s="85" t="e">
        <v>#N/A</v>
      </c>
    </row>
    <row r="3433" spans="14:18" x14ac:dyDescent="0.2">
      <c r="N3433" s="88" t="str">
        <f t="shared" si="59"/>
        <v>1w</v>
      </c>
      <c r="O3433" s="82">
        <f>_xll.qlCalendarAdvance(Calendar,O3432,N3433,"f",FALSE)</f>
        <v>63402</v>
      </c>
      <c r="P3433" s="92">
        <f>_xll.qlCalendarAdvance(Calendar,O3433,NDays&amp;"D")</f>
        <v>63404</v>
      </c>
      <c r="Q3433" s="81" t="e">
        <v>#N/A</v>
      </c>
      <c r="R3433" s="85" t="e">
        <v>#N/A</v>
      </c>
    </row>
    <row r="3434" spans="14:18" x14ac:dyDescent="0.2">
      <c r="N3434" s="88" t="str">
        <f t="shared" si="59"/>
        <v>1w</v>
      </c>
      <c r="O3434" s="82">
        <f>_xll.qlCalendarAdvance(Calendar,O3433,N3434,"f",FALSE)</f>
        <v>63409</v>
      </c>
      <c r="P3434" s="92">
        <f>_xll.qlCalendarAdvance(Calendar,O3434,NDays&amp;"D")</f>
        <v>63411</v>
      </c>
      <c r="Q3434" s="81" t="e">
        <v>#N/A</v>
      </c>
      <c r="R3434" s="85" t="e">
        <v>#N/A</v>
      </c>
    </row>
    <row r="3435" spans="14:18" x14ac:dyDescent="0.2">
      <c r="N3435" s="88" t="str">
        <f t="shared" si="59"/>
        <v>1w</v>
      </c>
      <c r="O3435" s="82">
        <f>_xll.qlCalendarAdvance(Calendar,O3434,N3435,"f",FALSE)</f>
        <v>63416</v>
      </c>
      <c r="P3435" s="92">
        <f>_xll.qlCalendarAdvance(Calendar,O3435,NDays&amp;"D")</f>
        <v>63418</v>
      </c>
      <c r="Q3435" s="81" t="e">
        <v>#N/A</v>
      </c>
      <c r="R3435" s="85" t="e">
        <v>#N/A</v>
      </c>
    </row>
    <row r="3436" spans="14:18" x14ac:dyDescent="0.2">
      <c r="N3436" s="88" t="str">
        <f t="shared" si="59"/>
        <v>1w</v>
      </c>
      <c r="O3436" s="82">
        <f>_xll.qlCalendarAdvance(Calendar,O3435,N3436,"f",FALSE)</f>
        <v>63423</v>
      </c>
      <c r="P3436" s="92">
        <f>_xll.qlCalendarAdvance(Calendar,O3436,NDays&amp;"D")</f>
        <v>63425</v>
      </c>
      <c r="Q3436" s="81" t="e">
        <v>#N/A</v>
      </c>
      <c r="R3436" s="85" t="e">
        <v>#N/A</v>
      </c>
    </row>
    <row r="3437" spans="14:18" x14ac:dyDescent="0.2">
      <c r="N3437" s="88" t="str">
        <f t="shared" si="59"/>
        <v>1w</v>
      </c>
      <c r="O3437" s="82">
        <f>_xll.qlCalendarAdvance(Calendar,O3436,N3437,"f",FALSE)</f>
        <v>63430</v>
      </c>
      <c r="P3437" s="92">
        <f>_xll.qlCalendarAdvance(Calendar,O3437,NDays&amp;"D")</f>
        <v>63432</v>
      </c>
      <c r="Q3437" s="81" t="e">
        <v>#N/A</v>
      </c>
      <c r="R3437" s="85" t="e">
        <v>#N/A</v>
      </c>
    </row>
    <row r="3438" spans="14:18" x14ac:dyDescent="0.2">
      <c r="N3438" s="88" t="str">
        <f t="shared" si="59"/>
        <v>1w</v>
      </c>
      <c r="O3438" s="82">
        <f>_xll.qlCalendarAdvance(Calendar,O3437,N3438,"f",FALSE)</f>
        <v>63437</v>
      </c>
      <c r="P3438" s="92">
        <f>_xll.qlCalendarAdvance(Calendar,O3438,NDays&amp;"D")</f>
        <v>63439</v>
      </c>
      <c r="Q3438" s="81" t="e">
        <v>#N/A</v>
      </c>
      <c r="R3438" s="85" t="e">
        <v>#N/A</v>
      </c>
    </row>
    <row r="3439" spans="14:18" x14ac:dyDescent="0.2">
      <c r="N3439" s="88" t="str">
        <f t="shared" si="59"/>
        <v>1w</v>
      </c>
      <c r="O3439" s="82">
        <f>_xll.qlCalendarAdvance(Calendar,O3438,N3439,"f",FALSE)</f>
        <v>63444</v>
      </c>
      <c r="P3439" s="92">
        <f>_xll.qlCalendarAdvance(Calendar,O3439,NDays&amp;"D")</f>
        <v>63446</v>
      </c>
      <c r="Q3439" s="81" t="e">
        <v>#N/A</v>
      </c>
      <c r="R3439" s="85" t="e">
        <v>#N/A</v>
      </c>
    </row>
    <row r="3440" spans="14:18" x14ac:dyDescent="0.2">
      <c r="N3440" s="88" t="str">
        <f t="shared" si="59"/>
        <v>1w</v>
      </c>
      <c r="O3440" s="82">
        <f>_xll.qlCalendarAdvance(Calendar,O3439,N3440,"f",FALSE)</f>
        <v>63451</v>
      </c>
      <c r="P3440" s="92">
        <f>_xll.qlCalendarAdvance(Calendar,O3440,NDays&amp;"D")</f>
        <v>63453</v>
      </c>
      <c r="Q3440" s="81" t="e">
        <v>#N/A</v>
      </c>
      <c r="R3440" s="85" t="e">
        <v>#N/A</v>
      </c>
    </row>
    <row r="3441" spans="14:18" x14ac:dyDescent="0.2">
      <c r="N3441" s="88" t="str">
        <f t="shared" si="59"/>
        <v>1w</v>
      </c>
      <c r="O3441" s="82">
        <f>_xll.qlCalendarAdvance(Calendar,O3440,N3441,"f",FALSE)</f>
        <v>63458</v>
      </c>
      <c r="P3441" s="92">
        <f>_xll.qlCalendarAdvance(Calendar,O3441,NDays&amp;"D")</f>
        <v>63460</v>
      </c>
      <c r="Q3441" s="81" t="e">
        <v>#N/A</v>
      </c>
      <c r="R3441" s="85" t="e">
        <v>#N/A</v>
      </c>
    </row>
    <row r="3442" spans="14:18" x14ac:dyDescent="0.2">
      <c r="N3442" s="88" t="str">
        <f t="shared" si="59"/>
        <v>1w</v>
      </c>
      <c r="O3442" s="82">
        <f>_xll.qlCalendarAdvance(Calendar,O3441,N3442,"f",FALSE)</f>
        <v>63465</v>
      </c>
      <c r="P3442" s="92">
        <f>_xll.qlCalendarAdvance(Calendar,O3442,NDays&amp;"D")</f>
        <v>63467</v>
      </c>
      <c r="Q3442" s="81" t="e">
        <v>#N/A</v>
      </c>
      <c r="R3442" s="85" t="e">
        <v>#N/A</v>
      </c>
    </row>
    <row r="3443" spans="14:18" x14ac:dyDescent="0.2">
      <c r="N3443" s="88" t="str">
        <f t="shared" si="59"/>
        <v>1w</v>
      </c>
      <c r="O3443" s="82">
        <f>_xll.qlCalendarAdvance(Calendar,O3442,N3443,"f",FALSE)</f>
        <v>63472</v>
      </c>
      <c r="P3443" s="92">
        <f>_xll.qlCalendarAdvance(Calendar,O3443,NDays&amp;"D")</f>
        <v>63474</v>
      </c>
      <c r="Q3443" s="81" t="e">
        <v>#N/A</v>
      </c>
      <c r="R3443" s="85" t="e">
        <v>#N/A</v>
      </c>
    </row>
    <row r="3444" spans="14:18" x14ac:dyDescent="0.2">
      <c r="N3444" s="88" t="str">
        <f t="shared" si="59"/>
        <v>1w</v>
      </c>
      <c r="O3444" s="82">
        <f>_xll.qlCalendarAdvance(Calendar,O3443,N3444,"f",FALSE)</f>
        <v>63479</v>
      </c>
      <c r="P3444" s="92">
        <f>_xll.qlCalendarAdvance(Calendar,O3444,NDays&amp;"D")</f>
        <v>63481</v>
      </c>
      <c r="Q3444" s="81" t="e">
        <v>#N/A</v>
      </c>
      <c r="R3444" s="85" t="e">
        <v>#N/A</v>
      </c>
    </row>
    <row r="3445" spans="14:18" x14ac:dyDescent="0.2">
      <c r="N3445" s="88" t="str">
        <f t="shared" si="59"/>
        <v>1w</v>
      </c>
      <c r="O3445" s="82">
        <f>_xll.qlCalendarAdvance(Calendar,O3444,N3445,"f",FALSE)</f>
        <v>63486</v>
      </c>
      <c r="P3445" s="92">
        <f>_xll.qlCalendarAdvance(Calendar,O3445,NDays&amp;"D")</f>
        <v>63488</v>
      </c>
      <c r="Q3445" s="81" t="e">
        <v>#N/A</v>
      </c>
      <c r="R3445" s="85" t="e">
        <v>#N/A</v>
      </c>
    </row>
    <row r="3446" spans="14:18" x14ac:dyDescent="0.2">
      <c r="N3446" s="88" t="str">
        <f t="shared" si="59"/>
        <v>1w</v>
      </c>
      <c r="O3446" s="82">
        <f>_xll.qlCalendarAdvance(Calendar,O3445,N3446,"f",FALSE)</f>
        <v>63493</v>
      </c>
      <c r="P3446" s="92">
        <f>_xll.qlCalendarAdvance(Calendar,O3446,NDays&amp;"D")</f>
        <v>63495</v>
      </c>
      <c r="Q3446" s="81" t="e">
        <v>#N/A</v>
      </c>
      <c r="R3446" s="85" t="e">
        <v>#N/A</v>
      </c>
    </row>
    <row r="3447" spans="14:18" x14ac:dyDescent="0.2">
      <c r="N3447" s="88" t="str">
        <f t="shared" si="59"/>
        <v>1w</v>
      </c>
      <c r="O3447" s="82">
        <f>_xll.qlCalendarAdvance(Calendar,O3446,N3447,"f",FALSE)</f>
        <v>63500</v>
      </c>
      <c r="P3447" s="92">
        <f>_xll.qlCalendarAdvance(Calendar,O3447,NDays&amp;"D")</f>
        <v>63502</v>
      </c>
      <c r="Q3447" s="81" t="e">
        <v>#N/A</v>
      </c>
      <c r="R3447" s="85" t="e">
        <v>#N/A</v>
      </c>
    </row>
    <row r="3448" spans="14:18" x14ac:dyDescent="0.2">
      <c r="N3448" s="88" t="str">
        <f t="shared" si="59"/>
        <v>1w</v>
      </c>
      <c r="O3448" s="82">
        <f>_xll.qlCalendarAdvance(Calendar,O3447,N3448,"f",FALSE)</f>
        <v>63507</v>
      </c>
      <c r="P3448" s="92">
        <f>_xll.qlCalendarAdvance(Calendar,O3448,NDays&amp;"D")</f>
        <v>63509</v>
      </c>
      <c r="Q3448" s="81" t="e">
        <v>#N/A</v>
      </c>
      <c r="R3448" s="85" t="e">
        <v>#N/A</v>
      </c>
    </row>
    <row r="3449" spans="14:18" x14ac:dyDescent="0.2">
      <c r="N3449" s="88" t="str">
        <f t="shared" si="59"/>
        <v>1w</v>
      </c>
      <c r="O3449" s="82">
        <f>_xll.qlCalendarAdvance(Calendar,O3448,N3449,"f",FALSE)</f>
        <v>63514</v>
      </c>
      <c r="P3449" s="92">
        <f>_xll.qlCalendarAdvance(Calendar,O3449,NDays&amp;"D")</f>
        <v>63516</v>
      </c>
      <c r="Q3449" s="81" t="e">
        <v>#N/A</v>
      </c>
      <c r="R3449" s="85" t="e">
        <v>#N/A</v>
      </c>
    </row>
    <row r="3450" spans="14:18" x14ac:dyDescent="0.2">
      <c r="N3450" s="88" t="str">
        <f t="shared" si="59"/>
        <v>1w</v>
      </c>
      <c r="O3450" s="82">
        <f>_xll.qlCalendarAdvance(Calendar,O3449,N3450,"f",FALSE)</f>
        <v>63521</v>
      </c>
      <c r="P3450" s="92">
        <f>_xll.qlCalendarAdvance(Calendar,O3450,NDays&amp;"D")</f>
        <v>63523</v>
      </c>
      <c r="Q3450" s="81" t="e">
        <v>#N/A</v>
      </c>
      <c r="R3450" s="85" t="e">
        <v>#N/A</v>
      </c>
    </row>
    <row r="3451" spans="14:18" x14ac:dyDescent="0.2">
      <c r="N3451" s="88" t="str">
        <f t="shared" si="59"/>
        <v>1w</v>
      </c>
      <c r="O3451" s="82">
        <f>_xll.qlCalendarAdvance(Calendar,O3450,N3451,"f",FALSE)</f>
        <v>63528</v>
      </c>
      <c r="P3451" s="92">
        <f>_xll.qlCalendarAdvance(Calendar,O3451,NDays&amp;"D")</f>
        <v>63530</v>
      </c>
      <c r="Q3451" s="81" t="e">
        <v>#N/A</v>
      </c>
      <c r="R3451" s="85" t="e">
        <v>#N/A</v>
      </c>
    </row>
    <row r="3452" spans="14:18" x14ac:dyDescent="0.2">
      <c r="N3452" s="88" t="str">
        <f t="shared" si="59"/>
        <v>1w</v>
      </c>
      <c r="O3452" s="82">
        <f>_xll.qlCalendarAdvance(Calendar,O3451,N3452,"f",FALSE)</f>
        <v>63535</v>
      </c>
      <c r="P3452" s="92">
        <f>_xll.qlCalendarAdvance(Calendar,O3452,NDays&amp;"D")</f>
        <v>63537</v>
      </c>
      <c r="Q3452" s="81" t="e">
        <v>#N/A</v>
      </c>
      <c r="R3452" s="85" t="e">
        <v>#N/A</v>
      </c>
    </row>
    <row r="3453" spans="14:18" x14ac:dyDescent="0.2">
      <c r="N3453" s="88" t="str">
        <f t="shared" si="59"/>
        <v>1w</v>
      </c>
      <c r="O3453" s="82">
        <f>_xll.qlCalendarAdvance(Calendar,O3452,N3453,"f",FALSE)</f>
        <v>63542</v>
      </c>
      <c r="P3453" s="92">
        <f>_xll.qlCalendarAdvance(Calendar,O3453,NDays&amp;"D")</f>
        <v>63544</v>
      </c>
      <c r="Q3453" s="81" t="e">
        <v>#N/A</v>
      </c>
      <c r="R3453" s="85" t="e">
        <v>#N/A</v>
      </c>
    </row>
    <row r="3454" spans="14:18" x14ac:dyDescent="0.2">
      <c r="N3454" s="88" t="str">
        <f t="shared" si="59"/>
        <v>1w</v>
      </c>
      <c r="O3454" s="82">
        <f>_xll.qlCalendarAdvance(Calendar,O3453,N3454,"f",FALSE)</f>
        <v>63550</v>
      </c>
      <c r="P3454" s="92">
        <f>_xll.qlCalendarAdvance(Calendar,O3454,NDays&amp;"D")</f>
        <v>63552</v>
      </c>
      <c r="Q3454" s="81" t="e">
        <v>#N/A</v>
      </c>
      <c r="R3454" s="85" t="e">
        <v>#N/A</v>
      </c>
    </row>
    <row r="3455" spans="14:18" x14ac:dyDescent="0.2">
      <c r="N3455" s="88" t="str">
        <f t="shared" si="59"/>
        <v>1w</v>
      </c>
      <c r="O3455" s="82">
        <f>_xll.qlCalendarAdvance(Calendar,O3454,N3455,"f",FALSE)</f>
        <v>63557</v>
      </c>
      <c r="P3455" s="92">
        <f>_xll.qlCalendarAdvance(Calendar,O3455,NDays&amp;"D")</f>
        <v>63559</v>
      </c>
      <c r="Q3455" s="81" t="e">
        <v>#N/A</v>
      </c>
      <c r="R3455" s="85" t="e">
        <v>#N/A</v>
      </c>
    </row>
    <row r="3456" spans="14:18" x14ac:dyDescent="0.2">
      <c r="N3456" s="88" t="str">
        <f t="shared" si="59"/>
        <v>1w</v>
      </c>
      <c r="O3456" s="82">
        <f>_xll.qlCalendarAdvance(Calendar,O3455,N3456,"f",FALSE)</f>
        <v>63564</v>
      </c>
      <c r="P3456" s="92">
        <f>_xll.qlCalendarAdvance(Calendar,O3456,NDays&amp;"D")</f>
        <v>63566</v>
      </c>
      <c r="Q3456" s="81" t="e">
        <v>#N/A</v>
      </c>
      <c r="R3456" s="85" t="e">
        <v>#N/A</v>
      </c>
    </row>
    <row r="3457" spans="14:18" x14ac:dyDescent="0.2">
      <c r="N3457" s="88" t="str">
        <f t="shared" si="59"/>
        <v>1w</v>
      </c>
      <c r="O3457" s="82">
        <f>_xll.qlCalendarAdvance(Calendar,O3456,N3457,"f",FALSE)</f>
        <v>63571</v>
      </c>
      <c r="P3457" s="92">
        <f>_xll.qlCalendarAdvance(Calendar,O3457,NDays&amp;"D")</f>
        <v>63573</v>
      </c>
      <c r="Q3457" s="81" t="e">
        <v>#N/A</v>
      </c>
      <c r="R3457" s="85" t="e">
        <v>#N/A</v>
      </c>
    </row>
    <row r="3458" spans="14:18" x14ac:dyDescent="0.2">
      <c r="N3458" s="88" t="str">
        <f t="shared" si="59"/>
        <v>1w</v>
      </c>
      <c r="O3458" s="82">
        <f>_xll.qlCalendarAdvance(Calendar,O3457,N3458,"f",FALSE)</f>
        <v>63578</v>
      </c>
      <c r="P3458" s="92">
        <f>_xll.qlCalendarAdvance(Calendar,O3458,NDays&amp;"D")</f>
        <v>63580</v>
      </c>
      <c r="Q3458" s="81" t="e">
        <v>#N/A</v>
      </c>
      <c r="R3458" s="85" t="e">
        <v>#N/A</v>
      </c>
    </row>
    <row r="3459" spans="14:18" x14ac:dyDescent="0.2">
      <c r="N3459" s="88" t="str">
        <f t="shared" si="59"/>
        <v>1w</v>
      </c>
      <c r="O3459" s="82">
        <f>_xll.qlCalendarAdvance(Calendar,O3458,N3459,"f",FALSE)</f>
        <v>63585</v>
      </c>
      <c r="P3459" s="92">
        <f>_xll.qlCalendarAdvance(Calendar,O3459,NDays&amp;"D")</f>
        <v>63587</v>
      </c>
      <c r="Q3459" s="81" t="e">
        <v>#N/A</v>
      </c>
      <c r="R3459" s="85" t="e">
        <v>#N/A</v>
      </c>
    </row>
    <row r="3460" spans="14:18" x14ac:dyDescent="0.2">
      <c r="N3460" s="88" t="str">
        <f t="shared" si="59"/>
        <v>1w</v>
      </c>
      <c r="O3460" s="82">
        <f>_xll.qlCalendarAdvance(Calendar,O3459,N3460,"f",FALSE)</f>
        <v>63592</v>
      </c>
      <c r="P3460" s="92">
        <f>_xll.qlCalendarAdvance(Calendar,O3460,NDays&amp;"D")</f>
        <v>63594</v>
      </c>
      <c r="Q3460" s="81" t="e">
        <v>#N/A</v>
      </c>
      <c r="R3460" s="85" t="e">
        <v>#N/A</v>
      </c>
    </row>
    <row r="3461" spans="14:18" x14ac:dyDescent="0.2">
      <c r="N3461" s="88" t="str">
        <f t="shared" si="59"/>
        <v>1w</v>
      </c>
      <c r="O3461" s="82">
        <f>_xll.qlCalendarAdvance(Calendar,O3460,N3461,"f",FALSE)</f>
        <v>63599</v>
      </c>
      <c r="P3461" s="92">
        <f>_xll.qlCalendarAdvance(Calendar,O3461,NDays&amp;"D")</f>
        <v>63601</v>
      </c>
      <c r="Q3461" s="81" t="e">
        <v>#N/A</v>
      </c>
      <c r="R3461" s="85" t="e">
        <v>#N/A</v>
      </c>
    </row>
    <row r="3462" spans="14:18" x14ac:dyDescent="0.2">
      <c r="N3462" s="88" t="str">
        <f t="shared" si="59"/>
        <v>1w</v>
      </c>
      <c r="O3462" s="82">
        <f>_xll.qlCalendarAdvance(Calendar,O3461,N3462,"f",FALSE)</f>
        <v>63606</v>
      </c>
      <c r="P3462" s="92">
        <f>_xll.qlCalendarAdvance(Calendar,O3462,NDays&amp;"D")</f>
        <v>63608</v>
      </c>
      <c r="Q3462" s="81" t="e">
        <v>#N/A</v>
      </c>
      <c r="R3462" s="85" t="e">
        <v>#N/A</v>
      </c>
    </row>
    <row r="3463" spans="14:18" x14ac:dyDescent="0.2">
      <c r="N3463" s="88" t="str">
        <f t="shared" si="59"/>
        <v>1w</v>
      </c>
      <c r="O3463" s="82">
        <f>_xll.qlCalendarAdvance(Calendar,O3462,N3463,"f",FALSE)</f>
        <v>63613</v>
      </c>
      <c r="P3463" s="92">
        <f>_xll.qlCalendarAdvance(Calendar,O3463,NDays&amp;"D")</f>
        <v>63615</v>
      </c>
      <c r="Q3463" s="81" t="e">
        <v>#N/A</v>
      </c>
      <c r="R3463" s="85" t="e">
        <v>#N/A</v>
      </c>
    </row>
    <row r="3464" spans="14:18" x14ac:dyDescent="0.2">
      <c r="N3464" s="88" t="str">
        <f t="shared" si="59"/>
        <v>1w</v>
      </c>
      <c r="O3464" s="82">
        <f>_xll.qlCalendarAdvance(Calendar,O3463,N3464,"f",FALSE)</f>
        <v>63620</v>
      </c>
      <c r="P3464" s="92">
        <f>_xll.qlCalendarAdvance(Calendar,O3464,NDays&amp;"D")</f>
        <v>63622</v>
      </c>
      <c r="Q3464" s="81" t="e">
        <v>#N/A</v>
      </c>
      <c r="R3464" s="85" t="e">
        <v>#N/A</v>
      </c>
    </row>
    <row r="3465" spans="14:18" x14ac:dyDescent="0.2">
      <c r="N3465" s="88" t="str">
        <f t="shared" si="59"/>
        <v>1w</v>
      </c>
      <c r="O3465" s="82">
        <f>_xll.qlCalendarAdvance(Calendar,O3464,N3465,"f",FALSE)</f>
        <v>63627</v>
      </c>
      <c r="P3465" s="92">
        <f>_xll.qlCalendarAdvance(Calendar,O3465,NDays&amp;"D")</f>
        <v>63629</v>
      </c>
      <c r="Q3465" s="81" t="e">
        <v>#N/A</v>
      </c>
      <c r="R3465" s="85" t="e">
        <v>#N/A</v>
      </c>
    </row>
    <row r="3466" spans="14:18" x14ac:dyDescent="0.2">
      <c r="N3466" s="88" t="str">
        <f t="shared" si="59"/>
        <v>1w</v>
      </c>
      <c r="O3466" s="82">
        <f>_xll.qlCalendarAdvance(Calendar,O3465,N3466,"f",FALSE)</f>
        <v>63634</v>
      </c>
      <c r="P3466" s="92">
        <f>_xll.qlCalendarAdvance(Calendar,O3466,NDays&amp;"D")</f>
        <v>63636</v>
      </c>
      <c r="Q3466" s="81" t="e">
        <v>#N/A</v>
      </c>
      <c r="R3466" s="85" t="e">
        <v>#N/A</v>
      </c>
    </row>
    <row r="3467" spans="14:18" x14ac:dyDescent="0.2">
      <c r="N3467" s="88" t="str">
        <f t="shared" si="59"/>
        <v>1w</v>
      </c>
      <c r="O3467" s="82">
        <f>_xll.qlCalendarAdvance(Calendar,O3466,N3467,"f",FALSE)</f>
        <v>63641</v>
      </c>
      <c r="P3467" s="92">
        <f>_xll.qlCalendarAdvance(Calendar,O3467,NDays&amp;"D")</f>
        <v>63643</v>
      </c>
      <c r="Q3467" s="81" t="e">
        <v>#N/A</v>
      </c>
      <c r="R3467" s="85" t="e">
        <v>#N/A</v>
      </c>
    </row>
    <row r="3468" spans="14:18" x14ac:dyDescent="0.2">
      <c r="N3468" s="88" t="str">
        <f t="shared" si="59"/>
        <v>1w</v>
      </c>
      <c r="O3468" s="82">
        <f>_xll.qlCalendarAdvance(Calendar,O3467,N3468,"f",FALSE)</f>
        <v>63648</v>
      </c>
      <c r="P3468" s="92">
        <f>_xll.qlCalendarAdvance(Calendar,O3468,NDays&amp;"D")</f>
        <v>63650</v>
      </c>
      <c r="Q3468" s="81" t="e">
        <v>#N/A</v>
      </c>
      <c r="R3468" s="85" t="e">
        <v>#N/A</v>
      </c>
    </row>
    <row r="3469" spans="14:18" x14ac:dyDescent="0.2">
      <c r="N3469" s="88" t="str">
        <f t="shared" si="59"/>
        <v>1w</v>
      </c>
      <c r="O3469" s="82">
        <f>_xll.qlCalendarAdvance(Calendar,O3468,N3469,"f",FALSE)</f>
        <v>63655</v>
      </c>
      <c r="P3469" s="92">
        <f>_xll.qlCalendarAdvance(Calendar,O3469,NDays&amp;"D")</f>
        <v>63661</v>
      </c>
      <c r="Q3469" s="81" t="e">
        <v>#N/A</v>
      </c>
      <c r="R3469" s="85" t="e">
        <v>#N/A</v>
      </c>
    </row>
    <row r="3470" spans="14:18" x14ac:dyDescent="0.2">
      <c r="N3470" s="88" t="str">
        <f t="shared" si="59"/>
        <v>1w</v>
      </c>
      <c r="O3470" s="82">
        <f>_xll.qlCalendarAdvance(Calendar,O3469,N3470,"f",FALSE)</f>
        <v>63662</v>
      </c>
      <c r="P3470" s="92">
        <f>_xll.qlCalendarAdvance(Calendar,O3470,NDays&amp;"D")</f>
        <v>63664</v>
      </c>
      <c r="Q3470" s="81" t="e">
        <v>#N/A</v>
      </c>
      <c r="R3470" s="85" t="e">
        <v>#N/A</v>
      </c>
    </row>
    <row r="3471" spans="14:18" x14ac:dyDescent="0.2">
      <c r="N3471" s="88" t="str">
        <f t="shared" si="59"/>
        <v>1w</v>
      </c>
      <c r="O3471" s="82">
        <f>_xll.qlCalendarAdvance(Calendar,O3470,N3471,"f",FALSE)</f>
        <v>63669</v>
      </c>
      <c r="P3471" s="92">
        <f>_xll.qlCalendarAdvance(Calendar,O3471,NDays&amp;"D")</f>
        <v>63671</v>
      </c>
      <c r="Q3471" s="81" t="e">
        <v>#N/A</v>
      </c>
      <c r="R3471" s="85" t="e">
        <v>#N/A</v>
      </c>
    </row>
    <row r="3472" spans="14:18" x14ac:dyDescent="0.2">
      <c r="N3472" s="88" t="str">
        <f t="shared" si="59"/>
        <v>1w</v>
      </c>
      <c r="O3472" s="82">
        <f>_xll.qlCalendarAdvance(Calendar,O3471,N3472,"f",FALSE)</f>
        <v>63676</v>
      </c>
      <c r="P3472" s="92">
        <f>_xll.qlCalendarAdvance(Calendar,O3472,NDays&amp;"D")</f>
        <v>63678</v>
      </c>
      <c r="Q3472" s="81" t="e">
        <v>#N/A</v>
      </c>
      <c r="R3472" s="85" t="e">
        <v>#N/A</v>
      </c>
    </row>
    <row r="3473" spans="14:18" x14ac:dyDescent="0.2">
      <c r="N3473" s="88" t="str">
        <f t="shared" si="59"/>
        <v>1w</v>
      </c>
      <c r="O3473" s="82">
        <f>_xll.qlCalendarAdvance(Calendar,O3472,N3473,"f",FALSE)</f>
        <v>63683</v>
      </c>
      <c r="P3473" s="92">
        <f>_xll.qlCalendarAdvance(Calendar,O3473,NDays&amp;"D")</f>
        <v>63685</v>
      </c>
      <c r="Q3473" s="81" t="e">
        <v>#N/A</v>
      </c>
      <c r="R3473" s="85" t="e">
        <v>#N/A</v>
      </c>
    </row>
    <row r="3474" spans="14:18" x14ac:dyDescent="0.2">
      <c r="N3474" s="88" t="str">
        <f t="shared" si="59"/>
        <v>1w</v>
      </c>
      <c r="O3474" s="82">
        <f>_xll.qlCalendarAdvance(Calendar,O3473,N3474,"f",FALSE)</f>
        <v>63690</v>
      </c>
      <c r="P3474" s="92">
        <f>_xll.qlCalendarAdvance(Calendar,O3474,NDays&amp;"D")</f>
        <v>63692</v>
      </c>
      <c r="Q3474" s="81" t="e">
        <v>#N/A</v>
      </c>
      <c r="R3474" s="85" t="e">
        <v>#N/A</v>
      </c>
    </row>
    <row r="3475" spans="14:18" x14ac:dyDescent="0.2">
      <c r="N3475" s="88" t="str">
        <f t="shared" si="59"/>
        <v>1w</v>
      </c>
      <c r="O3475" s="82">
        <f>_xll.qlCalendarAdvance(Calendar,O3474,N3475,"f",FALSE)</f>
        <v>63697</v>
      </c>
      <c r="P3475" s="92">
        <f>_xll.qlCalendarAdvance(Calendar,O3475,NDays&amp;"D")</f>
        <v>63702</v>
      </c>
      <c r="Q3475" s="81" t="e">
        <v>#N/A</v>
      </c>
      <c r="R3475" s="85" t="e">
        <v>#N/A</v>
      </c>
    </row>
    <row r="3476" spans="14:18" x14ac:dyDescent="0.2">
      <c r="N3476" s="88" t="str">
        <f t="shared" si="59"/>
        <v>1w</v>
      </c>
      <c r="O3476" s="82">
        <f>_xll.qlCalendarAdvance(Calendar,O3475,N3476,"f",FALSE)</f>
        <v>63704</v>
      </c>
      <c r="P3476" s="92">
        <f>_xll.qlCalendarAdvance(Calendar,O3476,NDays&amp;"D")</f>
        <v>63706</v>
      </c>
      <c r="Q3476" s="81" t="e">
        <v>#N/A</v>
      </c>
      <c r="R3476" s="85" t="e">
        <v>#N/A</v>
      </c>
    </row>
    <row r="3477" spans="14:18" x14ac:dyDescent="0.2">
      <c r="N3477" s="88" t="str">
        <f t="shared" ref="N3477:N3540" si="60">N3476</f>
        <v>1w</v>
      </c>
      <c r="O3477" s="82">
        <f>_xll.qlCalendarAdvance(Calendar,O3476,N3477,"f",FALSE)</f>
        <v>63711</v>
      </c>
      <c r="P3477" s="92">
        <f>_xll.qlCalendarAdvance(Calendar,O3477,NDays&amp;"D")</f>
        <v>63713</v>
      </c>
      <c r="Q3477" s="81" t="e">
        <v>#N/A</v>
      </c>
      <c r="R3477" s="85" t="e">
        <v>#N/A</v>
      </c>
    </row>
    <row r="3478" spans="14:18" x14ac:dyDescent="0.2">
      <c r="N3478" s="88" t="str">
        <f t="shared" si="60"/>
        <v>1w</v>
      </c>
      <c r="O3478" s="82">
        <f>_xll.qlCalendarAdvance(Calendar,O3477,N3478,"f",FALSE)</f>
        <v>63718</v>
      </c>
      <c r="P3478" s="92">
        <f>_xll.qlCalendarAdvance(Calendar,O3478,NDays&amp;"D")</f>
        <v>63720</v>
      </c>
      <c r="Q3478" s="81" t="e">
        <v>#N/A</v>
      </c>
      <c r="R3478" s="85" t="e">
        <v>#N/A</v>
      </c>
    </row>
    <row r="3479" spans="14:18" x14ac:dyDescent="0.2">
      <c r="N3479" s="88" t="str">
        <f t="shared" si="60"/>
        <v>1w</v>
      </c>
      <c r="O3479" s="82">
        <f>_xll.qlCalendarAdvance(Calendar,O3478,N3479,"f",FALSE)</f>
        <v>63725</v>
      </c>
      <c r="P3479" s="92">
        <f>_xll.qlCalendarAdvance(Calendar,O3479,NDays&amp;"D")</f>
        <v>63730</v>
      </c>
      <c r="Q3479" s="81" t="e">
        <v>#N/A</v>
      </c>
      <c r="R3479" s="85" t="e">
        <v>#N/A</v>
      </c>
    </row>
    <row r="3480" spans="14:18" x14ac:dyDescent="0.2">
      <c r="N3480" s="88" t="str">
        <f t="shared" si="60"/>
        <v>1w</v>
      </c>
      <c r="O3480" s="82">
        <f>_xll.qlCalendarAdvance(Calendar,O3479,N3480,"f",FALSE)</f>
        <v>63732</v>
      </c>
      <c r="P3480" s="92">
        <f>_xll.qlCalendarAdvance(Calendar,O3480,NDays&amp;"D")</f>
        <v>63734</v>
      </c>
      <c r="Q3480" s="81" t="e">
        <v>#N/A</v>
      </c>
      <c r="R3480" s="85" t="e">
        <v>#N/A</v>
      </c>
    </row>
    <row r="3481" spans="14:18" x14ac:dyDescent="0.2">
      <c r="N3481" s="88" t="str">
        <f t="shared" si="60"/>
        <v>1w</v>
      </c>
      <c r="O3481" s="82">
        <f>_xll.qlCalendarAdvance(Calendar,O3480,N3481,"f",FALSE)</f>
        <v>63739</v>
      </c>
      <c r="P3481" s="92">
        <f>_xll.qlCalendarAdvance(Calendar,O3481,NDays&amp;"D")</f>
        <v>63741</v>
      </c>
      <c r="Q3481" s="81" t="e">
        <v>#N/A</v>
      </c>
      <c r="R3481" s="85" t="e">
        <v>#N/A</v>
      </c>
    </row>
    <row r="3482" spans="14:18" x14ac:dyDescent="0.2">
      <c r="N3482" s="88" t="str">
        <f t="shared" si="60"/>
        <v>1w</v>
      </c>
      <c r="O3482" s="82">
        <f>_xll.qlCalendarAdvance(Calendar,O3481,N3482,"f",FALSE)</f>
        <v>63746</v>
      </c>
      <c r="P3482" s="92">
        <f>_xll.qlCalendarAdvance(Calendar,O3482,NDays&amp;"D")</f>
        <v>63748</v>
      </c>
      <c r="Q3482" s="81" t="e">
        <v>#N/A</v>
      </c>
      <c r="R3482" s="85" t="e">
        <v>#N/A</v>
      </c>
    </row>
    <row r="3483" spans="14:18" x14ac:dyDescent="0.2">
      <c r="N3483" s="88" t="str">
        <f t="shared" si="60"/>
        <v>1w</v>
      </c>
      <c r="O3483" s="82">
        <f>_xll.qlCalendarAdvance(Calendar,O3482,N3483,"f",FALSE)</f>
        <v>63753</v>
      </c>
      <c r="P3483" s="92">
        <f>_xll.qlCalendarAdvance(Calendar,O3483,NDays&amp;"D")</f>
        <v>63755</v>
      </c>
      <c r="Q3483" s="81" t="e">
        <v>#N/A</v>
      </c>
      <c r="R3483" s="85" t="e">
        <v>#N/A</v>
      </c>
    </row>
    <row r="3484" spans="14:18" x14ac:dyDescent="0.2">
      <c r="N3484" s="88" t="str">
        <f t="shared" si="60"/>
        <v>1w</v>
      </c>
      <c r="O3484" s="82">
        <f>_xll.qlCalendarAdvance(Calendar,O3483,N3484,"f",FALSE)</f>
        <v>63760</v>
      </c>
      <c r="P3484" s="92">
        <f>_xll.qlCalendarAdvance(Calendar,O3484,NDays&amp;"D")</f>
        <v>63762</v>
      </c>
      <c r="Q3484" s="81" t="e">
        <v>#N/A</v>
      </c>
      <c r="R3484" s="85" t="e">
        <v>#N/A</v>
      </c>
    </row>
    <row r="3485" spans="14:18" x14ac:dyDescent="0.2">
      <c r="N3485" s="88" t="str">
        <f t="shared" si="60"/>
        <v>1w</v>
      </c>
      <c r="O3485" s="82">
        <f>_xll.qlCalendarAdvance(Calendar,O3484,N3485,"f",FALSE)</f>
        <v>63767</v>
      </c>
      <c r="P3485" s="92">
        <f>_xll.qlCalendarAdvance(Calendar,O3485,NDays&amp;"D")</f>
        <v>63769</v>
      </c>
      <c r="Q3485" s="81" t="e">
        <v>#N/A</v>
      </c>
      <c r="R3485" s="85" t="e">
        <v>#N/A</v>
      </c>
    </row>
    <row r="3486" spans="14:18" x14ac:dyDescent="0.2">
      <c r="N3486" s="88" t="str">
        <f t="shared" si="60"/>
        <v>1w</v>
      </c>
      <c r="O3486" s="82">
        <f>_xll.qlCalendarAdvance(Calendar,O3485,N3486,"f",FALSE)</f>
        <v>63774</v>
      </c>
      <c r="P3486" s="92">
        <f>_xll.qlCalendarAdvance(Calendar,O3486,NDays&amp;"D")</f>
        <v>63776</v>
      </c>
      <c r="Q3486" s="81" t="e">
        <v>#N/A</v>
      </c>
      <c r="R3486" s="85" t="e">
        <v>#N/A</v>
      </c>
    </row>
    <row r="3487" spans="14:18" x14ac:dyDescent="0.2">
      <c r="N3487" s="88" t="str">
        <f t="shared" si="60"/>
        <v>1w</v>
      </c>
      <c r="O3487" s="82">
        <f>_xll.qlCalendarAdvance(Calendar,O3486,N3487,"f",FALSE)</f>
        <v>63781</v>
      </c>
      <c r="P3487" s="92">
        <f>_xll.qlCalendarAdvance(Calendar,O3487,NDays&amp;"D")</f>
        <v>63783</v>
      </c>
      <c r="Q3487" s="81" t="e">
        <v>#N/A</v>
      </c>
      <c r="R3487" s="85" t="e">
        <v>#N/A</v>
      </c>
    </row>
    <row r="3488" spans="14:18" x14ac:dyDescent="0.2">
      <c r="N3488" s="88" t="str">
        <f t="shared" si="60"/>
        <v>1w</v>
      </c>
      <c r="O3488" s="82">
        <f>_xll.qlCalendarAdvance(Calendar,O3487,N3488,"f",FALSE)</f>
        <v>63788</v>
      </c>
      <c r="P3488" s="92">
        <f>_xll.qlCalendarAdvance(Calendar,O3488,NDays&amp;"D")</f>
        <v>63790</v>
      </c>
      <c r="Q3488" s="81" t="e">
        <v>#N/A</v>
      </c>
      <c r="R3488" s="85" t="e">
        <v>#N/A</v>
      </c>
    </row>
    <row r="3489" spans="14:18" x14ac:dyDescent="0.2">
      <c r="N3489" s="88" t="str">
        <f t="shared" si="60"/>
        <v>1w</v>
      </c>
      <c r="O3489" s="82">
        <f>_xll.qlCalendarAdvance(Calendar,O3488,N3489,"f",FALSE)</f>
        <v>63795</v>
      </c>
      <c r="P3489" s="92">
        <f>_xll.qlCalendarAdvance(Calendar,O3489,NDays&amp;"D")</f>
        <v>63797</v>
      </c>
      <c r="Q3489" s="81" t="e">
        <v>#N/A</v>
      </c>
      <c r="R3489" s="85" t="e">
        <v>#N/A</v>
      </c>
    </row>
    <row r="3490" spans="14:18" x14ac:dyDescent="0.2">
      <c r="N3490" s="88" t="str">
        <f t="shared" si="60"/>
        <v>1w</v>
      </c>
      <c r="O3490" s="82">
        <f>_xll.qlCalendarAdvance(Calendar,O3489,N3490,"f",FALSE)</f>
        <v>63802</v>
      </c>
      <c r="P3490" s="92">
        <f>_xll.qlCalendarAdvance(Calendar,O3490,NDays&amp;"D")</f>
        <v>63804</v>
      </c>
      <c r="Q3490" s="81" t="e">
        <v>#N/A</v>
      </c>
      <c r="R3490" s="85" t="e">
        <v>#N/A</v>
      </c>
    </row>
    <row r="3491" spans="14:18" x14ac:dyDescent="0.2">
      <c r="N3491" s="88" t="str">
        <f t="shared" si="60"/>
        <v>1w</v>
      </c>
      <c r="O3491" s="82">
        <f>_xll.qlCalendarAdvance(Calendar,O3490,N3491,"f",FALSE)</f>
        <v>63809</v>
      </c>
      <c r="P3491" s="92">
        <f>_xll.qlCalendarAdvance(Calendar,O3491,NDays&amp;"D")</f>
        <v>63811</v>
      </c>
      <c r="Q3491" s="81" t="e">
        <v>#N/A</v>
      </c>
      <c r="R3491" s="85" t="e">
        <v>#N/A</v>
      </c>
    </row>
    <row r="3492" spans="14:18" x14ac:dyDescent="0.2">
      <c r="N3492" s="88" t="str">
        <f t="shared" si="60"/>
        <v>1w</v>
      </c>
      <c r="O3492" s="82">
        <f>_xll.qlCalendarAdvance(Calendar,O3491,N3492,"f",FALSE)</f>
        <v>63816</v>
      </c>
      <c r="P3492" s="92">
        <f>_xll.qlCalendarAdvance(Calendar,O3492,NDays&amp;"D")</f>
        <v>63818</v>
      </c>
      <c r="Q3492" s="81" t="e">
        <v>#N/A</v>
      </c>
      <c r="R3492" s="85" t="e">
        <v>#N/A</v>
      </c>
    </row>
    <row r="3493" spans="14:18" x14ac:dyDescent="0.2">
      <c r="N3493" s="88" t="str">
        <f t="shared" si="60"/>
        <v>1w</v>
      </c>
      <c r="O3493" s="82">
        <f>_xll.qlCalendarAdvance(Calendar,O3492,N3493,"f",FALSE)</f>
        <v>63823</v>
      </c>
      <c r="P3493" s="92">
        <f>_xll.qlCalendarAdvance(Calendar,O3493,NDays&amp;"D")</f>
        <v>63825</v>
      </c>
      <c r="Q3493" s="81" t="e">
        <v>#N/A</v>
      </c>
      <c r="R3493" s="85" t="e">
        <v>#N/A</v>
      </c>
    </row>
    <row r="3494" spans="14:18" x14ac:dyDescent="0.2">
      <c r="N3494" s="88" t="str">
        <f t="shared" si="60"/>
        <v>1w</v>
      </c>
      <c r="O3494" s="82">
        <f>_xll.qlCalendarAdvance(Calendar,O3493,N3494,"f",FALSE)</f>
        <v>63830</v>
      </c>
      <c r="P3494" s="92">
        <f>_xll.qlCalendarAdvance(Calendar,O3494,NDays&amp;"D")</f>
        <v>63832</v>
      </c>
      <c r="Q3494" s="81" t="e">
        <v>#N/A</v>
      </c>
      <c r="R3494" s="85" t="e">
        <v>#N/A</v>
      </c>
    </row>
    <row r="3495" spans="14:18" x14ac:dyDescent="0.2">
      <c r="N3495" s="88" t="str">
        <f t="shared" si="60"/>
        <v>1w</v>
      </c>
      <c r="O3495" s="82">
        <f>_xll.qlCalendarAdvance(Calendar,O3494,N3495,"f",FALSE)</f>
        <v>63837</v>
      </c>
      <c r="P3495" s="92">
        <f>_xll.qlCalendarAdvance(Calendar,O3495,NDays&amp;"D")</f>
        <v>63839</v>
      </c>
      <c r="Q3495" s="81" t="e">
        <v>#N/A</v>
      </c>
      <c r="R3495" s="85" t="e">
        <v>#N/A</v>
      </c>
    </row>
    <row r="3496" spans="14:18" x14ac:dyDescent="0.2">
      <c r="N3496" s="88" t="str">
        <f t="shared" si="60"/>
        <v>1w</v>
      </c>
      <c r="O3496" s="82">
        <f>_xll.qlCalendarAdvance(Calendar,O3495,N3496,"f",FALSE)</f>
        <v>63844</v>
      </c>
      <c r="P3496" s="92">
        <f>_xll.qlCalendarAdvance(Calendar,O3496,NDays&amp;"D")</f>
        <v>63846</v>
      </c>
      <c r="Q3496" s="81" t="e">
        <v>#N/A</v>
      </c>
      <c r="R3496" s="85" t="e">
        <v>#N/A</v>
      </c>
    </row>
    <row r="3497" spans="14:18" x14ac:dyDescent="0.2">
      <c r="N3497" s="88" t="str">
        <f t="shared" si="60"/>
        <v>1w</v>
      </c>
      <c r="O3497" s="82">
        <f>_xll.qlCalendarAdvance(Calendar,O3496,N3497,"f",FALSE)</f>
        <v>63851</v>
      </c>
      <c r="P3497" s="92">
        <f>_xll.qlCalendarAdvance(Calendar,O3497,NDays&amp;"D")</f>
        <v>63853</v>
      </c>
      <c r="Q3497" s="81" t="e">
        <v>#N/A</v>
      </c>
      <c r="R3497" s="85" t="e">
        <v>#N/A</v>
      </c>
    </row>
    <row r="3498" spans="14:18" x14ac:dyDescent="0.2">
      <c r="N3498" s="88" t="str">
        <f t="shared" si="60"/>
        <v>1w</v>
      </c>
      <c r="O3498" s="82">
        <f>_xll.qlCalendarAdvance(Calendar,O3497,N3498,"f",FALSE)</f>
        <v>63858</v>
      </c>
      <c r="P3498" s="92">
        <f>_xll.qlCalendarAdvance(Calendar,O3498,NDays&amp;"D")</f>
        <v>63860</v>
      </c>
      <c r="Q3498" s="81" t="e">
        <v>#N/A</v>
      </c>
      <c r="R3498" s="85" t="e">
        <v>#N/A</v>
      </c>
    </row>
    <row r="3499" spans="14:18" x14ac:dyDescent="0.2">
      <c r="N3499" s="88" t="str">
        <f t="shared" si="60"/>
        <v>1w</v>
      </c>
      <c r="O3499" s="82">
        <f>_xll.qlCalendarAdvance(Calendar,O3498,N3499,"f",FALSE)</f>
        <v>63865</v>
      </c>
      <c r="P3499" s="92">
        <f>_xll.qlCalendarAdvance(Calendar,O3499,NDays&amp;"D")</f>
        <v>63867</v>
      </c>
      <c r="Q3499" s="81" t="e">
        <v>#N/A</v>
      </c>
      <c r="R3499" s="85" t="e">
        <v>#N/A</v>
      </c>
    </row>
    <row r="3500" spans="14:18" x14ac:dyDescent="0.2">
      <c r="N3500" s="88" t="str">
        <f t="shared" si="60"/>
        <v>1w</v>
      </c>
      <c r="O3500" s="82">
        <f>_xll.qlCalendarAdvance(Calendar,O3499,N3500,"f",FALSE)</f>
        <v>63872</v>
      </c>
      <c r="P3500" s="92">
        <f>_xll.qlCalendarAdvance(Calendar,O3500,NDays&amp;"D")</f>
        <v>63874</v>
      </c>
      <c r="Q3500" s="81" t="e">
        <v>#N/A</v>
      </c>
      <c r="R3500" s="85" t="e">
        <v>#N/A</v>
      </c>
    </row>
    <row r="3501" spans="14:18" x14ac:dyDescent="0.2">
      <c r="N3501" s="88" t="str">
        <f t="shared" si="60"/>
        <v>1w</v>
      </c>
      <c r="O3501" s="82">
        <f>_xll.qlCalendarAdvance(Calendar,O3500,N3501,"f",FALSE)</f>
        <v>63879</v>
      </c>
      <c r="P3501" s="92">
        <f>_xll.qlCalendarAdvance(Calendar,O3501,NDays&amp;"D")</f>
        <v>63881</v>
      </c>
      <c r="Q3501" s="81" t="e">
        <v>#N/A</v>
      </c>
      <c r="R3501" s="85" t="e">
        <v>#N/A</v>
      </c>
    </row>
    <row r="3502" spans="14:18" x14ac:dyDescent="0.2">
      <c r="N3502" s="88" t="str">
        <f t="shared" si="60"/>
        <v>1w</v>
      </c>
      <c r="O3502" s="82">
        <f>_xll.qlCalendarAdvance(Calendar,O3501,N3502,"f",FALSE)</f>
        <v>63886</v>
      </c>
      <c r="P3502" s="92">
        <f>_xll.qlCalendarAdvance(Calendar,O3502,NDays&amp;"D")</f>
        <v>63888</v>
      </c>
      <c r="Q3502" s="81" t="e">
        <v>#N/A</v>
      </c>
      <c r="R3502" s="85" t="e">
        <v>#N/A</v>
      </c>
    </row>
    <row r="3503" spans="14:18" x14ac:dyDescent="0.2">
      <c r="N3503" s="88" t="str">
        <f t="shared" si="60"/>
        <v>1w</v>
      </c>
      <c r="O3503" s="82">
        <f>_xll.qlCalendarAdvance(Calendar,O3502,N3503,"f",FALSE)</f>
        <v>63893</v>
      </c>
      <c r="P3503" s="92">
        <f>_xll.qlCalendarAdvance(Calendar,O3503,NDays&amp;"D")</f>
        <v>63895</v>
      </c>
      <c r="Q3503" s="81" t="e">
        <v>#N/A</v>
      </c>
      <c r="R3503" s="85" t="e">
        <v>#N/A</v>
      </c>
    </row>
    <row r="3504" spans="14:18" x14ac:dyDescent="0.2">
      <c r="N3504" s="88" t="str">
        <f t="shared" si="60"/>
        <v>1w</v>
      </c>
      <c r="O3504" s="82">
        <f>_xll.qlCalendarAdvance(Calendar,O3503,N3504,"f",FALSE)</f>
        <v>63900</v>
      </c>
      <c r="P3504" s="92">
        <f>_xll.qlCalendarAdvance(Calendar,O3504,NDays&amp;"D")</f>
        <v>63902</v>
      </c>
      <c r="Q3504" s="81" t="e">
        <v>#N/A</v>
      </c>
      <c r="R3504" s="85" t="e">
        <v>#N/A</v>
      </c>
    </row>
    <row r="3505" spans="14:18" x14ac:dyDescent="0.2">
      <c r="N3505" s="88" t="str">
        <f t="shared" si="60"/>
        <v>1w</v>
      </c>
      <c r="O3505" s="82">
        <f>_xll.qlCalendarAdvance(Calendar,O3504,N3505,"f",FALSE)</f>
        <v>63907</v>
      </c>
      <c r="P3505" s="92">
        <f>_xll.qlCalendarAdvance(Calendar,O3505,NDays&amp;"D")</f>
        <v>63909</v>
      </c>
      <c r="Q3505" s="81" t="e">
        <v>#N/A</v>
      </c>
      <c r="R3505" s="85" t="e">
        <v>#N/A</v>
      </c>
    </row>
    <row r="3506" spans="14:18" x14ac:dyDescent="0.2">
      <c r="N3506" s="88" t="str">
        <f t="shared" si="60"/>
        <v>1w</v>
      </c>
      <c r="O3506" s="82">
        <f>_xll.qlCalendarAdvance(Calendar,O3505,N3506,"f",FALSE)</f>
        <v>63915</v>
      </c>
      <c r="P3506" s="92">
        <f>_xll.qlCalendarAdvance(Calendar,O3506,NDays&amp;"D")</f>
        <v>63921</v>
      </c>
      <c r="Q3506" s="81" t="e">
        <v>#N/A</v>
      </c>
      <c r="R3506" s="85" t="e">
        <v>#N/A</v>
      </c>
    </row>
    <row r="3507" spans="14:18" x14ac:dyDescent="0.2">
      <c r="N3507" s="88" t="str">
        <f t="shared" si="60"/>
        <v>1w</v>
      </c>
      <c r="O3507" s="82">
        <f>_xll.qlCalendarAdvance(Calendar,O3506,N3507,"f",FALSE)</f>
        <v>63922</v>
      </c>
      <c r="P3507" s="92">
        <f>_xll.qlCalendarAdvance(Calendar,O3507,NDays&amp;"D")</f>
        <v>63926</v>
      </c>
      <c r="Q3507" s="81" t="e">
        <v>#N/A</v>
      </c>
      <c r="R3507" s="85" t="e">
        <v>#N/A</v>
      </c>
    </row>
    <row r="3508" spans="14:18" x14ac:dyDescent="0.2">
      <c r="N3508" s="88" t="str">
        <f t="shared" si="60"/>
        <v>1w</v>
      </c>
      <c r="O3508" s="82">
        <f>_xll.qlCalendarAdvance(Calendar,O3507,N3508,"f",FALSE)</f>
        <v>63929</v>
      </c>
      <c r="P3508" s="92">
        <f>_xll.qlCalendarAdvance(Calendar,O3508,NDays&amp;"D")</f>
        <v>63933</v>
      </c>
      <c r="Q3508" s="81" t="e">
        <v>#N/A</v>
      </c>
      <c r="R3508" s="85" t="e">
        <v>#N/A</v>
      </c>
    </row>
    <row r="3509" spans="14:18" x14ac:dyDescent="0.2">
      <c r="N3509" s="88" t="str">
        <f t="shared" si="60"/>
        <v>1w</v>
      </c>
      <c r="O3509" s="82">
        <f>_xll.qlCalendarAdvance(Calendar,O3508,N3509,"f",FALSE)</f>
        <v>63936</v>
      </c>
      <c r="P3509" s="92">
        <f>_xll.qlCalendarAdvance(Calendar,O3509,NDays&amp;"D")</f>
        <v>63940</v>
      </c>
      <c r="Q3509" s="81" t="e">
        <v>#N/A</v>
      </c>
      <c r="R3509" s="85" t="e">
        <v>#N/A</v>
      </c>
    </row>
    <row r="3510" spans="14:18" x14ac:dyDescent="0.2">
      <c r="N3510" s="88" t="str">
        <f t="shared" si="60"/>
        <v>1w</v>
      </c>
      <c r="O3510" s="82">
        <f>_xll.qlCalendarAdvance(Calendar,O3509,N3510,"f",FALSE)</f>
        <v>63943</v>
      </c>
      <c r="P3510" s="92">
        <f>_xll.qlCalendarAdvance(Calendar,O3510,NDays&amp;"D")</f>
        <v>63947</v>
      </c>
      <c r="Q3510" s="81" t="e">
        <v>#N/A</v>
      </c>
      <c r="R3510" s="85" t="e">
        <v>#N/A</v>
      </c>
    </row>
    <row r="3511" spans="14:18" x14ac:dyDescent="0.2">
      <c r="N3511" s="88" t="str">
        <f t="shared" si="60"/>
        <v>1w</v>
      </c>
      <c r="O3511" s="82">
        <f>_xll.qlCalendarAdvance(Calendar,O3510,N3511,"f",FALSE)</f>
        <v>63950</v>
      </c>
      <c r="P3511" s="92">
        <f>_xll.qlCalendarAdvance(Calendar,O3511,NDays&amp;"D")</f>
        <v>63954</v>
      </c>
      <c r="Q3511" s="81" t="e">
        <v>#N/A</v>
      </c>
      <c r="R3511" s="85" t="e">
        <v>#N/A</v>
      </c>
    </row>
    <row r="3512" spans="14:18" x14ac:dyDescent="0.2">
      <c r="N3512" s="88" t="str">
        <f t="shared" si="60"/>
        <v>1w</v>
      </c>
      <c r="O3512" s="82">
        <f>_xll.qlCalendarAdvance(Calendar,O3511,N3512,"f",FALSE)</f>
        <v>63957</v>
      </c>
      <c r="P3512" s="92">
        <f>_xll.qlCalendarAdvance(Calendar,O3512,NDays&amp;"D")</f>
        <v>63961</v>
      </c>
      <c r="Q3512" s="81" t="e">
        <v>#N/A</v>
      </c>
      <c r="R3512" s="85" t="e">
        <v>#N/A</v>
      </c>
    </row>
    <row r="3513" spans="14:18" x14ac:dyDescent="0.2">
      <c r="N3513" s="88" t="str">
        <f t="shared" si="60"/>
        <v>1w</v>
      </c>
      <c r="O3513" s="82">
        <f>_xll.qlCalendarAdvance(Calendar,O3512,N3513,"f",FALSE)</f>
        <v>63964</v>
      </c>
      <c r="P3513" s="92">
        <f>_xll.qlCalendarAdvance(Calendar,O3513,NDays&amp;"D")</f>
        <v>63968</v>
      </c>
      <c r="Q3513" s="81" t="e">
        <v>#N/A</v>
      </c>
      <c r="R3513" s="85" t="e">
        <v>#N/A</v>
      </c>
    </row>
    <row r="3514" spans="14:18" x14ac:dyDescent="0.2">
      <c r="N3514" s="88" t="str">
        <f t="shared" si="60"/>
        <v>1w</v>
      </c>
      <c r="O3514" s="82">
        <f>_xll.qlCalendarAdvance(Calendar,O3513,N3514,"f",FALSE)</f>
        <v>63971</v>
      </c>
      <c r="P3514" s="92">
        <f>_xll.qlCalendarAdvance(Calendar,O3514,NDays&amp;"D")</f>
        <v>63975</v>
      </c>
      <c r="Q3514" s="81" t="e">
        <v>#N/A</v>
      </c>
      <c r="R3514" s="85" t="e">
        <v>#N/A</v>
      </c>
    </row>
    <row r="3515" spans="14:18" x14ac:dyDescent="0.2">
      <c r="N3515" s="88" t="str">
        <f t="shared" si="60"/>
        <v>1w</v>
      </c>
      <c r="O3515" s="82">
        <f>_xll.qlCalendarAdvance(Calendar,O3514,N3515,"f",FALSE)</f>
        <v>63978</v>
      </c>
      <c r="P3515" s="92">
        <f>_xll.qlCalendarAdvance(Calendar,O3515,NDays&amp;"D")</f>
        <v>63982</v>
      </c>
      <c r="Q3515" s="81" t="e">
        <v>#N/A</v>
      </c>
      <c r="R3515" s="85" t="e">
        <v>#N/A</v>
      </c>
    </row>
    <row r="3516" spans="14:18" x14ac:dyDescent="0.2">
      <c r="N3516" s="88" t="str">
        <f t="shared" si="60"/>
        <v>1w</v>
      </c>
      <c r="O3516" s="82">
        <f>_xll.qlCalendarAdvance(Calendar,O3515,N3516,"f",FALSE)</f>
        <v>63985</v>
      </c>
      <c r="P3516" s="92">
        <f>_xll.qlCalendarAdvance(Calendar,O3516,NDays&amp;"D")</f>
        <v>63989</v>
      </c>
      <c r="Q3516" s="81" t="e">
        <v>#N/A</v>
      </c>
      <c r="R3516" s="85" t="e">
        <v>#N/A</v>
      </c>
    </row>
    <row r="3517" spans="14:18" x14ac:dyDescent="0.2">
      <c r="N3517" s="88" t="str">
        <f t="shared" si="60"/>
        <v>1w</v>
      </c>
      <c r="O3517" s="82">
        <f>_xll.qlCalendarAdvance(Calendar,O3516,N3517,"f",FALSE)</f>
        <v>63992</v>
      </c>
      <c r="P3517" s="92">
        <f>_xll.qlCalendarAdvance(Calendar,O3517,NDays&amp;"D")</f>
        <v>63996</v>
      </c>
      <c r="Q3517" s="81" t="e">
        <v>#N/A</v>
      </c>
      <c r="R3517" s="85" t="e">
        <v>#N/A</v>
      </c>
    </row>
    <row r="3518" spans="14:18" x14ac:dyDescent="0.2">
      <c r="N3518" s="88" t="str">
        <f t="shared" si="60"/>
        <v>1w</v>
      </c>
      <c r="O3518" s="82">
        <f>_xll.qlCalendarAdvance(Calendar,O3517,N3518,"f",FALSE)</f>
        <v>63999</v>
      </c>
      <c r="P3518" s="92">
        <f>_xll.qlCalendarAdvance(Calendar,O3518,NDays&amp;"D")</f>
        <v>64003</v>
      </c>
      <c r="Q3518" s="81" t="e">
        <v>#N/A</v>
      </c>
      <c r="R3518" s="85" t="e">
        <v>#N/A</v>
      </c>
    </row>
    <row r="3519" spans="14:18" x14ac:dyDescent="0.2">
      <c r="N3519" s="88" t="str">
        <f t="shared" si="60"/>
        <v>1w</v>
      </c>
      <c r="O3519" s="82">
        <f>_xll.qlCalendarAdvance(Calendar,O3518,N3519,"f",FALSE)</f>
        <v>64006</v>
      </c>
      <c r="P3519" s="92">
        <f>_xll.qlCalendarAdvance(Calendar,O3519,NDays&amp;"D")</f>
        <v>64010</v>
      </c>
      <c r="Q3519" s="81" t="e">
        <v>#N/A</v>
      </c>
      <c r="R3519" s="85" t="e">
        <v>#N/A</v>
      </c>
    </row>
    <row r="3520" spans="14:18" x14ac:dyDescent="0.2">
      <c r="N3520" s="88" t="str">
        <f t="shared" si="60"/>
        <v>1w</v>
      </c>
      <c r="O3520" s="82">
        <f>_xll.qlCalendarAdvance(Calendar,O3519,N3520,"f",FALSE)</f>
        <v>64013</v>
      </c>
      <c r="P3520" s="92">
        <f>_xll.qlCalendarAdvance(Calendar,O3520,NDays&amp;"D")</f>
        <v>64019</v>
      </c>
      <c r="Q3520" s="81" t="e">
        <v>#N/A</v>
      </c>
      <c r="R3520" s="85" t="e">
        <v>#N/A</v>
      </c>
    </row>
    <row r="3521" spans="14:18" x14ac:dyDescent="0.2">
      <c r="N3521" s="88" t="str">
        <f t="shared" si="60"/>
        <v>1w</v>
      </c>
      <c r="O3521" s="82">
        <f>_xll.qlCalendarAdvance(Calendar,O3520,N3521,"f",FALSE)</f>
        <v>64020</v>
      </c>
      <c r="P3521" s="92">
        <f>_xll.qlCalendarAdvance(Calendar,O3521,NDays&amp;"D")</f>
        <v>64024</v>
      </c>
      <c r="Q3521" s="81" t="e">
        <v>#N/A</v>
      </c>
      <c r="R3521" s="85" t="e">
        <v>#N/A</v>
      </c>
    </row>
    <row r="3522" spans="14:18" x14ac:dyDescent="0.2">
      <c r="N3522" s="88" t="str">
        <f t="shared" si="60"/>
        <v>1w</v>
      </c>
      <c r="O3522" s="82">
        <f>_xll.qlCalendarAdvance(Calendar,O3521,N3522,"f",FALSE)</f>
        <v>64027</v>
      </c>
      <c r="P3522" s="92">
        <f>_xll.qlCalendarAdvance(Calendar,O3522,NDays&amp;"D")</f>
        <v>64031</v>
      </c>
      <c r="Q3522" s="81" t="e">
        <v>#N/A</v>
      </c>
      <c r="R3522" s="85" t="e">
        <v>#N/A</v>
      </c>
    </row>
    <row r="3523" spans="14:18" x14ac:dyDescent="0.2">
      <c r="N3523" s="88" t="str">
        <f t="shared" si="60"/>
        <v>1w</v>
      </c>
      <c r="O3523" s="82">
        <f>_xll.qlCalendarAdvance(Calendar,O3522,N3523,"f",FALSE)</f>
        <v>64034</v>
      </c>
      <c r="P3523" s="92">
        <f>_xll.qlCalendarAdvance(Calendar,O3523,NDays&amp;"D")</f>
        <v>64038</v>
      </c>
      <c r="Q3523" s="81" t="e">
        <v>#N/A</v>
      </c>
      <c r="R3523" s="85" t="e">
        <v>#N/A</v>
      </c>
    </row>
    <row r="3524" spans="14:18" x14ac:dyDescent="0.2">
      <c r="N3524" s="88" t="str">
        <f t="shared" si="60"/>
        <v>1w</v>
      </c>
      <c r="O3524" s="82">
        <f>_xll.qlCalendarAdvance(Calendar,O3523,N3524,"f",FALSE)</f>
        <v>64041</v>
      </c>
      <c r="P3524" s="92">
        <f>_xll.qlCalendarAdvance(Calendar,O3524,NDays&amp;"D")</f>
        <v>64045</v>
      </c>
      <c r="Q3524" s="81" t="e">
        <v>#N/A</v>
      </c>
      <c r="R3524" s="85" t="e">
        <v>#N/A</v>
      </c>
    </row>
    <row r="3525" spans="14:18" x14ac:dyDescent="0.2">
      <c r="N3525" s="88" t="str">
        <f t="shared" si="60"/>
        <v>1w</v>
      </c>
      <c r="O3525" s="82">
        <f>_xll.qlCalendarAdvance(Calendar,O3524,N3525,"f",FALSE)</f>
        <v>64048</v>
      </c>
      <c r="P3525" s="92">
        <f>_xll.qlCalendarAdvance(Calendar,O3525,NDays&amp;"D")</f>
        <v>64052</v>
      </c>
      <c r="Q3525" s="81" t="e">
        <v>#N/A</v>
      </c>
      <c r="R3525" s="85" t="e">
        <v>#N/A</v>
      </c>
    </row>
    <row r="3526" spans="14:18" x14ac:dyDescent="0.2">
      <c r="N3526" s="88" t="str">
        <f t="shared" si="60"/>
        <v>1w</v>
      </c>
      <c r="O3526" s="82">
        <f>_xll.qlCalendarAdvance(Calendar,O3525,N3526,"f",FALSE)</f>
        <v>64056</v>
      </c>
      <c r="P3526" s="92">
        <f>_xll.qlCalendarAdvance(Calendar,O3526,NDays&amp;"D")</f>
        <v>64060</v>
      </c>
      <c r="Q3526" s="81" t="e">
        <v>#N/A</v>
      </c>
      <c r="R3526" s="85" t="e">
        <v>#N/A</v>
      </c>
    </row>
    <row r="3527" spans="14:18" x14ac:dyDescent="0.2">
      <c r="N3527" s="88" t="str">
        <f t="shared" si="60"/>
        <v>1w</v>
      </c>
      <c r="O3527" s="82">
        <f>_xll.qlCalendarAdvance(Calendar,O3526,N3527,"f",FALSE)</f>
        <v>64063</v>
      </c>
      <c r="P3527" s="92">
        <f>_xll.qlCalendarAdvance(Calendar,O3527,NDays&amp;"D")</f>
        <v>64068</v>
      </c>
      <c r="Q3527" s="81" t="e">
        <v>#N/A</v>
      </c>
      <c r="R3527" s="85" t="e">
        <v>#N/A</v>
      </c>
    </row>
    <row r="3528" spans="14:18" x14ac:dyDescent="0.2">
      <c r="N3528" s="88" t="str">
        <f t="shared" si="60"/>
        <v>1w</v>
      </c>
      <c r="O3528" s="82">
        <f>_xll.qlCalendarAdvance(Calendar,O3527,N3528,"f",FALSE)</f>
        <v>64070</v>
      </c>
      <c r="P3528" s="92">
        <f>_xll.qlCalendarAdvance(Calendar,O3528,NDays&amp;"D")</f>
        <v>64074</v>
      </c>
      <c r="Q3528" s="81" t="e">
        <v>#N/A</v>
      </c>
      <c r="R3528" s="85" t="e">
        <v>#N/A</v>
      </c>
    </row>
    <row r="3529" spans="14:18" x14ac:dyDescent="0.2">
      <c r="N3529" s="88" t="str">
        <f t="shared" si="60"/>
        <v>1w</v>
      </c>
      <c r="O3529" s="82">
        <f>_xll.qlCalendarAdvance(Calendar,O3528,N3529,"f",FALSE)</f>
        <v>64077</v>
      </c>
      <c r="P3529" s="92">
        <f>_xll.qlCalendarAdvance(Calendar,O3529,NDays&amp;"D")</f>
        <v>64081</v>
      </c>
      <c r="Q3529" s="81" t="e">
        <v>#N/A</v>
      </c>
      <c r="R3529" s="85" t="e">
        <v>#N/A</v>
      </c>
    </row>
    <row r="3530" spans="14:18" x14ac:dyDescent="0.2">
      <c r="N3530" s="88" t="str">
        <f t="shared" si="60"/>
        <v>1w</v>
      </c>
      <c r="O3530" s="82">
        <f>_xll.qlCalendarAdvance(Calendar,O3529,N3530,"f",FALSE)</f>
        <v>64084</v>
      </c>
      <c r="P3530" s="92">
        <f>_xll.qlCalendarAdvance(Calendar,O3530,NDays&amp;"D")</f>
        <v>64088</v>
      </c>
      <c r="Q3530" s="81" t="e">
        <v>#N/A</v>
      </c>
      <c r="R3530" s="85" t="e">
        <v>#N/A</v>
      </c>
    </row>
    <row r="3531" spans="14:18" x14ac:dyDescent="0.2">
      <c r="N3531" s="88" t="str">
        <f t="shared" si="60"/>
        <v>1w</v>
      </c>
      <c r="O3531" s="82">
        <f>_xll.qlCalendarAdvance(Calendar,O3530,N3531,"f",FALSE)</f>
        <v>64094</v>
      </c>
      <c r="P3531" s="92">
        <f>_xll.qlCalendarAdvance(Calendar,O3531,NDays&amp;"D")</f>
        <v>64096</v>
      </c>
      <c r="Q3531" s="81" t="e">
        <v>#N/A</v>
      </c>
      <c r="R3531" s="85" t="e">
        <v>#N/A</v>
      </c>
    </row>
    <row r="3532" spans="14:18" x14ac:dyDescent="0.2">
      <c r="N3532" s="88" t="str">
        <f t="shared" si="60"/>
        <v>1w</v>
      </c>
      <c r="O3532" s="82">
        <f>_xll.qlCalendarAdvance(Calendar,O3531,N3532,"f",FALSE)</f>
        <v>64101</v>
      </c>
      <c r="P3532" s="92">
        <f>_xll.qlCalendarAdvance(Calendar,O3532,NDays&amp;"D")</f>
        <v>64103</v>
      </c>
      <c r="Q3532" s="81" t="e">
        <v>#N/A</v>
      </c>
      <c r="R3532" s="85" t="e">
        <v>#N/A</v>
      </c>
    </row>
    <row r="3533" spans="14:18" x14ac:dyDescent="0.2">
      <c r="N3533" s="88" t="str">
        <f t="shared" si="60"/>
        <v>1w</v>
      </c>
      <c r="O3533" s="82">
        <f>_xll.qlCalendarAdvance(Calendar,O3532,N3533,"f",FALSE)</f>
        <v>64108</v>
      </c>
      <c r="P3533" s="92">
        <f>_xll.qlCalendarAdvance(Calendar,O3533,NDays&amp;"D")</f>
        <v>64110</v>
      </c>
      <c r="Q3533" s="81" t="e">
        <v>#N/A</v>
      </c>
      <c r="R3533" s="85" t="e">
        <v>#N/A</v>
      </c>
    </row>
    <row r="3534" spans="14:18" x14ac:dyDescent="0.2">
      <c r="N3534" s="88" t="str">
        <f t="shared" si="60"/>
        <v>1w</v>
      </c>
      <c r="O3534" s="82">
        <f>_xll.qlCalendarAdvance(Calendar,O3533,N3534,"f",FALSE)</f>
        <v>64115</v>
      </c>
      <c r="P3534" s="92">
        <f>_xll.qlCalendarAdvance(Calendar,O3534,NDays&amp;"D")</f>
        <v>64117</v>
      </c>
      <c r="Q3534" s="81" t="e">
        <v>#N/A</v>
      </c>
      <c r="R3534" s="85" t="e">
        <v>#N/A</v>
      </c>
    </row>
    <row r="3535" spans="14:18" x14ac:dyDescent="0.2">
      <c r="N3535" s="88" t="str">
        <f t="shared" si="60"/>
        <v>1w</v>
      </c>
      <c r="O3535" s="82">
        <f>_xll.qlCalendarAdvance(Calendar,O3534,N3535,"f",FALSE)</f>
        <v>64122</v>
      </c>
      <c r="P3535" s="92">
        <f>_xll.qlCalendarAdvance(Calendar,O3535,NDays&amp;"D")</f>
        <v>64124</v>
      </c>
      <c r="Q3535" s="81" t="e">
        <v>#N/A</v>
      </c>
      <c r="R3535" s="85" t="e">
        <v>#N/A</v>
      </c>
    </row>
    <row r="3536" spans="14:18" x14ac:dyDescent="0.2">
      <c r="N3536" s="88" t="str">
        <f t="shared" si="60"/>
        <v>1w</v>
      </c>
      <c r="O3536" s="82">
        <f>_xll.qlCalendarAdvance(Calendar,O3535,N3536,"f",FALSE)</f>
        <v>64129</v>
      </c>
      <c r="P3536" s="92">
        <f>_xll.qlCalendarAdvance(Calendar,O3536,NDays&amp;"D")</f>
        <v>64131</v>
      </c>
      <c r="Q3536" s="81" t="e">
        <v>#N/A</v>
      </c>
      <c r="R3536" s="85" t="e">
        <v>#N/A</v>
      </c>
    </row>
    <row r="3537" spans="2:18" x14ac:dyDescent="0.2">
      <c r="N3537" s="88" t="str">
        <f t="shared" si="60"/>
        <v>1w</v>
      </c>
      <c r="O3537" s="82">
        <f>_xll.qlCalendarAdvance(Calendar,O3536,N3537,"f",FALSE)</f>
        <v>64136</v>
      </c>
      <c r="P3537" s="92">
        <f>_xll.qlCalendarAdvance(Calendar,O3537,NDays&amp;"D")</f>
        <v>64138</v>
      </c>
      <c r="Q3537" s="81" t="e">
        <v>#N/A</v>
      </c>
      <c r="R3537" s="85" t="e">
        <v>#N/A</v>
      </c>
    </row>
    <row r="3538" spans="2:18" x14ac:dyDescent="0.2">
      <c r="N3538" s="88" t="str">
        <f t="shared" si="60"/>
        <v>1w</v>
      </c>
      <c r="O3538" s="82">
        <f>_xll.qlCalendarAdvance(Calendar,O3537,N3538,"f",FALSE)</f>
        <v>64143</v>
      </c>
      <c r="P3538" s="92">
        <f>_xll.qlCalendarAdvance(Calendar,O3538,NDays&amp;"D")</f>
        <v>64145</v>
      </c>
      <c r="Q3538" s="81" t="e">
        <v>#N/A</v>
      </c>
      <c r="R3538" s="85" t="e">
        <v>#N/A</v>
      </c>
    </row>
    <row r="3539" spans="2:18" x14ac:dyDescent="0.2">
      <c r="N3539" s="88" t="str">
        <f t="shared" si="60"/>
        <v>1w</v>
      </c>
      <c r="O3539" s="82">
        <f>_xll.qlCalendarAdvance(Calendar,O3538,N3539,"f",FALSE)</f>
        <v>64150</v>
      </c>
      <c r="P3539" s="92">
        <f>_xll.qlCalendarAdvance(Calendar,O3539,NDays&amp;"D")</f>
        <v>64152</v>
      </c>
      <c r="Q3539" s="81" t="e">
        <v>#N/A</v>
      </c>
      <c r="R3539" s="85" t="e">
        <v>#N/A</v>
      </c>
    </row>
    <row r="3540" spans="2:18" x14ac:dyDescent="0.2">
      <c r="B3540" s="82"/>
      <c r="C3540" s="92"/>
      <c r="D3540" s="81"/>
      <c r="E3540" s="81"/>
      <c r="N3540" s="88" t="str">
        <f t="shared" si="60"/>
        <v>1w</v>
      </c>
      <c r="O3540" s="82">
        <f>_xll.qlCalendarAdvance(Calendar,O3539,N3540,"f",FALSE)</f>
        <v>64157</v>
      </c>
      <c r="P3540" s="92">
        <f>_xll.qlCalendarAdvance(Calendar,O3540,NDays&amp;"D")</f>
        <v>64159</v>
      </c>
      <c r="Q3540" s="81" t="e">
        <v>#N/A</v>
      </c>
      <c r="R3540" s="85" t="e">
        <v>#N/A</v>
      </c>
    </row>
    <row r="3541" spans="2:18" x14ac:dyDescent="0.2">
      <c r="B3541" s="82"/>
      <c r="C3541" s="92"/>
      <c r="D3541" s="81"/>
      <c r="E3541" s="81"/>
      <c r="N3541" s="88" t="str">
        <f t="shared" ref="N3541:N3552" si="61">N3540</f>
        <v>1w</v>
      </c>
      <c r="O3541" s="82">
        <f>_xll.qlCalendarAdvance(Calendar,O3540,N3541,"f",FALSE)</f>
        <v>64164</v>
      </c>
      <c r="P3541" s="92">
        <f>_xll.qlCalendarAdvance(Calendar,O3541,NDays&amp;"D")</f>
        <v>64166</v>
      </c>
      <c r="Q3541" s="81" t="e">
        <v>#N/A</v>
      </c>
      <c r="R3541" s="85" t="e">
        <v>#N/A</v>
      </c>
    </row>
    <row r="3542" spans="2:18" x14ac:dyDescent="0.2">
      <c r="B3542" s="82"/>
      <c r="C3542" s="92"/>
      <c r="D3542" s="81"/>
      <c r="E3542" s="81"/>
      <c r="N3542" s="88" t="str">
        <f t="shared" si="61"/>
        <v>1w</v>
      </c>
      <c r="O3542" s="82">
        <f>_xll.qlCalendarAdvance(Calendar,O3541,N3542,"f",FALSE)</f>
        <v>64171</v>
      </c>
      <c r="P3542" s="92">
        <f>_xll.qlCalendarAdvance(Calendar,O3542,NDays&amp;"D")</f>
        <v>64173</v>
      </c>
      <c r="Q3542" s="81" t="e">
        <v>#N/A</v>
      </c>
      <c r="R3542" s="85" t="e">
        <v>#N/A</v>
      </c>
    </row>
    <row r="3543" spans="2:18" x14ac:dyDescent="0.2">
      <c r="B3543" s="82"/>
      <c r="C3543" s="92"/>
      <c r="D3543" s="81"/>
      <c r="E3543" s="81"/>
      <c r="N3543" s="88" t="str">
        <f t="shared" si="61"/>
        <v>1w</v>
      </c>
      <c r="O3543" s="82">
        <f>_xll.qlCalendarAdvance(Calendar,O3542,N3543,"f",FALSE)</f>
        <v>64178</v>
      </c>
      <c r="P3543" s="92">
        <f>_xll.qlCalendarAdvance(Calendar,O3543,NDays&amp;"D")</f>
        <v>64180</v>
      </c>
      <c r="Q3543" s="81" t="e">
        <v>#N/A</v>
      </c>
      <c r="R3543" s="85" t="e">
        <v>#N/A</v>
      </c>
    </row>
    <row r="3544" spans="2:18" x14ac:dyDescent="0.2">
      <c r="B3544" s="82"/>
      <c r="C3544" s="92"/>
      <c r="D3544" s="81"/>
      <c r="E3544" s="81"/>
      <c r="N3544" s="88" t="str">
        <f t="shared" si="61"/>
        <v>1w</v>
      </c>
      <c r="O3544" s="82">
        <f>_xll.qlCalendarAdvance(Calendar,O3543,N3544,"f",FALSE)</f>
        <v>64185</v>
      </c>
      <c r="P3544" s="92">
        <f>_xll.qlCalendarAdvance(Calendar,O3544,NDays&amp;"D")</f>
        <v>64187</v>
      </c>
      <c r="Q3544" s="81" t="e">
        <v>#N/A</v>
      </c>
      <c r="R3544" s="85" t="e">
        <v>#N/A</v>
      </c>
    </row>
    <row r="3545" spans="2:18" x14ac:dyDescent="0.2">
      <c r="B3545" s="82"/>
      <c r="C3545" s="92"/>
      <c r="D3545" s="81"/>
      <c r="E3545" s="81"/>
      <c r="N3545" s="88" t="str">
        <f t="shared" si="61"/>
        <v>1w</v>
      </c>
      <c r="O3545" s="82">
        <f>_xll.qlCalendarAdvance(Calendar,O3544,N3545,"f",FALSE)</f>
        <v>64192</v>
      </c>
      <c r="P3545" s="92">
        <f>_xll.qlCalendarAdvance(Calendar,O3545,NDays&amp;"D")</f>
        <v>64194</v>
      </c>
      <c r="Q3545" s="81" t="e">
        <v>#N/A</v>
      </c>
      <c r="R3545" s="85" t="e">
        <v>#N/A</v>
      </c>
    </row>
    <row r="3546" spans="2:18" x14ac:dyDescent="0.2">
      <c r="B3546" s="82"/>
      <c r="C3546" s="92"/>
      <c r="D3546" s="81"/>
      <c r="E3546" s="81"/>
      <c r="N3546" s="88" t="str">
        <f t="shared" si="61"/>
        <v>1w</v>
      </c>
      <c r="O3546" s="82">
        <f>_xll.qlCalendarAdvance(Calendar,O3545,N3546,"f",FALSE)</f>
        <v>64199</v>
      </c>
      <c r="P3546" s="92">
        <f>_xll.qlCalendarAdvance(Calendar,O3546,NDays&amp;"D")</f>
        <v>64201</v>
      </c>
      <c r="Q3546" s="81" t="e">
        <v>#N/A</v>
      </c>
      <c r="R3546" s="85" t="e">
        <v>#N/A</v>
      </c>
    </row>
    <row r="3547" spans="2:18" x14ac:dyDescent="0.2">
      <c r="B3547" s="82"/>
      <c r="C3547" s="92"/>
      <c r="D3547" s="81"/>
      <c r="E3547" s="81"/>
      <c r="N3547" s="88" t="str">
        <f t="shared" si="61"/>
        <v>1w</v>
      </c>
      <c r="O3547" s="82">
        <f>_xll.qlCalendarAdvance(Calendar,O3546,N3547,"f",FALSE)</f>
        <v>64206</v>
      </c>
      <c r="P3547" s="92">
        <f>_xll.qlCalendarAdvance(Calendar,O3547,NDays&amp;"D")</f>
        <v>64208</v>
      </c>
      <c r="Q3547" s="81" t="e">
        <v>#N/A</v>
      </c>
      <c r="R3547" s="85" t="e">
        <v>#N/A</v>
      </c>
    </row>
    <row r="3548" spans="2:18" x14ac:dyDescent="0.2">
      <c r="B3548" s="82"/>
      <c r="C3548" s="92"/>
      <c r="D3548" s="81"/>
      <c r="E3548" s="81"/>
      <c r="N3548" s="88" t="str">
        <f t="shared" si="61"/>
        <v>1w</v>
      </c>
      <c r="O3548" s="82">
        <f>_xll.qlCalendarAdvance(Calendar,O3547,N3548,"f",FALSE)</f>
        <v>64213</v>
      </c>
      <c r="P3548" s="92">
        <f>_xll.qlCalendarAdvance(Calendar,O3548,NDays&amp;"D")</f>
        <v>64215</v>
      </c>
      <c r="Q3548" s="81" t="e">
        <v>#N/A</v>
      </c>
      <c r="R3548" s="85" t="e">
        <v>#N/A</v>
      </c>
    </row>
    <row r="3549" spans="2:18" x14ac:dyDescent="0.2">
      <c r="B3549" s="82"/>
      <c r="C3549" s="92"/>
      <c r="D3549" s="81"/>
      <c r="E3549" s="81"/>
      <c r="N3549" s="88" t="str">
        <f t="shared" si="61"/>
        <v>1w</v>
      </c>
      <c r="O3549" s="82">
        <f>_xll.qlCalendarAdvance(Calendar,O3548,N3549,"f",FALSE)</f>
        <v>64220</v>
      </c>
      <c r="P3549" s="92">
        <f>_xll.qlCalendarAdvance(Calendar,O3549,NDays&amp;"D")</f>
        <v>64222</v>
      </c>
      <c r="Q3549" s="81" t="e">
        <v>#N/A</v>
      </c>
      <c r="R3549" s="85" t="e">
        <v>#N/A</v>
      </c>
    </row>
    <row r="3550" spans="2:18" x14ac:dyDescent="0.2">
      <c r="B3550" s="82"/>
      <c r="C3550" s="92"/>
      <c r="D3550" s="81"/>
      <c r="E3550" s="81"/>
      <c r="N3550" s="88" t="str">
        <f t="shared" si="61"/>
        <v>1w</v>
      </c>
      <c r="O3550" s="82">
        <f>_xll.qlCalendarAdvance(Calendar,O3549,N3550,"f",FALSE)</f>
        <v>64227</v>
      </c>
      <c r="P3550" s="92">
        <f>_xll.qlCalendarAdvance(Calendar,O3550,NDays&amp;"D")</f>
        <v>64229</v>
      </c>
      <c r="Q3550" s="81" t="e">
        <v>#N/A</v>
      </c>
      <c r="R3550" s="85" t="e">
        <v>#N/A</v>
      </c>
    </row>
    <row r="3551" spans="2:18" x14ac:dyDescent="0.2">
      <c r="B3551" s="82"/>
      <c r="C3551" s="92"/>
      <c r="D3551" s="81"/>
      <c r="E3551" s="81"/>
      <c r="N3551" s="88" t="str">
        <f t="shared" si="61"/>
        <v>1w</v>
      </c>
      <c r="O3551" s="82">
        <f>_xll.qlCalendarAdvance(Calendar,O3550,N3551,"f",FALSE)</f>
        <v>64234</v>
      </c>
      <c r="P3551" s="92">
        <f>_xll.qlCalendarAdvance(Calendar,O3551,NDays&amp;"D")</f>
        <v>64236</v>
      </c>
      <c r="Q3551" s="81" t="e">
        <v>#N/A</v>
      </c>
      <c r="R3551" s="85" t="e">
        <v>#N/A</v>
      </c>
    </row>
    <row r="3552" spans="2:18" ht="12" thickBot="1" x14ac:dyDescent="0.25">
      <c r="B3552" s="82"/>
      <c r="C3552" s="92"/>
      <c r="D3552" s="81"/>
      <c r="E3552" s="81"/>
      <c r="N3552" s="89" t="str">
        <f t="shared" si="61"/>
        <v>1w</v>
      </c>
      <c r="O3552" s="86">
        <f>_xll.qlCalendarAdvance(Calendar,O3551,N3552,"f",FALSE)</f>
        <v>64241</v>
      </c>
      <c r="P3552" s="96">
        <f>_xll.qlCalendarAdvance(Calendar,O3552,NDays&amp;"D")</f>
        <v>64243</v>
      </c>
      <c r="Q3552" s="94" t="e">
        <v>#N/A</v>
      </c>
      <c r="R3552" s="87" t="e">
        <v>#N/A</v>
      </c>
    </row>
    <row r="3553" spans="2:14" x14ac:dyDescent="0.2">
      <c r="B3553" s="82"/>
      <c r="C3553" s="92"/>
      <c r="D3553" s="81"/>
      <c r="E3553" s="81"/>
      <c r="N3553" s="8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76200</xdr:rowOff>
                  </from>
                  <to>
                    <xdr:col>10</xdr:col>
                    <xdr:colOff>238125</xdr:colOff>
                    <xdr:row>37</xdr:row>
                    <xdr:rowOff>66675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57150</xdr:rowOff>
                  </from>
                  <to>
                    <xdr:col>10</xdr:col>
                    <xdr:colOff>238125</xdr:colOff>
                    <xdr:row>29</xdr:row>
                    <xdr:rowOff>47625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85725</xdr:rowOff>
                  </from>
                  <to>
                    <xdr:col>10</xdr:col>
                    <xdr:colOff>238125</xdr:colOff>
                    <xdr:row>45</xdr:row>
                    <xdr:rowOff>76200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30</xdr:row>
                    <xdr:rowOff>19050</xdr:rowOff>
                  </from>
                  <to>
                    <xdr:col>10</xdr:col>
                    <xdr:colOff>238125</xdr:colOff>
                    <xdr:row>32</xdr:row>
                    <xdr:rowOff>9525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123825</xdr:rowOff>
                  </from>
                  <to>
                    <xdr:col>10</xdr:col>
                    <xdr:colOff>238125</xdr:colOff>
                    <xdr:row>34</xdr:row>
                    <xdr:rowOff>114300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38</xdr:row>
                    <xdr:rowOff>19050</xdr:rowOff>
                  </from>
                  <to>
                    <xdr:col>10</xdr:col>
                    <xdr:colOff>238125</xdr:colOff>
                    <xdr:row>40</xdr:row>
                    <xdr:rowOff>9525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114300</xdr:rowOff>
                  </from>
                  <to>
                    <xdr:col>10</xdr:col>
                    <xdr:colOff>238125</xdr:colOff>
                    <xdr:row>42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Synthetic Deposits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2015-09-25T12:40:07Z</dcterms:modified>
</cp:coreProperties>
</file>